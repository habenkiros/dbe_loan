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19200" windowHeight="7050" firstSheet="4" activeTab="7"/>
  </bookViews>
  <sheets>
    <sheet name="Intro" sheetId="3" r:id="rId1"/>
    <sheet name="(1)Basic Info and loan request" sheetId="4" r:id="rId2"/>
    <sheet name="(2)Bus. and Character Assess." sheetId="6" r:id="rId3"/>
    <sheet name="(3)Cashflow Analysis" sheetId="7" r:id="rId4"/>
    <sheet name="(4) E&amp;S Assessment" sheetId="8" r:id="rId5"/>
    <sheet name="(5)Collateral Worksheet" sheetId="9" r:id="rId6"/>
    <sheet name="(6)Summary and Decision Sheet" sheetId="10" r:id="rId7"/>
    <sheet name="(7)Repayment Schedule" sheetId="11" r:id="rId8"/>
    <sheet name="Loan Amortization Schedule" sheetId="2" r:id="rId9"/>
  </sheets>
  <externalReferences>
    <externalReference r:id="rId10"/>
    <externalReference r:id="rId11"/>
    <externalReference r:id="rId12"/>
    <externalReference r:id="rId13"/>
    <externalReference r:id="rId14"/>
  </externalReferences>
  <definedNames>
    <definedName name="_ftn1" localSheetId="4">'(4) E&amp;S Assessment'!$A$3</definedName>
    <definedName name="_ftnref1" localSheetId="4">'(4) E&amp;S Assessment'!#REF!</definedName>
    <definedName name="Beg_Bal">'Loan Amortization Schedule'!$C$18:$C$497</definedName>
    <definedName name="Bullet">'[1]General Information'!$C$95</definedName>
    <definedName name="Cash_minimum" localSheetId="4">#REF!</definedName>
    <definedName name="Cash_minimum" localSheetId="5">#REF!</definedName>
    <definedName name="Cash_minimum" localSheetId="6">#REF!</definedName>
    <definedName name="Cash_minimum" localSheetId="7">#REF!</definedName>
    <definedName name="Cash_minimum">#REF!</definedName>
    <definedName name="Company_Name" localSheetId="4">#REF!</definedName>
    <definedName name="Company_Name" localSheetId="5">#REF!</definedName>
    <definedName name="Company_Name" localSheetId="6">#REF!</definedName>
    <definedName name="Company_Name" localSheetId="7">#REF!</definedName>
    <definedName name="Company_Name">#REF!</definedName>
    <definedName name="Cum_Int">'Loan Amortization Schedule'!$J$18:$J$497</definedName>
    <definedName name="Data">'Loan Amortization Schedule'!$A$18:$J$497</definedName>
    <definedName name="End_Bal">'Loan Amortization Schedule'!$I$18:$I$497</definedName>
    <definedName name="Extra_Pay">'Loan Amortization Schedule'!$E$18:$E$497</definedName>
    <definedName name="FinPrep">[2]Keys!$B$89:$B$92</definedName>
    <definedName name="freq">'[3]Cover Sheet'!$D$30</definedName>
    <definedName name="Full_Print">'Loan Amortization Schedule'!$A$1:$J$497</definedName>
    <definedName name="Header_Row">ROW('Loan Amortization Schedule'!$17:$17)</definedName>
    <definedName name="Int">'Loan Amortization Schedule'!$H$18:$H$497</definedName>
    <definedName name="Int_basis">#REF!</definedName>
    <definedName name="Interest_Rate">'Loan Amortization Schedule'!$D$6</definedName>
    <definedName name="Last_Row">IF(Values_Entered,Header_Row+Number_of_Payments,Header_Row)</definedName>
    <definedName name="Loan_Amount">'Loan Amortization Schedule'!$D$5</definedName>
    <definedName name="Loan_Start">'Loan Amortization Schedule'!$D$9</definedName>
    <definedName name="Loan_Years">'Loan Amortization Schedule'!$D$7</definedName>
    <definedName name="none" localSheetId="4">#REF!</definedName>
    <definedName name="none" localSheetId="5">#REF!</definedName>
    <definedName name="none" localSheetId="6">#REF!</definedName>
    <definedName name="none" localSheetId="7">#REF!</definedName>
    <definedName name="none">#REF!</definedName>
    <definedName name="Num_Pmt_Per_Year">'Loan Amortization Schedule'!$D$8</definedName>
    <definedName name="Number_of_Payments">MATCH(0.01,End_Bal,-1)+1</definedName>
    <definedName name="Pay_Date">'Loan Amortization Schedule'!$B$18:$B$497</definedName>
    <definedName name="Pay_Num">'Loan Amortization Schedule'!$A$18:$A$497</definedName>
    <definedName name="Payment_Date">DATE(YEAR(Loan_Start),MONTH(Loan_Start)+Payment_Number,DAY(Loan_Start))</definedName>
    <definedName name="Princ">'Loan Amortization Schedule'!$G$18:$G$497</definedName>
    <definedName name="_xlnm.Print_Area" localSheetId="1">'(1)Basic Info and loan request'!$A$1:$I$80</definedName>
    <definedName name="_xlnm.Print_Area" localSheetId="2">'(2)Bus. and Character Assess.'!$A$1:$K$49</definedName>
    <definedName name="_xlnm.Print_Area" localSheetId="3">'(3)Cashflow Analysis'!$A$1:$O$148</definedName>
    <definedName name="_xlnm.Print_Area" localSheetId="4">'(4) E&amp;S Assessment'!$A$1:$F$38</definedName>
    <definedName name="_xlnm.Print_Area" localSheetId="5">'(5)Collateral Worksheet'!$B$1:$G$54</definedName>
    <definedName name="_xlnm.Print_Area" localSheetId="6">'(6)Summary and Decision Sheet'!$A$1:$L$84</definedName>
    <definedName name="_xlnm.Print_Area" localSheetId="7">'(7)Repayment Schedule'!$A$75:$R$141</definedName>
    <definedName name="_xlnm.Print_Area" localSheetId="8">OFFSET(Full_Print,0,0,Last_Row)</definedName>
    <definedName name="Print_Area_Reset">OFFSET(Full_Print,0,0,Last_Row)</definedName>
    <definedName name="_xlnm.Print_Titles" localSheetId="8">'Loan Amortization Schedule'!$14:$17</definedName>
    <definedName name="Sched_Pay">'Loan Amortization Schedule'!$D$18:$D$497</definedName>
    <definedName name="Scheduled_Extra_Payments">'Loan Amortization Schedule'!$D$10</definedName>
    <definedName name="Scheduled_Interest_Rate">'Loan Amortization Schedule'!$D$6</definedName>
    <definedName name="Scheduled_Monthly_Payment">'Loan Amortization Schedule'!$J$5</definedName>
    <definedName name="Sector">[4]MenuMaster!$E$6:$E$10</definedName>
    <definedName name="Start_date" localSheetId="4">#REF!</definedName>
    <definedName name="Start_date" localSheetId="5">#REF!</definedName>
    <definedName name="Start_date" localSheetId="6">#REF!</definedName>
    <definedName name="Start_date" localSheetId="7">#REF!</definedName>
    <definedName name="Start_date">#REF!</definedName>
    <definedName name="Stock_Inventory" localSheetId="4">#REF!</definedName>
    <definedName name="Stock_Inventory" localSheetId="5">#REF!</definedName>
    <definedName name="Stock_Inventory" localSheetId="6">#REF!</definedName>
    <definedName name="Stock_Inventory" localSheetId="7">#REF!</definedName>
    <definedName name="Stock_Inventory">#REF!</definedName>
    <definedName name="TERM">'[4]Cover Sheet'!$D$30</definedName>
    <definedName name="Total_Interest">'Loan Amortization Schedule'!$J$9</definedName>
    <definedName name="Total_Pay">'Loan Amortization Schedule'!$F$18:$F$497</definedName>
    <definedName name="Values_Entered">IF(Loan_Amount*Interest_Rate*Loan_Years*Loan_Start&gt;0,1,0)</definedName>
    <definedName name="VCactor">[4]MenuMaster!$H$53:$M$53</definedName>
    <definedName name="VCcode">[4]MenuMaster!$H$54:$M$56</definedName>
    <definedName name="VChain">[4]MenuMaster!$G$54:$G$56</definedName>
  </definedNames>
  <calcPr calcId="124519" concurrentCalc="0"/>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8" i="7"/>
  <c r="C80" i="11" l="1"/>
  <c r="D6" i="2" l="1"/>
  <c r="C79" i="11"/>
  <c r="D5" i="2"/>
  <c r="C6" i="7"/>
  <c r="F14" i="9"/>
  <c r="F15"/>
  <c r="F16"/>
  <c r="F17"/>
  <c r="F18"/>
  <c r="F13"/>
  <c r="F23"/>
  <c r="F24"/>
  <c r="F25"/>
  <c r="F26"/>
  <c r="F27"/>
  <c r="F28"/>
  <c r="F29"/>
  <c r="F22"/>
  <c r="F68" i="7"/>
  <c r="F4" i="9"/>
  <c r="E70" i="4"/>
  <c r="E71"/>
  <c r="E72"/>
  <c r="E73"/>
  <c r="E74"/>
  <c r="E75"/>
  <c r="E76"/>
  <c r="E77"/>
  <c r="E59"/>
  <c r="E60"/>
  <c r="E61"/>
  <c r="E62"/>
  <c r="E63"/>
  <c r="E64"/>
  <c r="E65"/>
  <c r="E66"/>
  <c r="K45" i="6"/>
  <c r="K42"/>
  <c r="K39"/>
  <c r="K33"/>
  <c r="K30"/>
  <c r="K27"/>
  <c r="K24"/>
  <c r="K21"/>
  <c r="J18"/>
  <c r="K18"/>
  <c r="E30" i="9"/>
  <c r="E19"/>
  <c r="D35"/>
  <c r="D33"/>
  <c r="G26" i="4"/>
  <c r="J11" i="6"/>
  <c r="J10"/>
  <c r="F30" i="9"/>
  <c r="F19"/>
  <c r="I13" i="6"/>
  <c r="J48"/>
  <c r="G49"/>
  <c r="F37" i="10"/>
  <c r="E54"/>
  <c r="B116" i="7"/>
  <c r="F51"/>
  <c r="D99"/>
  <c r="E25"/>
  <c r="E19"/>
  <c r="E20"/>
  <c r="E21"/>
  <c r="E22"/>
  <c r="E23"/>
  <c r="E24"/>
  <c r="E18"/>
  <c r="E14"/>
  <c r="E9"/>
  <c r="E10"/>
  <c r="E11"/>
  <c r="E12"/>
  <c r="E13"/>
  <c r="E8"/>
  <c r="D35" i="8"/>
  <c r="D37"/>
  <c r="C35"/>
  <c r="C37"/>
  <c r="C56" i="10"/>
  <c r="D38" i="8"/>
  <c r="G56" i="10"/>
  <c r="D80" i="4"/>
  <c r="C80"/>
  <c r="E69"/>
  <c r="E58"/>
  <c r="E57"/>
  <c r="E52"/>
  <c r="F51"/>
  <c r="E51"/>
  <c r="F46"/>
  <c r="F48"/>
  <c r="D46"/>
  <c r="E78"/>
  <c r="F78"/>
  <c r="E67"/>
  <c r="F57" i="10"/>
  <c r="G84" i="7"/>
  <c r="B139"/>
  <c r="F45"/>
  <c r="F52"/>
  <c r="F47"/>
  <c r="F46"/>
  <c r="F48"/>
  <c r="F49"/>
  <c r="F50"/>
  <c r="F18"/>
  <c r="C17"/>
  <c r="F10"/>
  <c r="F8"/>
  <c r="E79" i="4"/>
  <c r="G80"/>
  <c r="F9" i="7"/>
  <c r="G9"/>
  <c r="G8"/>
  <c r="E26"/>
  <c r="B113"/>
  <c r="E80" i="4"/>
  <c r="F79"/>
  <c r="G79"/>
  <c r="F67"/>
  <c r="H38"/>
  <c r="H43" i="10"/>
  <c r="E10" i="9"/>
  <c r="F10"/>
  <c r="J8" i="7"/>
  <c r="C84" i="11"/>
  <c r="F81"/>
  <c r="C83"/>
  <c r="C82"/>
  <c r="M144" i="7"/>
  <c r="C144"/>
  <c r="B144"/>
  <c r="N141"/>
  <c r="O141"/>
  <c r="N142"/>
  <c r="O142"/>
  <c r="A139"/>
  <c r="A140"/>
  <c r="A141"/>
  <c r="A142"/>
  <c r="A143"/>
  <c r="A138"/>
  <c r="D144"/>
  <c r="N138"/>
  <c r="W88" i="11"/>
  <c r="V88"/>
  <c r="A13"/>
  <c r="A14"/>
  <c r="F9"/>
  <c r="B12"/>
  <c r="B13"/>
  <c r="B14"/>
  <c r="B15"/>
  <c r="B16"/>
  <c r="B17"/>
  <c r="B18"/>
  <c r="B19"/>
  <c r="B20"/>
  <c r="B21"/>
  <c r="B22"/>
  <c r="B23"/>
  <c r="B24"/>
  <c r="B25"/>
  <c r="B26"/>
  <c r="B27"/>
  <c r="B28"/>
  <c r="B29"/>
  <c r="B30"/>
  <c r="B31"/>
  <c r="B32"/>
  <c r="B33"/>
  <c r="B34"/>
  <c r="B35"/>
  <c r="B36"/>
  <c r="B37"/>
  <c r="B38"/>
  <c r="B39"/>
  <c r="B40"/>
  <c r="B41"/>
  <c r="B42"/>
  <c r="B43"/>
  <c r="B44"/>
  <c r="B45"/>
  <c r="B46"/>
  <c r="B47"/>
  <c r="B48"/>
  <c r="B49"/>
  <c r="B50"/>
  <c r="B51"/>
  <c r="B52"/>
  <c r="B53"/>
  <c r="B54"/>
  <c r="B55"/>
  <c r="B56"/>
  <c r="B57"/>
  <c r="B58"/>
  <c r="B59"/>
  <c r="B60"/>
  <c r="B61"/>
  <c r="B62"/>
  <c r="B63"/>
  <c r="B64"/>
  <c r="B65"/>
  <c r="B66"/>
  <c r="B67"/>
  <c r="B68"/>
  <c r="B69"/>
  <c r="B70"/>
  <c r="B71"/>
  <c r="F8"/>
  <c r="F7"/>
  <c r="F5"/>
  <c r="F4"/>
  <c r="C12"/>
  <c r="C36" i="10"/>
  <c r="C35"/>
  <c r="A35"/>
  <c r="C34"/>
  <c r="C33"/>
  <c r="C32"/>
  <c r="A32"/>
  <c r="C31"/>
  <c r="A31"/>
  <c r="C30"/>
  <c r="A30"/>
  <c r="C29"/>
  <c r="A29"/>
  <c r="C28"/>
  <c r="A28"/>
  <c r="G25"/>
  <c r="K12"/>
  <c r="B12"/>
  <c r="K11"/>
  <c r="E11"/>
  <c r="K10"/>
  <c r="E10"/>
  <c r="B10"/>
  <c r="K9"/>
  <c r="E9"/>
  <c r="B9"/>
  <c r="K8"/>
  <c r="K3"/>
  <c r="K2"/>
  <c r="I2"/>
  <c r="H2"/>
  <c r="F2"/>
  <c r="C2"/>
  <c r="B2"/>
  <c r="D36" i="9"/>
  <c r="D34"/>
  <c r="D37"/>
  <c r="F37"/>
  <c r="C39"/>
  <c r="J30" i="7"/>
  <c r="J29"/>
  <c r="J28"/>
  <c r="A26"/>
  <c r="J25"/>
  <c r="F25"/>
  <c r="G25"/>
  <c r="J24"/>
  <c r="F24"/>
  <c r="G24"/>
  <c r="J23"/>
  <c r="F23"/>
  <c r="J22"/>
  <c r="J21"/>
  <c r="F21"/>
  <c r="G21"/>
  <c r="J20"/>
  <c r="F20"/>
  <c r="G20"/>
  <c r="J19"/>
  <c r="F19"/>
  <c r="J18"/>
  <c r="J14"/>
  <c r="F14"/>
  <c r="J13"/>
  <c r="J12"/>
  <c r="F12"/>
  <c r="J11"/>
  <c r="J10"/>
  <c r="G10"/>
  <c r="J9"/>
  <c r="G5"/>
  <c r="G4"/>
  <c r="L144"/>
  <c r="K144"/>
  <c r="J144"/>
  <c r="I144"/>
  <c r="H144"/>
  <c r="G144"/>
  <c r="F144"/>
  <c r="E144"/>
  <c r="O143"/>
  <c r="N143"/>
  <c r="O140"/>
  <c r="N140"/>
  <c r="O139"/>
  <c r="F41" i="10"/>
  <c r="N139" i="7"/>
  <c r="O138"/>
  <c r="A133"/>
  <c r="A132"/>
  <c r="A131"/>
  <c r="A130"/>
  <c r="A129"/>
  <c r="A128"/>
  <c r="A127"/>
  <c r="A126"/>
  <c r="D108"/>
  <c r="A125"/>
  <c r="D107"/>
  <c r="E51"/>
  <c r="A124"/>
  <c r="D106"/>
  <c r="E50"/>
  <c r="A123"/>
  <c r="D105"/>
  <c r="E49"/>
  <c r="D104"/>
  <c r="D103"/>
  <c r="A120"/>
  <c r="D102"/>
  <c r="A119"/>
  <c r="D101"/>
  <c r="G45"/>
  <c r="D100"/>
  <c r="C114"/>
  <c r="C36"/>
  <c r="L114"/>
  <c r="G35"/>
  <c r="F35"/>
  <c r="C87"/>
  <c r="C73"/>
  <c r="J45" i="6"/>
  <c r="E36" i="10"/>
  <c r="D36"/>
  <c r="B45" i="6"/>
  <c r="A36" i="10"/>
  <c r="J42" i="6"/>
  <c r="E35" i="10"/>
  <c r="D35"/>
  <c r="J39" i="6"/>
  <c r="E34" i="10"/>
  <c r="D34"/>
  <c r="B39" i="6"/>
  <c r="A34" i="10"/>
  <c r="J33" i="6"/>
  <c r="E33" i="10"/>
  <c r="D33"/>
  <c r="A33"/>
  <c r="J30" i="6"/>
  <c r="E32" i="10"/>
  <c r="D32"/>
  <c r="J27" i="6"/>
  <c r="E31" i="10"/>
  <c r="D31"/>
  <c r="J24" i="6"/>
  <c r="E30" i="10"/>
  <c r="D30"/>
  <c r="J21" i="6"/>
  <c r="E29" i="10"/>
  <c r="D29"/>
  <c r="E28"/>
  <c r="D28"/>
  <c r="J13" i="6"/>
  <c r="J12"/>
  <c r="K12"/>
  <c r="K10"/>
  <c r="B8" i="10"/>
  <c r="J5" i="2"/>
  <c r="J6"/>
  <c r="A18"/>
  <c r="B18"/>
  <c r="C18"/>
  <c r="E47" i="7"/>
  <c r="G47"/>
  <c r="E46"/>
  <c r="G46"/>
  <c r="F126"/>
  <c r="G52"/>
  <c r="E132"/>
  <c r="E52"/>
  <c r="G48"/>
  <c r="D128"/>
  <c r="E48"/>
  <c r="G49"/>
  <c r="C129"/>
  <c r="E45"/>
  <c r="G50"/>
  <c r="H130"/>
  <c r="M130"/>
  <c r="L130"/>
  <c r="I132"/>
  <c r="F132"/>
  <c r="J132"/>
  <c r="D132"/>
  <c r="C125"/>
  <c r="D125"/>
  <c r="L125"/>
  <c r="K125"/>
  <c r="E125"/>
  <c r="J125"/>
  <c r="G125"/>
  <c r="B125"/>
  <c r="H125"/>
  <c r="F125"/>
  <c r="I125"/>
  <c r="M125"/>
  <c r="J129"/>
  <c r="J26"/>
  <c r="D56" i="10"/>
  <c r="F37" i="7"/>
  <c r="G37"/>
  <c r="J114"/>
  <c r="B114"/>
  <c r="I114"/>
  <c r="G51"/>
  <c r="N144"/>
  <c r="O144"/>
  <c r="B44" i="10"/>
  <c r="F11" i="7"/>
  <c r="G11"/>
  <c r="F13"/>
  <c r="G13"/>
  <c r="J31"/>
  <c r="E114"/>
  <c r="M114"/>
  <c r="G12"/>
  <c r="G14"/>
  <c r="F114"/>
  <c r="M81" i="11"/>
  <c r="M82"/>
  <c r="C92"/>
  <c r="C93"/>
  <c r="S85"/>
  <c r="C88"/>
  <c r="C81"/>
  <c r="C85"/>
  <c r="C87"/>
  <c r="S86"/>
  <c r="E15" i="7"/>
  <c r="C39"/>
  <c r="E39"/>
  <c r="F82" i="11"/>
  <c r="G114" i="7"/>
  <c r="K114"/>
  <c r="C37"/>
  <c r="E37"/>
  <c r="J15"/>
  <c r="A15" i="11"/>
  <c r="K80"/>
  <c r="R80"/>
  <c r="A19" i="2"/>
  <c r="A20"/>
  <c r="A21"/>
  <c r="A22"/>
  <c r="A23"/>
  <c r="D114" i="7"/>
  <c r="H114"/>
  <c r="G19"/>
  <c r="G23"/>
  <c r="H18" i="2"/>
  <c r="J18"/>
  <c r="D18"/>
  <c r="E18"/>
  <c r="B19"/>
  <c r="I130" i="7"/>
  <c r="F130"/>
  <c r="B129"/>
  <c r="H129"/>
  <c r="I129"/>
  <c r="F129"/>
  <c r="D129"/>
  <c r="B132"/>
  <c r="C132"/>
  <c r="G129"/>
  <c r="L129"/>
  <c r="H132"/>
  <c r="G130"/>
  <c r="B130"/>
  <c r="M129"/>
  <c r="K129"/>
  <c r="E129"/>
  <c r="K132"/>
  <c r="I128"/>
  <c r="H128"/>
  <c r="G128"/>
  <c r="B128"/>
  <c r="L128"/>
  <c r="G132"/>
  <c r="J128"/>
  <c r="M132"/>
  <c r="C128"/>
  <c r="E128"/>
  <c r="L132"/>
  <c r="D130"/>
  <c r="M128"/>
  <c r="F128"/>
  <c r="K128"/>
  <c r="C130"/>
  <c r="C126"/>
  <c r="J126"/>
  <c r="E126"/>
  <c r="M126"/>
  <c r="K126"/>
  <c r="L126"/>
  <c r="E130"/>
  <c r="D126"/>
  <c r="H126"/>
  <c r="B126"/>
  <c r="G126"/>
  <c r="K130"/>
  <c r="I126"/>
  <c r="J130"/>
  <c r="C44"/>
  <c r="E44"/>
  <c r="K127"/>
  <c r="L127"/>
  <c r="H127"/>
  <c r="I127"/>
  <c r="B127"/>
  <c r="D127"/>
  <c r="J127"/>
  <c r="C127"/>
  <c r="F127"/>
  <c r="E127"/>
  <c r="G127"/>
  <c r="M127"/>
  <c r="D131"/>
  <c r="C131"/>
  <c r="B131"/>
  <c r="F131"/>
  <c r="J131"/>
  <c r="H131"/>
  <c r="I131"/>
  <c r="M131"/>
  <c r="E131"/>
  <c r="K131"/>
  <c r="L131"/>
  <c r="G131"/>
  <c r="C79"/>
  <c r="F15"/>
  <c r="E27" i="10"/>
  <c r="E37"/>
  <c r="C54"/>
  <c r="D54"/>
  <c r="F22" i="7"/>
  <c r="G22"/>
  <c r="F49" i="6"/>
  <c r="C90" i="11"/>
  <c r="B22" i="2"/>
  <c r="B20"/>
  <c r="B21"/>
  <c r="D22"/>
  <c r="D21"/>
  <c r="D19"/>
  <c r="D20"/>
  <c r="D90" i="11"/>
  <c r="F6"/>
  <c r="A24" i="2"/>
  <c r="D23"/>
  <c r="B23"/>
  <c r="M83" i="11"/>
  <c r="N82"/>
  <c r="G15" i="7"/>
  <c r="C77"/>
  <c r="E40"/>
  <c r="A16" i="11"/>
  <c r="F83"/>
  <c r="F18" i="2"/>
  <c r="G18"/>
  <c r="I18"/>
  <c r="N129" i="7"/>
  <c r="O129"/>
  <c r="O132"/>
  <c r="O128"/>
  <c r="N132"/>
  <c r="N128"/>
  <c r="O130"/>
  <c r="N130"/>
  <c r="D27" i="10"/>
  <c r="C27"/>
  <c r="F27"/>
  <c r="C82" i="7"/>
  <c r="C91"/>
  <c r="F39"/>
  <c r="N126"/>
  <c r="N131"/>
  <c r="E53"/>
  <c r="O131"/>
  <c r="F26"/>
  <c r="F44"/>
  <c r="O125"/>
  <c r="O126"/>
  <c r="N125"/>
  <c r="C40"/>
  <c r="C41"/>
  <c r="O127"/>
  <c r="N127"/>
  <c r="G18"/>
  <c r="G26"/>
  <c r="G75"/>
  <c r="G79"/>
  <c r="J79"/>
  <c r="G82" i="11"/>
  <c r="H82"/>
  <c r="N81"/>
  <c r="O81"/>
  <c r="D12"/>
  <c r="F12"/>
  <c r="G81"/>
  <c r="G83"/>
  <c r="F84"/>
  <c r="E41" i="7"/>
  <c r="O82" i="11"/>
  <c r="Q82"/>
  <c r="P82"/>
  <c r="N83"/>
  <c r="M84"/>
  <c r="A17"/>
  <c r="A25" i="2"/>
  <c r="B24"/>
  <c r="D24"/>
  <c r="C19"/>
  <c r="F53" i="7"/>
  <c r="G39"/>
  <c r="B119"/>
  <c r="F40"/>
  <c r="F41"/>
  <c r="G44"/>
  <c r="G53"/>
  <c r="C19" i="10"/>
  <c r="G85" i="7"/>
  <c r="C53"/>
  <c r="C54"/>
  <c r="C56"/>
  <c r="C58"/>
  <c r="J84"/>
  <c r="C24" i="10"/>
  <c r="P81" i="11"/>
  <c r="V90"/>
  <c r="W90"/>
  <c r="X90"/>
  <c r="Y90"/>
  <c r="Z90"/>
  <c r="AA90"/>
  <c r="AB90"/>
  <c r="AC90"/>
  <c r="AD90"/>
  <c r="AE90"/>
  <c r="AF90"/>
  <c r="AG90"/>
  <c r="J82"/>
  <c r="W81"/>
  <c r="I82"/>
  <c r="AA78"/>
  <c r="Q81"/>
  <c r="V91"/>
  <c r="W91"/>
  <c r="X91"/>
  <c r="Y91"/>
  <c r="Z91"/>
  <c r="AA91"/>
  <c r="AB91"/>
  <c r="AC91"/>
  <c r="AD91"/>
  <c r="AE91"/>
  <c r="AF91"/>
  <c r="AG91"/>
  <c r="G12"/>
  <c r="H12"/>
  <c r="C13"/>
  <c r="I81"/>
  <c r="J81"/>
  <c r="H81"/>
  <c r="A26" i="2"/>
  <c r="B25"/>
  <c r="D25"/>
  <c r="Q83" i="11"/>
  <c r="AD89"/>
  <c r="P83"/>
  <c r="AD88"/>
  <c r="O83"/>
  <c r="F85"/>
  <c r="G84"/>
  <c r="AG86"/>
  <c r="AA88"/>
  <c r="I83"/>
  <c r="H83"/>
  <c r="J83"/>
  <c r="AG87"/>
  <c r="AA89"/>
  <c r="A18"/>
  <c r="M85"/>
  <c r="N84"/>
  <c r="E54" i="7"/>
  <c r="H19" i="2"/>
  <c r="E19"/>
  <c r="B124" i="7"/>
  <c r="G40"/>
  <c r="F120"/>
  <c r="F124"/>
  <c r="F54"/>
  <c r="F56"/>
  <c r="X88" i="11"/>
  <c r="H124" i="7"/>
  <c r="C124"/>
  <c r="I124"/>
  <c r="J124"/>
  <c r="E124"/>
  <c r="K124"/>
  <c r="G124"/>
  <c r="D124"/>
  <c r="M124"/>
  <c r="L124"/>
  <c r="F119"/>
  <c r="E119"/>
  <c r="L119"/>
  <c r="C119"/>
  <c r="H119"/>
  <c r="I119"/>
  <c r="K119"/>
  <c r="J119"/>
  <c r="D119"/>
  <c r="M119"/>
  <c r="G119"/>
  <c r="AA86" i="11"/>
  <c r="R81"/>
  <c r="R82"/>
  <c r="R83"/>
  <c r="G88" i="7"/>
  <c r="G87"/>
  <c r="AG77" i="11"/>
  <c r="AA79"/>
  <c r="AG76"/>
  <c r="W80"/>
  <c r="AA87"/>
  <c r="X89"/>
  <c r="AA77"/>
  <c r="V81"/>
  <c r="X79"/>
  <c r="V80"/>
  <c r="AA76"/>
  <c r="X78"/>
  <c r="K81"/>
  <c r="K82"/>
  <c r="K83"/>
  <c r="X81"/>
  <c r="AD79"/>
  <c r="A19"/>
  <c r="D26" i="2"/>
  <c r="A27"/>
  <c r="B26"/>
  <c r="E56" i="7"/>
  <c r="E58"/>
  <c r="L84"/>
  <c r="E24" i="10"/>
  <c r="H24"/>
  <c r="Q84" i="11"/>
  <c r="AG89"/>
  <c r="P84"/>
  <c r="O84"/>
  <c r="I84"/>
  <c r="H84"/>
  <c r="J84"/>
  <c r="M86"/>
  <c r="N85"/>
  <c r="F13"/>
  <c r="D13"/>
  <c r="X80"/>
  <c r="AD78"/>
  <c r="F86"/>
  <c r="G85"/>
  <c r="F19" i="2"/>
  <c r="G19"/>
  <c r="I19"/>
  <c r="J19"/>
  <c r="G41" i="7"/>
  <c r="G54"/>
  <c r="G56"/>
  <c r="G58"/>
  <c r="B120"/>
  <c r="B121"/>
  <c r="C120"/>
  <c r="C121"/>
  <c r="J120"/>
  <c r="J121"/>
  <c r="K120"/>
  <c r="K121"/>
  <c r="D120"/>
  <c r="D121"/>
  <c r="H120"/>
  <c r="H121"/>
  <c r="F121"/>
  <c r="G120"/>
  <c r="G121"/>
  <c r="M120"/>
  <c r="M121"/>
  <c r="E120"/>
  <c r="L120"/>
  <c r="L121"/>
  <c r="I120"/>
  <c r="I121"/>
  <c r="N124"/>
  <c r="O124"/>
  <c r="N119"/>
  <c r="F24" i="10"/>
  <c r="G89" i="7"/>
  <c r="O119"/>
  <c r="F58"/>
  <c r="K84" i="11"/>
  <c r="H85"/>
  <c r="J85"/>
  <c r="Z81"/>
  <c r="I85"/>
  <c r="Z80"/>
  <c r="G86"/>
  <c r="F87"/>
  <c r="AG88"/>
  <c r="D27" i="2"/>
  <c r="B27"/>
  <c r="A28"/>
  <c r="A20" i="11"/>
  <c r="Q85"/>
  <c r="P85"/>
  <c r="O85"/>
  <c r="G13"/>
  <c r="N86"/>
  <c r="M87"/>
  <c r="AG78"/>
  <c r="Y80"/>
  <c r="R84"/>
  <c r="Y81"/>
  <c r="AG79"/>
  <c r="C20" i="2"/>
  <c r="L80" i="7"/>
  <c r="E20" i="10"/>
  <c r="J80" i="7"/>
  <c r="C20" i="10"/>
  <c r="B133" i="7"/>
  <c r="C133"/>
  <c r="C134"/>
  <c r="C135"/>
  <c r="C146"/>
  <c r="I133"/>
  <c r="I134"/>
  <c r="I135"/>
  <c r="I146"/>
  <c r="H133"/>
  <c r="H134"/>
  <c r="H135"/>
  <c r="H146"/>
  <c r="F133"/>
  <c r="F134"/>
  <c r="F135"/>
  <c r="F146"/>
  <c r="M133"/>
  <c r="M134"/>
  <c r="M135"/>
  <c r="M146"/>
  <c r="L133"/>
  <c r="L134"/>
  <c r="L135"/>
  <c r="L146"/>
  <c r="E133"/>
  <c r="E134"/>
  <c r="J133"/>
  <c r="J134"/>
  <c r="J135"/>
  <c r="J146"/>
  <c r="D133"/>
  <c r="D134"/>
  <c r="D135"/>
  <c r="D146"/>
  <c r="K133"/>
  <c r="K134"/>
  <c r="K135"/>
  <c r="K146"/>
  <c r="G133"/>
  <c r="G134"/>
  <c r="G135"/>
  <c r="G146"/>
  <c r="O120"/>
  <c r="O121"/>
  <c r="N120"/>
  <c r="N121"/>
  <c r="E121"/>
  <c r="G91"/>
  <c r="R85" i="11"/>
  <c r="A21"/>
  <c r="A29" i="2"/>
  <c r="B28"/>
  <c r="D28"/>
  <c r="M88" i="11"/>
  <c r="N87"/>
  <c r="H13"/>
  <c r="G87"/>
  <c r="F88"/>
  <c r="K85"/>
  <c r="P86"/>
  <c r="O86"/>
  <c r="Q86"/>
  <c r="J86"/>
  <c r="I86"/>
  <c r="AA80"/>
  <c r="H86"/>
  <c r="H20" i="2"/>
  <c r="E20"/>
  <c r="N133" i="7"/>
  <c r="E135"/>
  <c r="E146"/>
  <c r="B134"/>
  <c r="O134"/>
  <c r="O133"/>
  <c r="H20" i="10"/>
  <c r="R86" i="11"/>
  <c r="AA81"/>
  <c r="M89"/>
  <c r="N88"/>
  <c r="F89"/>
  <c r="G88"/>
  <c r="C14"/>
  <c r="J87"/>
  <c r="AB81"/>
  <c r="I87"/>
  <c r="AB80"/>
  <c r="H87"/>
  <c r="K86"/>
  <c r="P87"/>
  <c r="O87"/>
  <c r="Q87"/>
  <c r="B29" i="2"/>
  <c r="A30"/>
  <c r="D29"/>
  <c r="A22" i="11"/>
  <c r="F20" i="2"/>
  <c r="G20"/>
  <c r="I20"/>
  <c r="J20"/>
  <c r="B135" i="7"/>
  <c r="B146"/>
  <c r="B148"/>
  <c r="N134"/>
  <c r="F20" i="10"/>
  <c r="R87" i="11"/>
  <c r="K87"/>
  <c r="F14"/>
  <c r="D14"/>
  <c r="M90"/>
  <c r="N89"/>
  <c r="A23"/>
  <c r="D30" i="2"/>
  <c r="B30"/>
  <c r="A31"/>
  <c r="H88" i="11"/>
  <c r="J88"/>
  <c r="AC81"/>
  <c r="I88"/>
  <c r="AC80"/>
  <c r="F90"/>
  <c r="G89"/>
  <c r="G14"/>
  <c r="Q88"/>
  <c r="P88"/>
  <c r="O88"/>
  <c r="C21" i="2"/>
  <c r="O135" i="7"/>
  <c r="L79"/>
  <c r="N135"/>
  <c r="E23" i="10"/>
  <c r="N146" i="7"/>
  <c r="O146"/>
  <c r="B31" i="2"/>
  <c r="D31"/>
  <c r="A32"/>
  <c r="A24" i="11"/>
  <c r="H14"/>
  <c r="J89"/>
  <c r="AD81"/>
  <c r="I89"/>
  <c r="AD80"/>
  <c r="H89"/>
  <c r="G90"/>
  <c r="F91"/>
  <c r="K88"/>
  <c r="O89"/>
  <c r="Q89"/>
  <c r="P89"/>
  <c r="R88"/>
  <c r="M91"/>
  <c r="N90"/>
  <c r="H21" i="2"/>
  <c r="E21"/>
  <c r="B42" i="10"/>
  <c r="B46"/>
  <c r="F45"/>
  <c r="O148" i="7"/>
  <c r="E19" i="10"/>
  <c r="H23"/>
  <c r="F23"/>
  <c r="R89" i="11"/>
  <c r="C116" i="7"/>
  <c r="C148"/>
  <c r="K89" i="11"/>
  <c r="Q90"/>
  <c r="P90"/>
  <c r="O90"/>
  <c r="A33" i="2"/>
  <c r="B32"/>
  <c r="D32"/>
  <c r="N91" i="11"/>
  <c r="M92"/>
  <c r="F92"/>
  <c r="G91"/>
  <c r="H90"/>
  <c r="J90"/>
  <c r="AE81"/>
  <c r="I90"/>
  <c r="AE80"/>
  <c r="A25"/>
  <c r="C15"/>
  <c r="D15"/>
  <c r="F21" i="2"/>
  <c r="G21"/>
  <c r="I21"/>
  <c r="J21"/>
  <c r="R90" i="11"/>
  <c r="D148" i="7"/>
  <c r="D116"/>
  <c r="K90" i="11"/>
  <c r="Q91"/>
  <c r="P91"/>
  <c r="O91"/>
  <c r="H91"/>
  <c r="J91"/>
  <c r="AF81"/>
  <c r="I91"/>
  <c r="AF80"/>
  <c r="F93"/>
  <c r="G92"/>
  <c r="F15"/>
  <c r="G15"/>
  <c r="A26"/>
  <c r="M93"/>
  <c r="N92"/>
  <c r="D33" i="2"/>
  <c r="B33"/>
  <c r="A34"/>
  <c r="C22"/>
  <c r="R91" i="11"/>
  <c r="E148" i="7"/>
  <c r="E116"/>
  <c r="K91" i="11"/>
  <c r="H15"/>
  <c r="D34" i="2"/>
  <c r="A35"/>
  <c r="B34"/>
  <c r="N93" i="11"/>
  <c r="M94"/>
  <c r="A27"/>
  <c r="J92"/>
  <c r="AG81"/>
  <c r="I92"/>
  <c r="AG80"/>
  <c r="H92"/>
  <c r="P92"/>
  <c r="O92"/>
  <c r="Q92"/>
  <c r="F94"/>
  <c r="G93"/>
  <c r="H22" i="2"/>
  <c r="E22"/>
  <c r="R92" i="11"/>
  <c r="F148" i="7"/>
  <c r="F116"/>
  <c r="K92" i="11"/>
  <c r="J93"/>
  <c r="I93"/>
  <c r="H93"/>
  <c r="A28"/>
  <c r="A36" i="2"/>
  <c r="D35"/>
  <c r="B35"/>
  <c r="F95" i="11"/>
  <c r="G94"/>
  <c r="M95"/>
  <c r="N94"/>
  <c r="O93"/>
  <c r="Q93"/>
  <c r="P93"/>
  <c r="C16"/>
  <c r="D16"/>
  <c r="J22" i="2"/>
  <c r="F22"/>
  <c r="G22"/>
  <c r="I22"/>
  <c r="R93" i="11"/>
  <c r="G116" i="7"/>
  <c r="G148"/>
  <c r="K93" i="11"/>
  <c r="J94"/>
  <c r="I94"/>
  <c r="H94"/>
  <c r="A37" i="2"/>
  <c r="B36"/>
  <c r="D36"/>
  <c r="F16" i="11"/>
  <c r="G16"/>
  <c r="H16"/>
  <c r="F96"/>
  <c r="G95"/>
  <c r="O94"/>
  <c r="Q94"/>
  <c r="P94"/>
  <c r="M96"/>
  <c r="N95"/>
  <c r="A29"/>
  <c r="C23" i="2"/>
  <c r="R94" i="11"/>
  <c r="H148" i="7"/>
  <c r="H116"/>
  <c r="K94" i="11"/>
  <c r="C17"/>
  <c r="D17"/>
  <c r="F97"/>
  <c r="G96"/>
  <c r="Q95"/>
  <c r="P95"/>
  <c r="O95"/>
  <c r="M97"/>
  <c r="N96"/>
  <c r="A30"/>
  <c r="H95"/>
  <c r="J95"/>
  <c r="I95"/>
  <c r="A38" i="2"/>
  <c r="B37"/>
  <c r="D37"/>
  <c r="H23"/>
  <c r="E23"/>
  <c r="R95" i="11"/>
  <c r="K95"/>
  <c r="I148" i="7"/>
  <c r="I116"/>
  <c r="G97" i="11"/>
  <c r="F98"/>
  <c r="B38" i="2"/>
  <c r="A39"/>
  <c r="D38"/>
  <c r="O96" i="11"/>
  <c r="Q96"/>
  <c r="P96"/>
  <c r="M98"/>
  <c r="N97"/>
  <c r="A31"/>
  <c r="J96"/>
  <c r="I96"/>
  <c r="H96"/>
  <c r="F17"/>
  <c r="G17"/>
  <c r="H17"/>
  <c r="F23" i="2"/>
  <c r="G23"/>
  <c r="I23"/>
  <c r="C24"/>
  <c r="J23"/>
  <c r="R96" i="11"/>
  <c r="K96"/>
  <c r="J148" i="7"/>
  <c r="J116"/>
  <c r="C18" i="11"/>
  <c r="D18"/>
  <c r="B39" i="2"/>
  <c r="D39"/>
  <c r="A40"/>
  <c r="Q97" i="11"/>
  <c r="P97"/>
  <c r="O97"/>
  <c r="M99"/>
  <c r="N98"/>
  <c r="G98"/>
  <c r="F99"/>
  <c r="A32"/>
  <c r="H97"/>
  <c r="J97"/>
  <c r="I97"/>
  <c r="H24" i="2"/>
  <c r="J24"/>
  <c r="E24"/>
  <c r="R97" i="11"/>
  <c r="K97"/>
  <c r="K116" i="7"/>
  <c r="K148"/>
  <c r="H98" i="11"/>
  <c r="J98"/>
  <c r="I98"/>
  <c r="A33"/>
  <c r="M100"/>
  <c r="N99"/>
  <c r="Q98"/>
  <c r="P98"/>
  <c r="O98"/>
  <c r="G99"/>
  <c r="F100"/>
  <c r="A41" i="2"/>
  <c r="D40"/>
  <c r="B40"/>
  <c r="F18" i="11"/>
  <c r="G18"/>
  <c r="H18"/>
  <c r="F24" i="2"/>
  <c r="G24"/>
  <c r="I24"/>
  <c r="C25"/>
  <c r="K98" i="11"/>
  <c r="R98"/>
  <c r="L148" i="7"/>
  <c r="L116"/>
  <c r="C19" i="11"/>
  <c r="D19"/>
  <c r="G100"/>
  <c r="F101"/>
  <c r="N100"/>
  <c r="M101"/>
  <c r="H99"/>
  <c r="J99"/>
  <c r="I99"/>
  <c r="K99"/>
  <c r="A34"/>
  <c r="B41" i="2"/>
  <c r="A42"/>
  <c r="D41"/>
  <c r="Q99" i="11"/>
  <c r="P99"/>
  <c r="O99"/>
  <c r="H25" i="2"/>
  <c r="J25"/>
  <c r="E25"/>
  <c r="R99" i="11"/>
  <c r="M148" i="7"/>
  <c r="N148"/>
  <c r="H19" i="10"/>
  <c r="F19"/>
  <c r="M116" i="7"/>
  <c r="G101" i="11"/>
  <c r="F102"/>
  <c r="D42" i="2"/>
  <c r="A43"/>
  <c r="B42"/>
  <c r="I100" i="11"/>
  <c r="K100"/>
  <c r="H100"/>
  <c r="J100"/>
  <c r="N101"/>
  <c r="M102"/>
  <c r="A35"/>
  <c r="Q100"/>
  <c r="P100"/>
  <c r="O100"/>
  <c r="F19"/>
  <c r="G19"/>
  <c r="H19"/>
  <c r="F25" i="2"/>
  <c r="G25"/>
  <c r="I25"/>
  <c r="C26"/>
  <c r="R100" i="11"/>
  <c r="C20"/>
  <c r="D20"/>
  <c r="B43" i="2"/>
  <c r="A44"/>
  <c r="D43"/>
  <c r="N102" i="11"/>
  <c r="M103"/>
  <c r="Q101"/>
  <c r="P101"/>
  <c r="O101"/>
  <c r="G102"/>
  <c r="F103"/>
  <c r="A36"/>
  <c r="I101"/>
  <c r="K101"/>
  <c r="H101"/>
  <c r="J101"/>
  <c r="H26" i="2"/>
  <c r="J26"/>
  <c r="E26"/>
  <c r="R101" i="11"/>
  <c r="I102"/>
  <c r="K102"/>
  <c r="H102"/>
  <c r="J102"/>
  <c r="D44" i="2"/>
  <c r="B44"/>
  <c r="A45"/>
  <c r="N103" i="11"/>
  <c r="M104"/>
  <c r="A37"/>
  <c r="Q102"/>
  <c r="P102"/>
  <c r="O102"/>
  <c r="G103"/>
  <c r="F104"/>
  <c r="F20"/>
  <c r="G20"/>
  <c r="H20"/>
  <c r="F26" i="2"/>
  <c r="G26"/>
  <c r="I26"/>
  <c r="C27"/>
  <c r="R102" i="11"/>
  <c r="C21"/>
  <c r="D21"/>
  <c r="Q103"/>
  <c r="P103"/>
  <c r="O103"/>
  <c r="G104"/>
  <c r="F105"/>
  <c r="A38"/>
  <c r="D45" i="2"/>
  <c r="B45"/>
  <c r="A46"/>
  <c r="I103" i="11"/>
  <c r="K103"/>
  <c r="H103"/>
  <c r="J103"/>
  <c r="N104"/>
  <c r="M105"/>
  <c r="H27" i="2"/>
  <c r="J27"/>
  <c r="E27"/>
  <c r="R103" i="11"/>
  <c r="N105"/>
  <c r="M106"/>
  <c r="G105"/>
  <c r="F106"/>
  <c r="Q104"/>
  <c r="P104"/>
  <c r="O104"/>
  <c r="A39"/>
  <c r="I104"/>
  <c r="K104"/>
  <c r="H104"/>
  <c r="J104"/>
  <c r="D46" i="2"/>
  <c r="A47"/>
  <c r="B46"/>
  <c r="F21" i="11"/>
  <c r="G21"/>
  <c r="H21"/>
  <c r="F27" i="2"/>
  <c r="G27"/>
  <c r="I27"/>
  <c r="C28"/>
  <c r="R104" i="11"/>
  <c r="C22"/>
  <c r="D22"/>
  <c r="G106"/>
  <c r="F107"/>
  <c r="I105"/>
  <c r="K105"/>
  <c r="H105"/>
  <c r="J105"/>
  <c r="N106"/>
  <c r="M107"/>
  <c r="B47" i="2"/>
  <c r="D47"/>
  <c r="A48"/>
  <c r="A40" i="11"/>
  <c r="Q105"/>
  <c r="P105"/>
  <c r="O105"/>
  <c r="H28" i="2"/>
  <c r="J28"/>
  <c r="E28"/>
  <c r="R105" i="11"/>
  <c r="G107"/>
  <c r="F108"/>
  <c r="I106"/>
  <c r="K106"/>
  <c r="H106"/>
  <c r="J106"/>
  <c r="A41"/>
  <c r="N107"/>
  <c r="M108"/>
  <c r="B48" i="2"/>
  <c r="A49"/>
  <c r="D48"/>
  <c r="Q106" i="11"/>
  <c r="P106"/>
  <c r="O106"/>
  <c r="F22"/>
  <c r="G22"/>
  <c r="H22"/>
  <c r="F28" i="2"/>
  <c r="G28"/>
  <c r="I28"/>
  <c r="C29"/>
  <c r="R106" i="11"/>
  <c r="C23"/>
  <c r="D23"/>
  <c r="A42"/>
  <c r="N108"/>
  <c r="M109"/>
  <c r="B49" i="2"/>
  <c r="D49"/>
  <c r="A50"/>
  <c r="Q107" i="11"/>
  <c r="P107"/>
  <c r="O107"/>
  <c r="G108"/>
  <c r="F109"/>
  <c r="I107"/>
  <c r="K107"/>
  <c r="H107"/>
  <c r="J107"/>
  <c r="H29" i="2"/>
  <c r="J29"/>
  <c r="E29"/>
  <c r="R107" i="11"/>
  <c r="G109"/>
  <c r="F110"/>
  <c r="A43"/>
  <c r="I108"/>
  <c r="K108"/>
  <c r="H108"/>
  <c r="J108"/>
  <c r="N109"/>
  <c r="M110"/>
  <c r="D50" i="2"/>
  <c r="B50"/>
  <c r="A51"/>
  <c r="Q108" i="11"/>
  <c r="P108"/>
  <c r="O108"/>
  <c r="F23"/>
  <c r="G23"/>
  <c r="H23"/>
  <c r="F29" i="2"/>
  <c r="G29"/>
  <c r="I29"/>
  <c r="C30"/>
  <c r="R108" i="11"/>
  <c r="C24"/>
  <c r="D24"/>
  <c r="N110"/>
  <c r="M111"/>
  <c r="A44"/>
  <c r="D51" i="2"/>
  <c r="A52"/>
  <c r="B51"/>
  <c r="Q109" i="11"/>
  <c r="P109"/>
  <c r="O109"/>
  <c r="G110"/>
  <c r="F111"/>
  <c r="I109"/>
  <c r="K109"/>
  <c r="H109"/>
  <c r="J109"/>
  <c r="E30" i="2"/>
  <c r="H30"/>
  <c r="J30"/>
  <c r="R109" i="11"/>
  <c r="G111"/>
  <c r="F112"/>
  <c r="N111"/>
  <c r="M112"/>
  <c r="I110"/>
  <c r="K110"/>
  <c r="H110"/>
  <c r="J110"/>
  <c r="Q110"/>
  <c r="P110"/>
  <c r="R110"/>
  <c r="O110"/>
  <c r="D52" i="2"/>
  <c r="A53"/>
  <c r="B52"/>
  <c r="A45" i="11"/>
  <c r="F24"/>
  <c r="G24"/>
  <c r="H24"/>
  <c r="F30" i="2"/>
  <c r="G30"/>
  <c r="I30"/>
  <c r="C31"/>
  <c r="C25" i="11"/>
  <c r="D25"/>
  <c r="N112"/>
  <c r="M113"/>
  <c r="A54" i="2"/>
  <c r="D53"/>
  <c r="B53"/>
  <c r="Q111" i="11"/>
  <c r="P111"/>
  <c r="R111"/>
  <c r="O111"/>
  <c r="A46"/>
  <c r="G112"/>
  <c r="F113"/>
  <c r="I111"/>
  <c r="K111"/>
  <c r="H111"/>
  <c r="J111"/>
  <c r="H31" i="2"/>
  <c r="J31"/>
  <c r="E31"/>
  <c r="F114" i="11"/>
  <c r="G113"/>
  <c r="M114"/>
  <c r="N113"/>
  <c r="Q112"/>
  <c r="P112"/>
  <c r="R112"/>
  <c r="O112"/>
  <c r="I112"/>
  <c r="K112"/>
  <c r="H112"/>
  <c r="J112"/>
  <c r="A47"/>
  <c r="D54" i="2"/>
  <c r="A55"/>
  <c r="B54"/>
  <c r="F25" i="11"/>
  <c r="G25"/>
  <c r="H25"/>
  <c r="F31" i="2"/>
  <c r="G31"/>
  <c r="I31"/>
  <c r="C32"/>
  <c r="C26" i="11"/>
  <c r="D26"/>
  <c r="P113"/>
  <c r="R113"/>
  <c r="O113"/>
  <c r="Q113"/>
  <c r="N114"/>
  <c r="M115"/>
  <c r="A56" i="2"/>
  <c r="D55"/>
  <c r="B55"/>
  <c r="A48" i="11"/>
  <c r="J113"/>
  <c r="I113"/>
  <c r="K113"/>
  <c r="H113"/>
  <c r="G114"/>
  <c r="F115"/>
  <c r="E32" i="2"/>
  <c r="H32"/>
  <c r="J32"/>
  <c r="G115" i="11"/>
  <c r="F116"/>
  <c r="A49"/>
  <c r="M116"/>
  <c r="N115"/>
  <c r="J114"/>
  <c r="I114"/>
  <c r="K114"/>
  <c r="H114"/>
  <c r="P114"/>
  <c r="R114"/>
  <c r="O114"/>
  <c r="Q114"/>
  <c r="D56" i="2"/>
  <c r="A57"/>
  <c r="B56"/>
  <c r="F26" i="11"/>
  <c r="G26"/>
  <c r="H26"/>
  <c r="F32" i="2"/>
  <c r="G32"/>
  <c r="I32"/>
  <c r="C33"/>
  <c r="C27" i="11"/>
  <c r="D27"/>
  <c r="A50"/>
  <c r="P115"/>
  <c r="R115"/>
  <c r="O115"/>
  <c r="Q115"/>
  <c r="D57" i="2"/>
  <c r="B57"/>
  <c r="A58"/>
  <c r="N116" i="11"/>
  <c r="M117"/>
  <c r="G116"/>
  <c r="F117"/>
  <c r="J115"/>
  <c r="I115"/>
  <c r="K115"/>
  <c r="H115"/>
  <c r="H33" i="2"/>
  <c r="J33"/>
  <c r="E33"/>
  <c r="G117" i="11"/>
  <c r="F118"/>
  <c r="D58" i="2"/>
  <c r="A59"/>
  <c r="B58"/>
  <c r="A51" i="11"/>
  <c r="J116"/>
  <c r="I116"/>
  <c r="K116"/>
  <c r="H116"/>
  <c r="M118"/>
  <c r="N117"/>
  <c r="P116"/>
  <c r="R116"/>
  <c r="O116"/>
  <c r="Q116"/>
  <c r="F27"/>
  <c r="G27"/>
  <c r="H27"/>
  <c r="F33" i="2"/>
  <c r="G33"/>
  <c r="I33"/>
  <c r="C34"/>
  <c r="C28" i="11"/>
  <c r="D28"/>
  <c r="A60" i="2"/>
  <c r="B59"/>
  <c r="D59"/>
  <c r="P117" i="11"/>
  <c r="R117"/>
  <c r="O117"/>
  <c r="Q117"/>
  <c r="A52"/>
  <c r="G118"/>
  <c r="F119"/>
  <c r="N118"/>
  <c r="M119"/>
  <c r="J117"/>
  <c r="I117"/>
  <c r="K117"/>
  <c r="H117"/>
  <c r="H34" i="2"/>
  <c r="J34"/>
  <c r="E34"/>
  <c r="M120" i="11"/>
  <c r="N119"/>
  <c r="P118"/>
  <c r="R118"/>
  <c r="O118"/>
  <c r="Q118"/>
  <c r="D60" i="2"/>
  <c r="A61"/>
  <c r="B60"/>
  <c r="G119" i="11"/>
  <c r="F120"/>
  <c r="A53"/>
  <c r="J118"/>
  <c r="I118"/>
  <c r="K118"/>
  <c r="H118"/>
  <c r="F28"/>
  <c r="G28"/>
  <c r="H28"/>
  <c r="F34" i="2"/>
  <c r="G34"/>
  <c r="I34"/>
  <c r="C35"/>
  <c r="C29" i="11"/>
  <c r="D29"/>
  <c r="B61" i="2"/>
  <c r="A62"/>
  <c r="D61"/>
  <c r="G120" i="11"/>
  <c r="F121"/>
  <c r="J119"/>
  <c r="I119"/>
  <c r="K119"/>
  <c r="H119"/>
  <c r="P119"/>
  <c r="R119"/>
  <c r="O119"/>
  <c r="Q119"/>
  <c r="A54"/>
  <c r="N120"/>
  <c r="M121"/>
  <c r="H35" i="2"/>
  <c r="J35"/>
  <c r="E35"/>
  <c r="M122" i="11"/>
  <c r="N121"/>
  <c r="D62" i="2"/>
  <c r="B62"/>
  <c r="A63"/>
  <c r="P120" i="11"/>
  <c r="R120"/>
  <c r="O120"/>
  <c r="Q120"/>
  <c r="G121"/>
  <c r="F122"/>
  <c r="A55"/>
  <c r="J120"/>
  <c r="I120"/>
  <c r="K120"/>
  <c r="H120"/>
  <c r="F29"/>
  <c r="G29"/>
  <c r="H29"/>
  <c r="F35" i="2"/>
  <c r="G35"/>
  <c r="I35"/>
  <c r="C36"/>
  <c r="C30" i="11"/>
  <c r="D30"/>
  <c r="G122"/>
  <c r="F123"/>
  <c r="J121"/>
  <c r="I121"/>
  <c r="K121"/>
  <c r="H121"/>
  <c r="P121"/>
  <c r="R121"/>
  <c r="O121"/>
  <c r="Q121"/>
  <c r="A56"/>
  <c r="A64" i="2"/>
  <c r="D63"/>
  <c r="B63"/>
  <c r="N122" i="11"/>
  <c r="M123"/>
  <c r="H36" i="2"/>
  <c r="J36"/>
  <c r="E36"/>
  <c r="M124" i="11"/>
  <c r="N123"/>
  <c r="B64" i="2"/>
  <c r="A65"/>
  <c r="D64"/>
  <c r="G123" i="11"/>
  <c r="F124"/>
  <c r="P122"/>
  <c r="R122"/>
  <c r="O122"/>
  <c r="Q122"/>
  <c r="J122"/>
  <c r="I122"/>
  <c r="K122"/>
  <c r="H122"/>
  <c r="G30"/>
  <c r="H30"/>
  <c r="A57"/>
  <c r="F30"/>
  <c r="F36" i="2"/>
  <c r="G36"/>
  <c r="I36"/>
  <c r="C37"/>
  <c r="C31" i="11"/>
  <c r="D31"/>
  <c r="D65" i="2"/>
  <c r="B65"/>
  <c r="A66"/>
  <c r="G124" i="11"/>
  <c r="F125"/>
  <c r="A58"/>
  <c r="J123"/>
  <c r="I123"/>
  <c r="K123"/>
  <c r="H123"/>
  <c r="P123"/>
  <c r="R123"/>
  <c r="O123"/>
  <c r="Q123"/>
  <c r="N124"/>
  <c r="M125"/>
  <c r="H37" i="2"/>
  <c r="J37"/>
  <c r="E37"/>
  <c r="M126" i="11"/>
  <c r="N125"/>
  <c r="P124"/>
  <c r="R124"/>
  <c r="O124"/>
  <c r="Q124"/>
  <c r="G125"/>
  <c r="F126"/>
  <c r="J124"/>
  <c r="I124"/>
  <c r="K124"/>
  <c r="H124"/>
  <c r="A59"/>
  <c r="D66" i="2"/>
  <c r="A67"/>
  <c r="B66"/>
  <c r="F31" i="11"/>
  <c r="G31"/>
  <c r="H31"/>
  <c r="F37" i="2"/>
  <c r="G37"/>
  <c r="I37"/>
  <c r="C38"/>
  <c r="C32" i="11"/>
  <c r="D32"/>
  <c r="G126"/>
  <c r="F127"/>
  <c r="J125"/>
  <c r="I125"/>
  <c r="K125"/>
  <c r="H125"/>
  <c r="P125"/>
  <c r="R125"/>
  <c r="O125"/>
  <c r="Q125"/>
  <c r="B67" i="2"/>
  <c r="D67"/>
  <c r="A68"/>
  <c r="A60" i="11"/>
  <c r="N126"/>
  <c r="M127"/>
  <c r="H38" i="2"/>
  <c r="J38"/>
  <c r="E38"/>
  <c r="M128" i="11"/>
  <c r="N127"/>
  <c r="G127"/>
  <c r="F128"/>
  <c r="P126"/>
  <c r="R126"/>
  <c r="O126"/>
  <c r="Q126"/>
  <c r="B68" i="2"/>
  <c r="A69"/>
  <c r="D68"/>
  <c r="J126" i="11"/>
  <c r="I126"/>
  <c r="K126"/>
  <c r="H126"/>
  <c r="A61"/>
  <c r="F32"/>
  <c r="G32"/>
  <c r="H32"/>
  <c r="F38" i="2"/>
  <c r="G38"/>
  <c r="I38"/>
  <c r="C39"/>
  <c r="C33" i="11"/>
  <c r="D33"/>
  <c r="G128"/>
  <c r="F129"/>
  <c r="J127"/>
  <c r="I127"/>
  <c r="K127"/>
  <c r="H127"/>
  <c r="B69" i="2"/>
  <c r="A70"/>
  <c r="D69"/>
  <c r="P127" i="11"/>
  <c r="R127"/>
  <c r="O127"/>
  <c r="Q127"/>
  <c r="A62"/>
  <c r="N128"/>
  <c r="M129"/>
  <c r="H39" i="2"/>
  <c r="J39"/>
  <c r="E39"/>
  <c r="M130" i="11"/>
  <c r="N129"/>
  <c r="A63"/>
  <c r="G129"/>
  <c r="F130"/>
  <c r="P128"/>
  <c r="R128"/>
  <c r="O128"/>
  <c r="Q128"/>
  <c r="J128"/>
  <c r="I128"/>
  <c r="K128"/>
  <c r="H128"/>
  <c r="D70" i="2"/>
  <c r="B70"/>
  <c r="A71"/>
  <c r="F33" i="11"/>
  <c r="G33"/>
  <c r="H33"/>
  <c r="F39" i="2"/>
  <c r="G39"/>
  <c r="I39"/>
  <c r="C40"/>
  <c r="C34" i="11"/>
  <c r="D34"/>
  <c r="G130"/>
  <c r="F131"/>
  <c r="B71" i="2"/>
  <c r="D71"/>
  <c r="A72"/>
  <c r="J129" i="11"/>
  <c r="I129"/>
  <c r="K129"/>
  <c r="H129"/>
  <c r="P129"/>
  <c r="R129"/>
  <c r="O129"/>
  <c r="Q129"/>
  <c r="A64"/>
  <c r="N130"/>
  <c r="M131"/>
  <c r="H40" i="2"/>
  <c r="J40"/>
  <c r="E40"/>
  <c r="M132" i="11"/>
  <c r="N131"/>
  <c r="G131"/>
  <c r="F132"/>
  <c r="P130"/>
  <c r="O130"/>
  <c r="R130"/>
  <c r="Q130"/>
  <c r="D72" i="2"/>
  <c r="B72"/>
  <c r="A73"/>
  <c r="K130" i="11"/>
  <c r="J130"/>
  <c r="I130"/>
  <c r="H130"/>
  <c r="A65"/>
  <c r="F34"/>
  <c r="G34"/>
  <c r="H34"/>
  <c r="F40" i="2"/>
  <c r="G40"/>
  <c r="I40"/>
  <c r="C41"/>
  <c r="C35" i="11"/>
  <c r="D35"/>
  <c r="G132"/>
  <c r="F133"/>
  <c r="D73" i="2"/>
  <c r="A74"/>
  <c r="B73"/>
  <c r="K131" i="11"/>
  <c r="J131"/>
  <c r="I131"/>
  <c r="H131"/>
  <c r="P131"/>
  <c r="R131"/>
  <c r="O131"/>
  <c r="Q131"/>
  <c r="A66"/>
  <c r="N132"/>
  <c r="M133"/>
  <c r="H41" i="2"/>
  <c r="J41"/>
  <c r="E41"/>
  <c r="M134" i="11"/>
  <c r="N133"/>
  <c r="A67"/>
  <c r="G133"/>
  <c r="F134"/>
  <c r="J132"/>
  <c r="I132"/>
  <c r="K132"/>
  <c r="H132"/>
  <c r="P132"/>
  <c r="R132"/>
  <c r="O132"/>
  <c r="Q132"/>
  <c r="B74" i="2"/>
  <c r="A75"/>
  <c r="D74"/>
  <c r="F35" i="11"/>
  <c r="G35"/>
  <c r="H35"/>
  <c r="F41" i="2"/>
  <c r="G41"/>
  <c r="I41"/>
  <c r="C42"/>
  <c r="C36" i="11"/>
  <c r="G134"/>
  <c r="F135"/>
  <c r="K133"/>
  <c r="J133"/>
  <c r="I133"/>
  <c r="H133"/>
  <c r="P133"/>
  <c r="R133"/>
  <c r="O133"/>
  <c r="Q133"/>
  <c r="B75" i="2"/>
  <c r="D75"/>
  <c r="A76"/>
  <c r="A68" i="11"/>
  <c r="N134"/>
  <c r="M135"/>
  <c r="H42" i="2"/>
  <c r="J42"/>
  <c r="E42"/>
  <c r="M136" i="11"/>
  <c r="N135"/>
  <c r="G135"/>
  <c r="F136"/>
  <c r="P134"/>
  <c r="O134"/>
  <c r="R134"/>
  <c r="Q134"/>
  <c r="D76" i="2"/>
  <c r="A77"/>
  <c r="B76"/>
  <c r="J134" i="11"/>
  <c r="I134"/>
  <c r="K134"/>
  <c r="H134"/>
  <c r="A69"/>
  <c r="F36"/>
  <c r="D36"/>
  <c r="G36"/>
  <c r="H36"/>
  <c r="F42" i="2"/>
  <c r="G42"/>
  <c r="I42"/>
  <c r="C43"/>
  <c r="A70" i="11"/>
  <c r="G136"/>
  <c r="F137"/>
  <c r="J135"/>
  <c r="I135"/>
  <c r="K135"/>
  <c r="H135"/>
  <c r="A78" i="2"/>
  <c r="D77"/>
  <c r="B77"/>
  <c r="P135" i="11"/>
  <c r="R135"/>
  <c r="O135"/>
  <c r="Q135"/>
  <c r="C37"/>
  <c r="N136"/>
  <c r="M137"/>
  <c r="H43" i="2"/>
  <c r="J43"/>
  <c r="E43"/>
  <c r="J136" i="11"/>
  <c r="I136"/>
  <c r="K136"/>
  <c r="H136"/>
  <c r="M138"/>
  <c r="N137"/>
  <c r="P136"/>
  <c r="R136"/>
  <c r="O136"/>
  <c r="Q136"/>
  <c r="B78" i="2"/>
  <c r="D78"/>
  <c r="A79"/>
  <c r="F37" i="11"/>
  <c r="D37"/>
  <c r="G37"/>
  <c r="H37"/>
  <c r="G137"/>
  <c r="F138"/>
  <c r="A71"/>
  <c r="F43" i="2"/>
  <c r="G43"/>
  <c r="I43"/>
  <c r="C44"/>
  <c r="C38" i="11"/>
  <c r="J137"/>
  <c r="I137"/>
  <c r="K137"/>
  <c r="H137"/>
  <c r="P137"/>
  <c r="R137"/>
  <c r="O137"/>
  <c r="Q137"/>
  <c r="G138"/>
  <c r="F139"/>
  <c r="B79" i="2"/>
  <c r="A80"/>
  <c r="D79"/>
  <c r="N138" i="11"/>
  <c r="M139"/>
  <c r="E44" i="2"/>
  <c r="H44"/>
  <c r="J44"/>
  <c r="D80"/>
  <c r="A81"/>
  <c r="B80"/>
  <c r="M140" i="11"/>
  <c r="N140"/>
  <c r="N139"/>
  <c r="P138"/>
  <c r="R138"/>
  <c r="O138"/>
  <c r="Q138"/>
  <c r="G139"/>
  <c r="F140"/>
  <c r="G140"/>
  <c r="J138"/>
  <c r="I138"/>
  <c r="K138"/>
  <c r="H138"/>
  <c r="F38"/>
  <c r="D38"/>
  <c r="G38"/>
  <c r="H38"/>
  <c r="F44" i="2"/>
  <c r="G44"/>
  <c r="I44"/>
  <c r="C45"/>
  <c r="C39" i="11"/>
  <c r="P140"/>
  <c r="O140"/>
  <c r="Q140"/>
  <c r="J140"/>
  <c r="I140"/>
  <c r="H140"/>
  <c r="J139"/>
  <c r="I139"/>
  <c r="K139"/>
  <c r="H139"/>
  <c r="A82" i="2"/>
  <c r="B81"/>
  <c r="D81"/>
  <c r="P139" i="11"/>
  <c r="R139"/>
  <c r="R140"/>
  <c r="O139"/>
  <c r="Q139"/>
  <c r="H45" i="2"/>
  <c r="J45"/>
  <c r="E45"/>
  <c r="K140" i="11"/>
  <c r="H141"/>
  <c r="C97"/>
  <c r="J141"/>
  <c r="C96"/>
  <c r="H41" i="10"/>
  <c r="O141" i="11"/>
  <c r="D97"/>
  <c r="A83" i="2"/>
  <c r="D82"/>
  <c r="B82"/>
  <c r="P141" i="11"/>
  <c r="D95"/>
  <c r="Q141"/>
  <c r="D96"/>
  <c r="I141"/>
  <c r="C95"/>
  <c r="H40" i="10"/>
  <c r="F39" i="11"/>
  <c r="D39"/>
  <c r="G39"/>
  <c r="H39"/>
  <c r="F45" i="2"/>
  <c r="G45"/>
  <c r="I45"/>
  <c r="C46"/>
  <c r="J85" i="7"/>
  <c r="C21" i="10"/>
  <c r="C40" i="9"/>
  <c r="C41"/>
  <c r="C57" i="10"/>
  <c r="H42"/>
  <c r="F46"/>
  <c r="J87" i="7"/>
  <c r="C22" i="10"/>
  <c r="L85" i="7"/>
  <c r="E21" i="10"/>
  <c r="L87" i="7"/>
  <c r="E22" i="10"/>
  <c r="C40" i="11"/>
  <c r="A84" i="2"/>
  <c r="B83"/>
  <c r="D83"/>
  <c r="H46"/>
  <c r="J46"/>
  <c r="E46"/>
  <c r="H21" i="10"/>
  <c r="F21"/>
  <c r="H22"/>
  <c r="F22"/>
  <c r="D57"/>
  <c r="B84" i="2"/>
  <c r="D84"/>
  <c r="A85"/>
  <c r="F40" i="11"/>
  <c r="D40"/>
  <c r="G40"/>
  <c r="H40"/>
  <c r="I46" i="2"/>
  <c r="C47"/>
  <c r="F46"/>
  <c r="G46"/>
  <c r="H25" i="10"/>
  <c r="C55"/>
  <c r="D55"/>
  <c r="C59"/>
  <c r="C41" i="11"/>
  <c r="A86" i="2"/>
  <c r="B85"/>
  <c r="D85"/>
  <c r="E47"/>
  <c r="H47"/>
  <c r="J47"/>
  <c r="B86"/>
  <c r="A87"/>
  <c r="D86"/>
  <c r="F41" i="11"/>
  <c r="D41"/>
  <c r="G41"/>
  <c r="H41"/>
  <c r="I47" i="2"/>
  <c r="C48"/>
  <c r="F47"/>
  <c r="G47"/>
  <c r="C42" i="11"/>
  <c r="B87" i="2"/>
  <c r="A88"/>
  <c r="D87"/>
  <c r="H48"/>
  <c r="J48"/>
  <c r="E48"/>
  <c r="A89"/>
  <c r="B88"/>
  <c r="D88"/>
  <c r="F42" i="11"/>
  <c r="D42"/>
  <c r="G42"/>
  <c r="H42"/>
  <c r="I48" i="2"/>
  <c r="C49"/>
  <c r="F48"/>
  <c r="G48"/>
  <c r="C43" i="11"/>
  <c r="B89" i="2"/>
  <c r="D89"/>
  <c r="A90"/>
  <c r="H49"/>
  <c r="J49"/>
  <c r="E49"/>
  <c r="B90"/>
  <c r="A91"/>
  <c r="D90"/>
  <c r="F43" i="11"/>
  <c r="D43"/>
  <c r="G43"/>
  <c r="H43"/>
  <c r="I49" i="2"/>
  <c r="C50"/>
  <c r="F49"/>
  <c r="G49"/>
  <c r="C44" i="11"/>
  <c r="B91" i="2"/>
  <c r="D91"/>
  <c r="A92"/>
  <c r="E50"/>
  <c r="H50"/>
  <c r="J50"/>
  <c r="A93"/>
  <c r="B92"/>
  <c r="D92"/>
  <c r="F44" i="11"/>
  <c r="D44"/>
  <c r="G44"/>
  <c r="H44"/>
  <c r="I50" i="2"/>
  <c r="C51"/>
  <c r="F50"/>
  <c r="G50"/>
  <c r="C45" i="11"/>
  <c r="B93" i="2"/>
  <c r="A94"/>
  <c r="D93"/>
  <c r="H51"/>
  <c r="J51"/>
  <c r="E51"/>
  <c r="A95"/>
  <c r="B94"/>
  <c r="D94"/>
  <c r="F45" i="11"/>
  <c r="D45"/>
  <c r="G45"/>
  <c r="H45"/>
  <c r="F51" i="2"/>
  <c r="G51"/>
  <c r="I51"/>
  <c r="C52"/>
  <c r="C46" i="11"/>
  <c r="D95" i="2"/>
  <c r="B95"/>
  <c r="A96"/>
  <c r="E52"/>
  <c r="H52"/>
  <c r="J52"/>
  <c r="A97"/>
  <c r="D96"/>
  <c r="B96"/>
  <c r="F46" i="11"/>
  <c r="D46"/>
  <c r="G46"/>
  <c r="H46"/>
  <c r="F52" i="2"/>
  <c r="G52"/>
  <c r="I52"/>
  <c r="C53"/>
  <c r="C47" i="11"/>
  <c r="D97" i="2"/>
  <c r="B97"/>
  <c r="A98"/>
  <c r="E53"/>
  <c r="H53"/>
  <c r="J53"/>
  <c r="B98"/>
  <c r="A99"/>
  <c r="D98"/>
  <c r="F47" i="11"/>
  <c r="D47"/>
  <c r="G47"/>
  <c r="H47"/>
  <c r="I53" i="2"/>
  <c r="C54"/>
  <c r="F53"/>
  <c r="G53"/>
  <c r="C48" i="11"/>
  <c r="A100" i="2"/>
  <c r="B99"/>
  <c r="D99"/>
  <c r="H54"/>
  <c r="J54"/>
  <c r="E54"/>
  <c r="A101"/>
  <c r="D100"/>
  <c r="B100"/>
  <c r="F48" i="11"/>
  <c r="D48"/>
  <c r="G48"/>
  <c r="H48"/>
  <c r="I54" i="2"/>
  <c r="C55"/>
  <c r="F54"/>
  <c r="G54"/>
  <c r="C49" i="11"/>
  <c r="B101" i="2"/>
  <c r="D101"/>
  <c r="A102"/>
  <c r="H55"/>
  <c r="J55"/>
  <c r="E55"/>
  <c r="D102"/>
  <c r="B102"/>
  <c r="A103"/>
  <c r="F49" i="11"/>
  <c r="D49"/>
  <c r="G49"/>
  <c r="H49"/>
  <c r="I55" i="2"/>
  <c r="C56"/>
  <c r="F55"/>
  <c r="G55"/>
  <c r="C50" i="11"/>
  <c r="A104" i="2"/>
  <c r="D103"/>
  <c r="B103"/>
  <c r="H56"/>
  <c r="J56"/>
  <c r="E56"/>
  <c r="A105"/>
  <c r="D104"/>
  <c r="B104"/>
  <c r="F50" i="11"/>
  <c r="D50"/>
  <c r="G50"/>
  <c r="H50"/>
  <c r="F56" i="2"/>
  <c r="G56"/>
  <c r="I56"/>
  <c r="C57"/>
  <c r="C51" i="11"/>
  <c r="D105" i="2"/>
  <c r="B105"/>
  <c r="A106"/>
  <c r="H57"/>
  <c r="J57"/>
  <c r="E57"/>
  <c r="B106"/>
  <c r="A107"/>
  <c r="D106"/>
  <c r="F51" i="11"/>
  <c r="D51"/>
  <c r="G51"/>
  <c r="H51"/>
  <c r="F57" i="2"/>
  <c r="G57"/>
  <c r="I57"/>
  <c r="C58"/>
  <c r="C52" i="11"/>
  <c r="A108" i="2"/>
  <c r="D107"/>
  <c r="B107"/>
  <c r="H58"/>
  <c r="J58"/>
  <c r="E58"/>
  <c r="A109"/>
  <c r="D108"/>
  <c r="B108"/>
  <c r="F52" i="11"/>
  <c r="D52"/>
  <c r="G52"/>
  <c r="H52"/>
  <c r="I58" i="2"/>
  <c r="C59"/>
  <c r="F58"/>
  <c r="G58"/>
  <c r="C53" i="11"/>
  <c r="D109" i="2"/>
  <c r="B109"/>
  <c r="A110"/>
  <c r="E59"/>
  <c r="H59"/>
  <c r="J59"/>
  <c r="B110"/>
  <c r="A111"/>
  <c r="D110"/>
  <c r="F53" i="11"/>
  <c r="D53"/>
  <c r="G53"/>
  <c r="H53"/>
  <c r="I59" i="2"/>
  <c r="C60"/>
  <c r="F59"/>
  <c r="G59"/>
  <c r="C54" i="11"/>
  <c r="B111" i="2"/>
  <c r="A112"/>
  <c r="D111"/>
  <c r="H60"/>
  <c r="J60"/>
  <c r="E60"/>
  <c r="B112"/>
  <c r="D112"/>
  <c r="A113"/>
  <c r="F54" i="11"/>
  <c r="D54"/>
  <c r="G54"/>
  <c r="H54"/>
  <c r="F60" i="2"/>
  <c r="G60"/>
  <c r="I60"/>
  <c r="C61"/>
  <c r="C55" i="11"/>
  <c r="B113" i="2"/>
  <c r="D113"/>
  <c r="A114"/>
  <c r="E61"/>
  <c r="H61"/>
  <c r="J61"/>
  <c r="D114"/>
  <c r="A115"/>
  <c r="B114"/>
  <c r="F55" i="11"/>
  <c r="D55"/>
  <c r="G55"/>
  <c r="H55"/>
  <c r="I61" i="2"/>
  <c r="C62"/>
  <c r="F61"/>
  <c r="G61"/>
  <c r="C56" i="11"/>
  <c r="D115" i="2"/>
  <c r="B115"/>
  <c r="A116"/>
  <c r="H62"/>
  <c r="J62"/>
  <c r="E62"/>
  <c r="A117"/>
  <c r="B116"/>
  <c r="D116"/>
  <c r="F56" i="11"/>
  <c r="D56"/>
  <c r="G56"/>
  <c r="H56"/>
  <c r="I62" i="2"/>
  <c r="C63"/>
  <c r="F62"/>
  <c r="G62"/>
  <c r="C57" i="11"/>
  <c r="A118" i="2"/>
  <c r="D117"/>
  <c r="B117"/>
  <c r="H63"/>
  <c r="J63"/>
  <c r="E63"/>
  <c r="A119"/>
  <c r="D118"/>
  <c r="B118"/>
  <c r="F57" i="11"/>
  <c r="D57"/>
  <c r="G57"/>
  <c r="H57"/>
  <c r="F63" i="2"/>
  <c r="G63"/>
  <c r="I63"/>
  <c r="C64"/>
  <c r="C58" i="11"/>
  <c r="A120" i="2"/>
  <c r="B119"/>
  <c r="D119"/>
  <c r="H64"/>
  <c r="J64"/>
  <c r="E64"/>
  <c r="D120"/>
  <c r="B120"/>
  <c r="A121"/>
  <c r="F58" i="11"/>
  <c r="D58"/>
  <c r="G58"/>
  <c r="H58"/>
  <c r="I64" i="2"/>
  <c r="C65"/>
  <c r="F64"/>
  <c r="G64"/>
  <c r="C59" i="11"/>
  <c r="B121" i="2"/>
  <c r="D121"/>
  <c r="A122"/>
  <c r="H65"/>
  <c r="J65"/>
  <c r="E65"/>
  <c r="A123"/>
  <c r="B122"/>
  <c r="D122"/>
  <c r="F59" i="11"/>
  <c r="D59"/>
  <c r="G59"/>
  <c r="H59"/>
  <c r="I65" i="2"/>
  <c r="C66"/>
  <c r="F65"/>
  <c r="G65"/>
  <c r="C60" i="11"/>
  <c r="B123" i="2"/>
  <c r="D123"/>
  <c r="A124"/>
  <c r="E66"/>
  <c r="H66"/>
  <c r="J66"/>
  <c r="A125"/>
  <c r="D124"/>
  <c r="B124"/>
  <c r="F60" i="11"/>
  <c r="D60"/>
  <c r="G60"/>
  <c r="H60"/>
  <c r="I66" i="2"/>
  <c r="C67"/>
  <c r="F66"/>
  <c r="G66"/>
  <c r="C61" i="11"/>
  <c r="B125" i="2"/>
  <c r="A126"/>
  <c r="D125"/>
  <c r="H67"/>
  <c r="J67"/>
  <c r="E67"/>
  <c r="D126"/>
  <c r="A127"/>
  <c r="B126"/>
  <c r="F61" i="11"/>
  <c r="D61"/>
  <c r="G61"/>
  <c r="H61"/>
  <c r="F67" i="2"/>
  <c r="G67"/>
  <c r="I67"/>
  <c r="C68"/>
  <c r="C62" i="11"/>
  <c r="A128" i="2"/>
  <c r="D127"/>
  <c r="B127"/>
  <c r="H68"/>
  <c r="J68"/>
  <c r="E68"/>
  <c r="D128"/>
  <c r="B128"/>
  <c r="A129"/>
  <c r="F62" i="11"/>
  <c r="D62"/>
  <c r="G62"/>
  <c r="H62"/>
  <c r="F68" i="2"/>
  <c r="G68"/>
  <c r="I68"/>
  <c r="C69"/>
  <c r="C63" i="11"/>
  <c r="A130" i="2"/>
  <c r="D129"/>
  <c r="B129"/>
  <c r="H69"/>
  <c r="J69"/>
  <c r="E69"/>
  <c r="A131"/>
  <c r="B130"/>
  <c r="D130"/>
  <c r="F63" i="11"/>
  <c r="D63"/>
  <c r="G63"/>
  <c r="H63"/>
  <c r="I69" i="2"/>
  <c r="C70"/>
  <c r="F69"/>
  <c r="G69"/>
  <c r="C64" i="11"/>
  <c r="B131" i="2"/>
  <c r="D131"/>
  <c r="A132"/>
  <c r="E70"/>
  <c r="H70"/>
  <c r="J70"/>
  <c r="A133"/>
  <c r="B132"/>
  <c r="D132"/>
  <c r="F64" i="11"/>
  <c r="D64"/>
  <c r="G64"/>
  <c r="H64"/>
  <c r="I70" i="2"/>
  <c r="C71"/>
  <c r="F70"/>
  <c r="G70"/>
  <c r="C65" i="11"/>
  <c r="D133" i="2"/>
  <c r="B133"/>
  <c r="A134"/>
  <c r="E71"/>
  <c r="H71"/>
  <c r="J71"/>
  <c r="A135"/>
  <c r="B134"/>
  <c r="D134"/>
  <c r="F65" i="11"/>
  <c r="D65"/>
  <c r="G65"/>
  <c r="H65"/>
  <c r="I71" i="2"/>
  <c r="C72"/>
  <c r="F71"/>
  <c r="G71"/>
  <c r="C66" i="11"/>
  <c r="A136" i="2"/>
  <c r="B135"/>
  <c r="D135"/>
  <c r="E72"/>
  <c r="H72"/>
  <c r="J72"/>
  <c r="A137"/>
  <c r="D136"/>
  <c r="B136"/>
  <c r="F66" i="11"/>
  <c r="D66"/>
  <c r="G66"/>
  <c r="H66"/>
  <c r="F72" i="2"/>
  <c r="G72"/>
  <c r="I72"/>
  <c r="C73"/>
  <c r="C67" i="11"/>
  <c r="B137" i="2"/>
  <c r="D137"/>
  <c r="A138"/>
  <c r="E73"/>
  <c r="H73"/>
  <c r="J73"/>
  <c r="A139"/>
  <c r="B138"/>
  <c r="D138"/>
  <c r="F67" i="11"/>
  <c r="D67"/>
  <c r="G67"/>
  <c r="H67"/>
  <c r="I73" i="2"/>
  <c r="C74"/>
  <c r="F73"/>
  <c r="G73"/>
  <c r="C68" i="11"/>
  <c r="A140" i="2"/>
  <c r="B139"/>
  <c r="D139"/>
  <c r="H74"/>
  <c r="J74"/>
  <c r="E74"/>
  <c r="A141"/>
  <c r="B140"/>
  <c r="D140"/>
  <c r="F68" i="11"/>
  <c r="D68"/>
  <c r="G68"/>
  <c r="H68"/>
  <c r="F74" i="2"/>
  <c r="G74"/>
  <c r="I74"/>
  <c r="C75"/>
  <c r="C69" i="11"/>
  <c r="B141" i="2"/>
  <c r="D141"/>
  <c r="A142"/>
  <c r="H75"/>
  <c r="J75"/>
  <c r="E75"/>
  <c r="D142"/>
  <c r="B142"/>
  <c r="A143"/>
  <c r="F69" i="11"/>
  <c r="D69"/>
  <c r="G69"/>
  <c r="H69"/>
  <c r="I75" i="2"/>
  <c r="C76"/>
  <c r="F75"/>
  <c r="G75"/>
  <c r="C70" i="11"/>
  <c r="A144" i="2"/>
  <c r="B143"/>
  <c r="D143"/>
  <c r="H76"/>
  <c r="J76"/>
  <c r="E76"/>
  <c r="A145"/>
  <c r="D144"/>
  <c r="B144"/>
  <c r="F70" i="11"/>
  <c r="D70"/>
  <c r="G70"/>
  <c r="H70"/>
  <c r="I76" i="2"/>
  <c r="C77"/>
  <c r="F76"/>
  <c r="G76"/>
  <c r="C71" i="11"/>
  <c r="A146" i="2"/>
  <c r="D145"/>
  <c r="B145"/>
  <c r="H77"/>
  <c r="J77"/>
  <c r="E77"/>
  <c r="A147"/>
  <c r="B146"/>
  <c r="D146"/>
  <c r="F71" i="11"/>
  <c r="I77" i="2"/>
  <c r="C78"/>
  <c r="F77"/>
  <c r="G77"/>
  <c r="F72" i="11"/>
  <c r="D71"/>
  <c r="A148" i="2"/>
  <c r="D147"/>
  <c r="B147"/>
  <c r="H78"/>
  <c r="J78"/>
  <c r="E78"/>
  <c r="B148"/>
  <c r="D148"/>
  <c r="A149"/>
  <c r="D72" i="11"/>
  <c r="G71"/>
  <c r="I78" i="2"/>
  <c r="C79"/>
  <c r="F78"/>
  <c r="G78"/>
  <c r="B149"/>
  <c r="A150"/>
  <c r="D149"/>
  <c r="G72" i="11"/>
  <c r="H71"/>
  <c r="H72"/>
  <c r="H79" i="2"/>
  <c r="J79"/>
  <c r="E79"/>
  <c r="B150"/>
  <c r="D150"/>
  <c r="A151"/>
  <c r="F79"/>
  <c r="G79"/>
  <c r="I79"/>
  <c r="C80"/>
  <c r="B151"/>
  <c r="D151"/>
  <c r="A152"/>
  <c r="E80"/>
  <c r="H80"/>
  <c r="J80"/>
  <c r="D152"/>
  <c r="A153"/>
  <c r="B152"/>
  <c r="F80"/>
  <c r="G80"/>
  <c r="I80"/>
  <c r="C81"/>
  <c r="A154"/>
  <c r="D153"/>
  <c r="B153"/>
  <c r="H81"/>
  <c r="J81"/>
  <c r="E81"/>
  <c r="A155"/>
  <c r="D154"/>
  <c r="B154"/>
  <c r="I81"/>
  <c r="C82"/>
  <c r="F81"/>
  <c r="G81"/>
  <c r="A156"/>
  <c r="D155"/>
  <c r="B155"/>
  <c r="H82"/>
  <c r="J82"/>
  <c r="E82"/>
  <c r="D156"/>
  <c r="B156"/>
  <c r="A157"/>
  <c r="I82"/>
  <c r="C83"/>
  <c r="F82"/>
  <c r="G82"/>
  <c r="D157"/>
  <c r="B157"/>
  <c r="A158"/>
  <c r="H83"/>
  <c r="J83"/>
  <c r="E83"/>
  <c r="A159"/>
  <c r="D158"/>
  <c r="B158"/>
  <c r="F83"/>
  <c r="G83"/>
  <c r="I83"/>
  <c r="C84"/>
  <c r="B159"/>
  <c r="D159"/>
  <c r="A160"/>
  <c r="H84"/>
  <c r="J84"/>
  <c r="E84"/>
  <c r="B160"/>
  <c r="D160"/>
  <c r="A161"/>
  <c r="I84"/>
  <c r="C85"/>
  <c r="F84"/>
  <c r="G84"/>
  <c r="B161"/>
  <c r="D161"/>
  <c r="A162"/>
  <c r="H85"/>
  <c r="J85"/>
  <c r="E85"/>
  <c r="B162"/>
  <c r="A163"/>
  <c r="D162"/>
  <c r="I85"/>
  <c r="C86"/>
  <c r="F85"/>
  <c r="G85"/>
  <c r="D163"/>
  <c r="A164"/>
  <c r="B163"/>
  <c r="H86"/>
  <c r="J86"/>
  <c r="E86"/>
  <c r="A165"/>
  <c r="B164"/>
  <c r="D164"/>
  <c r="F86"/>
  <c r="G86"/>
  <c r="I86"/>
  <c r="C87"/>
  <c r="A166"/>
  <c r="D165"/>
  <c r="B165"/>
  <c r="H87"/>
  <c r="J87"/>
  <c r="E87"/>
  <c r="A167"/>
  <c r="D166"/>
  <c r="B166"/>
  <c r="F87"/>
  <c r="G87"/>
  <c r="I87"/>
  <c r="C88"/>
  <c r="A168"/>
  <c r="B167"/>
  <c r="D167"/>
  <c r="H88"/>
  <c r="J88"/>
  <c r="E88"/>
  <c r="D168"/>
  <c r="B168"/>
  <c r="A169"/>
  <c r="I88"/>
  <c r="C89"/>
  <c r="F88"/>
  <c r="G88"/>
  <c r="D169"/>
  <c r="A170"/>
  <c r="B169"/>
  <c r="E89"/>
  <c r="H89"/>
  <c r="J89"/>
  <c r="A171"/>
  <c r="B170"/>
  <c r="D170"/>
  <c r="F89"/>
  <c r="G89"/>
  <c r="I89"/>
  <c r="C90"/>
  <c r="B171"/>
  <c r="D171"/>
  <c r="A172"/>
  <c r="E90"/>
  <c r="H90"/>
  <c r="J90"/>
  <c r="A173"/>
  <c r="D172"/>
  <c r="B172"/>
  <c r="F90"/>
  <c r="G90"/>
  <c r="I90"/>
  <c r="C91"/>
  <c r="B173"/>
  <c r="D173"/>
  <c r="A174"/>
  <c r="E91"/>
  <c r="H91"/>
  <c r="J91"/>
  <c r="D174"/>
  <c r="B174"/>
  <c r="A175"/>
  <c r="F91"/>
  <c r="G91"/>
  <c r="I91"/>
  <c r="C92"/>
  <c r="D175"/>
  <c r="B175"/>
  <c r="A176"/>
  <c r="E92"/>
  <c r="H92"/>
  <c r="J92"/>
  <c r="B176"/>
  <c r="A177"/>
  <c r="D176"/>
  <c r="I92"/>
  <c r="C93"/>
  <c r="F92"/>
  <c r="G92"/>
  <c r="A178"/>
  <c r="D177"/>
  <c r="B177"/>
  <c r="H93"/>
  <c r="J93"/>
  <c r="E93"/>
  <c r="A179"/>
  <c r="B178"/>
  <c r="D178"/>
  <c r="F93"/>
  <c r="G93"/>
  <c r="I93"/>
  <c r="C94"/>
  <c r="D179"/>
  <c r="B179"/>
  <c r="A180"/>
  <c r="H94"/>
  <c r="J94"/>
  <c r="E94"/>
  <c r="A181"/>
  <c r="D180"/>
  <c r="B180"/>
  <c r="I94"/>
  <c r="C95"/>
  <c r="F94"/>
  <c r="G94"/>
  <c r="D181"/>
  <c r="B181"/>
  <c r="A182"/>
  <c r="E95"/>
  <c r="H95"/>
  <c r="J95"/>
  <c r="B182"/>
  <c r="D182"/>
  <c r="A183"/>
  <c r="F95"/>
  <c r="G95"/>
  <c r="I95"/>
  <c r="C96"/>
  <c r="D183"/>
  <c r="B183"/>
  <c r="A184"/>
  <c r="H96"/>
  <c r="J96"/>
  <c r="E96"/>
  <c r="B184"/>
  <c r="D184"/>
  <c r="A185"/>
  <c r="I96"/>
  <c r="C97"/>
  <c r="F96"/>
  <c r="G96"/>
  <c r="A186"/>
  <c r="D185"/>
  <c r="B185"/>
  <c r="H97"/>
  <c r="J97"/>
  <c r="E97"/>
  <c r="A187"/>
  <c r="B186"/>
  <c r="D186"/>
  <c r="F97"/>
  <c r="G97"/>
  <c r="I97"/>
  <c r="C98"/>
  <c r="A188"/>
  <c r="B187"/>
  <c r="D187"/>
  <c r="H98"/>
  <c r="J98"/>
  <c r="E98"/>
  <c r="A189"/>
  <c r="B188"/>
  <c r="D188"/>
  <c r="F98"/>
  <c r="G98"/>
  <c r="I98"/>
  <c r="C99"/>
  <c r="B189"/>
  <c r="D189"/>
  <c r="A190"/>
  <c r="H99"/>
  <c r="J99"/>
  <c r="E99"/>
  <c r="B190"/>
  <c r="D190"/>
  <c r="A191"/>
  <c r="F99"/>
  <c r="G99"/>
  <c r="I99"/>
  <c r="C100"/>
  <c r="B191"/>
  <c r="D191"/>
  <c r="A192"/>
  <c r="H100"/>
  <c r="J100"/>
  <c r="E100"/>
  <c r="A193"/>
  <c r="B192"/>
  <c r="D192"/>
  <c r="I100"/>
  <c r="C101"/>
  <c r="F100"/>
  <c r="G100"/>
  <c r="B193"/>
  <c r="A194"/>
  <c r="D193"/>
  <c r="H101"/>
  <c r="J101"/>
  <c r="E101"/>
  <c r="A195"/>
  <c r="D194"/>
  <c r="B194"/>
  <c r="F101"/>
  <c r="G101"/>
  <c r="I101"/>
  <c r="C102"/>
  <c r="B195"/>
  <c r="D195"/>
  <c r="A196"/>
  <c r="E102"/>
  <c r="H102"/>
  <c r="J102"/>
  <c r="B196"/>
  <c r="A197"/>
  <c r="D196"/>
  <c r="I102"/>
  <c r="C103"/>
  <c r="F102"/>
  <c r="G102"/>
  <c r="D197"/>
  <c r="A198"/>
  <c r="B197"/>
  <c r="E103"/>
  <c r="H103"/>
  <c r="J103"/>
  <c r="B198"/>
  <c r="A199"/>
  <c r="D198"/>
  <c r="F103"/>
  <c r="G103"/>
  <c r="I103"/>
  <c r="C104"/>
  <c r="A200"/>
  <c r="B199"/>
  <c r="D199"/>
  <c r="H104"/>
  <c r="J104"/>
  <c r="E104"/>
  <c r="B200"/>
  <c r="A201"/>
  <c r="D200"/>
  <c r="F104"/>
  <c r="G104"/>
  <c r="I104"/>
  <c r="C105"/>
  <c r="B201"/>
  <c r="A202"/>
  <c r="D201"/>
  <c r="E105"/>
  <c r="H105"/>
  <c r="J105"/>
  <c r="B202"/>
  <c r="D202"/>
  <c r="A203"/>
  <c r="F105"/>
  <c r="G105"/>
  <c r="I105"/>
  <c r="C106"/>
  <c r="B203"/>
  <c r="D203"/>
  <c r="A204"/>
  <c r="H106"/>
  <c r="J106"/>
  <c r="E106"/>
  <c r="B204"/>
  <c r="A205"/>
  <c r="D204"/>
  <c r="F106"/>
  <c r="G106"/>
  <c r="I106"/>
  <c r="C107"/>
  <c r="A206"/>
  <c r="B205"/>
  <c r="D205"/>
  <c r="H107"/>
  <c r="J107"/>
  <c r="E107"/>
  <c r="A207"/>
  <c r="D206"/>
  <c r="B206"/>
  <c r="F107"/>
  <c r="G107"/>
  <c r="I107"/>
  <c r="C108"/>
  <c r="A208"/>
  <c r="B207"/>
  <c r="D207"/>
  <c r="H108"/>
  <c r="J108"/>
  <c r="E108"/>
  <c r="A209"/>
  <c r="D208"/>
  <c r="B208"/>
  <c r="I108"/>
  <c r="C109"/>
  <c r="F108"/>
  <c r="G108"/>
  <c r="D209"/>
  <c r="B209"/>
  <c r="A210"/>
  <c r="E109"/>
  <c r="H109"/>
  <c r="J109"/>
  <c r="B210"/>
  <c r="D210"/>
  <c r="A211"/>
  <c r="F109"/>
  <c r="G109"/>
  <c r="I109"/>
  <c r="C110"/>
  <c r="D211"/>
  <c r="B211"/>
  <c r="A212"/>
  <c r="H110"/>
  <c r="J110"/>
  <c r="E110"/>
  <c r="D212"/>
  <c r="B212"/>
  <c r="A213"/>
  <c r="I110"/>
  <c r="C111"/>
  <c r="F110"/>
  <c r="G110"/>
  <c r="A214"/>
  <c r="D213"/>
  <c r="B213"/>
  <c r="H111"/>
  <c r="J111"/>
  <c r="E111"/>
  <c r="D214"/>
  <c r="A215"/>
  <c r="B214"/>
  <c r="I111"/>
  <c r="C112"/>
  <c r="F111"/>
  <c r="G111"/>
  <c r="B215"/>
  <c r="D215"/>
  <c r="A216"/>
  <c r="E112"/>
  <c r="H112"/>
  <c r="J112"/>
  <c r="A217"/>
  <c r="D216"/>
  <c r="B216"/>
  <c r="I112"/>
  <c r="C113"/>
  <c r="F112"/>
  <c r="G112"/>
  <c r="B217"/>
  <c r="A218"/>
  <c r="D217"/>
  <c r="H113"/>
  <c r="J113"/>
  <c r="E113"/>
  <c r="D218"/>
  <c r="A219"/>
  <c r="B218"/>
  <c r="I113"/>
  <c r="C114"/>
  <c r="F113"/>
  <c r="G113"/>
  <c r="A220"/>
  <c r="B219"/>
  <c r="D219"/>
  <c r="E114"/>
  <c r="H114"/>
  <c r="J114"/>
  <c r="D220"/>
  <c r="A221"/>
  <c r="B220"/>
  <c r="I114"/>
  <c r="C115"/>
  <c r="F114"/>
  <c r="G114"/>
  <c r="A222"/>
  <c r="B221"/>
  <c r="D221"/>
  <c r="H115"/>
  <c r="J115"/>
  <c r="E115"/>
  <c r="D222"/>
  <c r="A223"/>
  <c r="B222"/>
  <c r="I115"/>
  <c r="C116"/>
  <c r="F115"/>
  <c r="G115"/>
  <c r="B223"/>
  <c r="A224"/>
  <c r="D223"/>
  <c r="H116"/>
  <c r="J116"/>
  <c r="E116"/>
  <c r="A225"/>
  <c r="D224"/>
  <c r="B224"/>
  <c r="I116"/>
  <c r="C117"/>
  <c r="F116"/>
  <c r="G116"/>
  <c r="B225"/>
  <c r="A226"/>
  <c r="D225"/>
  <c r="E117"/>
  <c r="H117"/>
  <c r="J117"/>
  <c r="D226"/>
  <c r="B226"/>
  <c r="A227"/>
  <c r="I117"/>
  <c r="C118"/>
  <c r="F117"/>
  <c r="G117"/>
  <c r="A228"/>
  <c r="B227"/>
  <c r="D227"/>
  <c r="H118"/>
  <c r="J118"/>
  <c r="E118"/>
  <c r="B228"/>
  <c r="D228"/>
  <c r="A229"/>
  <c r="F118"/>
  <c r="G118"/>
  <c r="I118"/>
  <c r="C119"/>
  <c r="D229"/>
  <c r="B229"/>
  <c r="A230"/>
  <c r="H119"/>
  <c r="J119"/>
  <c r="E119"/>
  <c r="A231"/>
  <c r="B230"/>
  <c r="D230"/>
  <c r="I119"/>
  <c r="C120"/>
  <c r="F119"/>
  <c r="G119"/>
  <c r="B231"/>
  <c r="A232"/>
  <c r="D231"/>
  <c r="H120"/>
  <c r="J120"/>
  <c r="E120"/>
  <c r="D232"/>
  <c r="B232"/>
  <c r="A233"/>
  <c r="I120"/>
  <c r="C121"/>
  <c r="F120"/>
  <c r="G120"/>
  <c r="B233"/>
  <c r="D233"/>
  <c r="A234"/>
  <c r="H121"/>
  <c r="J121"/>
  <c r="E121"/>
  <c r="D234"/>
  <c r="B234"/>
  <c r="A235"/>
  <c r="F121"/>
  <c r="G121"/>
  <c r="I121"/>
  <c r="C122"/>
  <c r="B235"/>
  <c r="A236"/>
  <c r="D235"/>
  <c r="E122"/>
  <c r="H122"/>
  <c r="J122"/>
  <c r="D236"/>
  <c r="B236"/>
  <c r="A237"/>
  <c r="I122"/>
  <c r="C123"/>
  <c r="F122"/>
  <c r="G122"/>
  <c r="A238"/>
  <c r="B237"/>
  <c r="D237"/>
  <c r="E123"/>
  <c r="H123"/>
  <c r="J123"/>
  <c r="D238"/>
  <c r="B238"/>
  <c r="A239"/>
  <c r="I123"/>
  <c r="C124"/>
  <c r="F123"/>
  <c r="G123"/>
  <c r="D239"/>
  <c r="B239"/>
  <c r="A240"/>
  <c r="H124"/>
  <c r="J124"/>
  <c r="E124"/>
  <c r="A241"/>
  <c r="B240"/>
  <c r="D240"/>
  <c r="I124"/>
  <c r="C125"/>
  <c r="F124"/>
  <c r="G124"/>
  <c r="A242"/>
  <c r="D241"/>
  <c r="B241"/>
  <c r="H125"/>
  <c r="J125"/>
  <c r="E125"/>
  <c r="D242"/>
  <c r="B242"/>
  <c r="A243"/>
  <c r="I125"/>
  <c r="C126"/>
  <c r="F125"/>
  <c r="G125"/>
  <c r="B243"/>
  <c r="A244"/>
  <c r="D243"/>
  <c r="H126"/>
  <c r="J126"/>
  <c r="E126"/>
  <c r="D244"/>
  <c r="A245"/>
  <c r="B244"/>
  <c r="I126"/>
  <c r="C127"/>
  <c r="F126"/>
  <c r="G126"/>
  <c r="B245"/>
  <c r="A246"/>
  <c r="D245"/>
  <c r="H127"/>
  <c r="J127"/>
  <c r="E127"/>
  <c r="D246"/>
  <c r="A247"/>
  <c r="B246"/>
  <c r="I127"/>
  <c r="C128"/>
  <c r="F127"/>
  <c r="G127"/>
  <c r="A248"/>
  <c r="B247"/>
  <c r="D247"/>
  <c r="H128"/>
  <c r="J128"/>
  <c r="E128"/>
  <c r="B248"/>
  <c r="A249"/>
  <c r="D248"/>
  <c r="I128"/>
  <c r="C129"/>
  <c r="F128"/>
  <c r="G128"/>
  <c r="A250"/>
  <c r="D249"/>
  <c r="B249"/>
  <c r="H129"/>
  <c r="J129"/>
  <c r="E129"/>
  <c r="A251"/>
  <c r="B250"/>
  <c r="D250"/>
  <c r="I129"/>
  <c r="C130"/>
  <c r="F129"/>
  <c r="G129"/>
  <c r="A252"/>
  <c r="D251"/>
  <c r="B251"/>
  <c r="H130"/>
  <c r="J130"/>
  <c r="E130"/>
  <c r="B252"/>
  <c r="A253"/>
  <c r="D252"/>
  <c r="I130"/>
  <c r="C131"/>
  <c r="F130"/>
  <c r="G130"/>
  <c r="B253"/>
  <c r="A254"/>
  <c r="D253"/>
  <c r="H131"/>
  <c r="J131"/>
  <c r="E131"/>
  <c r="B254"/>
  <c r="A255"/>
  <c r="D254"/>
  <c r="F131"/>
  <c r="G131"/>
  <c r="I131"/>
  <c r="C132"/>
  <c r="B255"/>
  <c r="A256"/>
  <c r="D255"/>
  <c r="E132"/>
  <c r="H132"/>
  <c r="J132"/>
  <c r="B256"/>
  <c r="A257"/>
  <c r="D256"/>
  <c r="I132"/>
  <c r="C133"/>
  <c r="F132"/>
  <c r="G132"/>
  <c r="A258"/>
  <c r="B257"/>
  <c r="D257"/>
  <c r="E133"/>
  <c r="H133"/>
  <c r="J133"/>
  <c r="A259"/>
  <c r="B258"/>
  <c r="D258"/>
  <c r="I133"/>
  <c r="C134"/>
  <c r="F133"/>
  <c r="G133"/>
  <c r="B259"/>
  <c r="A260"/>
  <c r="D259"/>
  <c r="H134"/>
  <c r="J134"/>
  <c r="E134"/>
  <c r="D260"/>
  <c r="B260"/>
  <c r="A261"/>
  <c r="I134"/>
  <c r="C135"/>
  <c r="F134"/>
  <c r="G134"/>
  <c r="A262"/>
  <c r="B261"/>
  <c r="D261"/>
  <c r="E135"/>
  <c r="H135"/>
  <c r="J135"/>
  <c r="B262"/>
  <c r="D262"/>
  <c r="A263"/>
  <c r="I135"/>
  <c r="C136"/>
  <c r="F135"/>
  <c r="G135"/>
  <c r="B263"/>
  <c r="D263"/>
  <c r="A264"/>
  <c r="H136"/>
  <c r="J136"/>
  <c r="E136"/>
  <c r="D264"/>
  <c r="B264"/>
  <c r="A265"/>
  <c r="I136"/>
  <c r="C137"/>
  <c r="F136"/>
  <c r="G136"/>
  <c r="A266"/>
  <c r="D265"/>
  <c r="B265"/>
  <c r="H137"/>
  <c r="J137"/>
  <c r="E137"/>
  <c r="A267"/>
  <c r="D266"/>
  <c r="B266"/>
  <c r="I137"/>
  <c r="C138"/>
  <c r="F137"/>
  <c r="G137"/>
  <c r="A268"/>
  <c r="B267"/>
  <c r="D267"/>
  <c r="H138"/>
  <c r="J138"/>
  <c r="E138"/>
  <c r="B268"/>
  <c r="A269"/>
  <c r="D268"/>
  <c r="F138"/>
  <c r="G138"/>
  <c r="I138"/>
  <c r="C139"/>
  <c r="B269"/>
  <c r="D269"/>
  <c r="A270"/>
  <c r="H139"/>
  <c r="J139"/>
  <c r="E139"/>
  <c r="A271"/>
  <c r="D270"/>
  <c r="B270"/>
  <c r="F139"/>
  <c r="G139"/>
  <c r="I139"/>
  <c r="C140"/>
  <c r="D271"/>
  <c r="B271"/>
  <c r="A272"/>
  <c r="E140"/>
  <c r="H140"/>
  <c r="J140"/>
  <c r="B272"/>
  <c r="A273"/>
  <c r="D272"/>
  <c r="F140"/>
  <c r="G140"/>
  <c r="I140"/>
  <c r="C141"/>
  <c r="B273"/>
  <c r="A274"/>
  <c r="D273"/>
  <c r="H141"/>
  <c r="J141"/>
  <c r="E141"/>
  <c r="A275"/>
  <c r="D274"/>
  <c r="B274"/>
  <c r="I141"/>
  <c r="C142"/>
  <c r="F141"/>
  <c r="G141"/>
  <c r="A276"/>
  <c r="D275"/>
  <c r="B275"/>
  <c r="H142"/>
  <c r="J142"/>
  <c r="E142"/>
  <c r="D276"/>
  <c r="A277"/>
  <c r="B276"/>
  <c r="I142"/>
  <c r="C143"/>
  <c r="F142"/>
  <c r="G142"/>
  <c r="A278"/>
  <c r="B277"/>
  <c r="D277"/>
  <c r="H143"/>
  <c r="J143"/>
  <c r="E143"/>
  <c r="B278"/>
  <c r="A279"/>
  <c r="D278"/>
  <c r="F143"/>
  <c r="G143"/>
  <c r="I143"/>
  <c r="C144"/>
  <c r="B279"/>
  <c r="D279"/>
  <c r="A280"/>
  <c r="E144"/>
  <c r="H144"/>
  <c r="J144"/>
  <c r="A281"/>
  <c r="D280"/>
  <c r="B280"/>
  <c r="I144"/>
  <c r="C145"/>
  <c r="F144"/>
  <c r="G144"/>
  <c r="B281"/>
  <c r="A282"/>
  <c r="D281"/>
  <c r="H145"/>
  <c r="J145"/>
  <c r="E145"/>
  <c r="B282"/>
  <c r="A283"/>
  <c r="D282"/>
  <c r="I145"/>
  <c r="C146"/>
  <c r="F145"/>
  <c r="G145"/>
  <c r="D283"/>
  <c r="B283"/>
  <c r="A284"/>
  <c r="E146"/>
  <c r="H146"/>
  <c r="J146"/>
  <c r="D284"/>
  <c r="A285"/>
  <c r="B284"/>
  <c r="I146"/>
  <c r="C147"/>
  <c r="F146"/>
  <c r="G146"/>
  <c r="B285"/>
  <c r="A286"/>
  <c r="D285"/>
  <c r="H147"/>
  <c r="J147"/>
  <c r="E147"/>
  <c r="A287"/>
  <c r="D286"/>
  <c r="B286"/>
  <c r="I147"/>
  <c r="C148"/>
  <c r="F147"/>
  <c r="G147"/>
  <c r="D287"/>
  <c r="B287"/>
  <c r="A288"/>
  <c r="H148"/>
  <c r="J148"/>
  <c r="E148"/>
  <c r="B288"/>
  <c r="A289"/>
  <c r="D288"/>
  <c r="I148"/>
  <c r="C149"/>
  <c r="F148"/>
  <c r="G148"/>
  <c r="D289"/>
  <c r="B289"/>
  <c r="A290"/>
  <c r="H149"/>
  <c r="J149"/>
  <c r="E149"/>
  <c r="A291"/>
  <c r="B290"/>
  <c r="D290"/>
  <c r="F149"/>
  <c r="G149"/>
  <c r="I149"/>
  <c r="C150"/>
  <c r="B291"/>
  <c r="D291"/>
  <c r="A292"/>
  <c r="H150"/>
  <c r="J150"/>
  <c r="E150"/>
  <c r="A293"/>
  <c r="D292"/>
  <c r="B292"/>
  <c r="I150"/>
  <c r="C151"/>
  <c r="F150"/>
  <c r="G150"/>
  <c r="A294"/>
  <c r="D293"/>
  <c r="B293"/>
  <c r="H151"/>
  <c r="J151"/>
  <c r="E151"/>
  <c r="A295"/>
  <c r="B294"/>
  <c r="D294"/>
  <c r="F151"/>
  <c r="G151"/>
  <c r="I151"/>
  <c r="C152"/>
  <c r="B295"/>
  <c r="D295"/>
  <c r="A296"/>
  <c r="E152"/>
  <c r="H152"/>
  <c r="J152"/>
  <c r="A297"/>
  <c r="D296"/>
  <c r="B296"/>
  <c r="I152"/>
  <c r="C153"/>
  <c r="F152"/>
  <c r="G152"/>
  <c r="A298"/>
  <c r="D297"/>
  <c r="B297"/>
  <c r="H153"/>
  <c r="J153"/>
  <c r="E153"/>
  <c r="A299"/>
  <c r="B298"/>
  <c r="D298"/>
  <c r="F153"/>
  <c r="G153"/>
  <c r="I153"/>
  <c r="C154"/>
  <c r="B299"/>
  <c r="D299"/>
  <c r="A300"/>
  <c r="E154"/>
  <c r="H154"/>
  <c r="J154"/>
  <c r="A301"/>
  <c r="B300"/>
  <c r="D300"/>
  <c r="F154"/>
  <c r="G154"/>
  <c r="I154"/>
  <c r="C155"/>
  <c r="A302"/>
  <c r="D301"/>
  <c r="B301"/>
  <c r="H155"/>
  <c r="J155"/>
  <c r="E155"/>
  <c r="B302"/>
  <c r="A303"/>
  <c r="D302"/>
  <c r="I155"/>
  <c r="C156"/>
  <c r="F155"/>
  <c r="G155"/>
  <c r="A304"/>
  <c r="D303"/>
  <c r="B303"/>
  <c r="H156"/>
  <c r="J156"/>
  <c r="E156"/>
  <c r="D304"/>
  <c r="B304"/>
  <c r="A305"/>
  <c r="I156"/>
  <c r="C157"/>
  <c r="F156"/>
  <c r="G156"/>
  <c r="B305"/>
  <c r="D305"/>
  <c r="A306"/>
  <c r="H157"/>
  <c r="J157"/>
  <c r="E157"/>
  <c r="A307"/>
  <c r="D306"/>
  <c r="B306"/>
  <c r="I157"/>
  <c r="C158"/>
  <c r="F157"/>
  <c r="G157"/>
  <c r="D307"/>
  <c r="A308"/>
  <c r="B307"/>
  <c r="H158"/>
  <c r="J158"/>
  <c r="E158"/>
  <c r="D308"/>
  <c r="B308"/>
  <c r="A309"/>
  <c r="F158"/>
  <c r="G158"/>
  <c r="I158"/>
  <c r="C159"/>
  <c r="A310"/>
  <c r="B309"/>
  <c r="D309"/>
  <c r="H159"/>
  <c r="J159"/>
  <c r="E159"/>
  <c r="B310"/>
  <c r="A311"/>
  <c r="D310"/>
  <c r="F159"/>
  <c r="G159"/>
  <c r="I159"/>
  <c r="C160"/>
  <c r="D311"/>
  <c r="A312"/>
  <c r="B311"/>
  <c r="H160"/>
  <c r="J160"/>
  <c r="E160"/>
  <c r="D312"/>
  <c r="B312"/>
  <c r="A313"/>
  <c r="F160"/>
  <c r="G160"/>
  <c r="I160"/>
  <c r="C161"/>
  <c r="A314"/>
  <c r="B313"/>
  <c r="D313"/>
  <c r="H161"/>
  <c r="J161"/>
  <c r="E161"/>
  <c r="A315"/>
  <c r="B314"/>
  <c r="D314"/>
  <c r="F161"/>
  <c r="G161"/>
  <c r="I161"/>
  <c r="C162"/>
  <c r="D315"/>
  <c r="B315"/>
  <c r="A316"/>
  <c r="E162"/>
  <c r="H162"/>
  <c r="J162"/>
  <c r="D316"/>
  <c r="A317"/>
  <c r="B316"/>
  <c r="F162"/>
  <c r="G162"/>
  <c r="I162"/>
  <c r="C163"/>
  <c r="D317"/>
  <c r="A318"/>
  <c r="B317"/>
  <c r="E163"/>
  <c r="H163"/>
  <c r="J163"/>
  <c r="A319"/>
  <c r="D318"/>
  <c r="B318"/>
  <c r="I163"/>
  <c r="C164"/>
  <c r="F163"/>
  <c r="G163"/>
  <c r="A320"/>
  <c r="B319"/>
  <c r="D319"/>
  <c r="H164"/>
  <c r="J164"/>
  <c r="E164"/>
  <c r="B320"/>
  <c r="D320"/>
  <c r="A321"/>
  <c r="I164"/>
  <c r="C165"/>
  <c r="F164"/>
  <c r="G164"/>
  <c r="D321"/>
  <c r="B321"/>
  <c r="A322"/>
  <c r="H165"/>
  <c r="J165"/>
  <c r="E165"/>
  <c r="B322"/>
  <c r="A323"/>
  <c r="D322"/>
  <c r="I165"/>
  <c r="C166"/>
  <c r="F165"/>
  <c r="G165"/>
  <c r="D323"/>
  <c r="B323"/>
  <c r="A324"/>
  <c r="H166"/>
  <c r="J166"/>
  <c r="E166"/>
  <c r="A325"/>
  <c r="D324"/>
  <c r="B324"/>
  <c r="I166"/>
  <c r="C167"/>
  <c r="F166"/>
  <c r="G166"/>
  <c r="A326"/>
  <c r="B325"/>
  <c r="D325"/>
  <c r="H167"/>
  <c r="J167"/>
  <c r="E167"/>
  <c r="B326"/>
  <c r="D326"/>
  <c r="A327"/>
  <c r="I167"/>
  <c r="C168"/>
  <c r="F167"/>
  <c r="G167"/>
  <c r="A328"/>
  <c r="B327"/>
  <c r="D327"/>
  <c r="H168"/>
  <c r="J168"/>
  <c r="E168"/>
  <c r="B328"/>
  <c r="D328"/>
  <c r="A329"/>
  <c r="I168"/>
  <c r="C169"/>
  <c r="F168"/>
  <c r="G168"/>
  <c r="D329"/>
  <c r="B329"/>
  <c r="A330"/>
  <c r="H169"/>
  <c r="J169"/>
  <c r="E169"/>
  <c r="B330"/>
  <c r="D330"/>
  <c r="A331"/>
  <c r="F169"/>
  <c r="G169"/>
  <c r="I169"/>
  <c r="C170"/>
  <c r="A332"/>
  <c r="D331"/>
  <c r="B331"/>
  <c r="H170"/>
  <c r="J170"/>
  <c r="E170"/>
  <c r="A333"/>
  <c r="D332"/>
  <c r="B332"/>
  <c r="F170"/>
  <c r="G170"/>
  <c r="I170"/>
  <c r="C171"/>
  <c r="D333"/>
  <c r="A334"/>
  <c r="B333"/>
  <c r="H171"/>
  <c r="J171"/>
  <c r="E171"/>
  <c r="B334"/>
  <c r="A335"/>
  <c r="D334"/>
  <c r="I171"/>
  <c r="C172"/>
  <c r="F171"/>
  <c r="G171"/>
  <c r="A336"/>
  <c r="B335"/>
  <c r="D335"/>
  <c r="H172"/>
  <c r="J172"/>
  <c r="E172"/>
  <c r="A337"/>
  <c r="D336"/>
  <c r="B336"/>
  <c r="F172"/>
  <c r="G172"/>
  <c r="I172"/>
  <c r="C173"/>
  <c r="D337"/>
  <c r="A338"/>
  <c r="B337"/>
  <c r="H173"/>
  <c r="J173"/>
  <c r="E173"/>
  <c r="B338"/>
  <c r="D338"/>
  <c r="A339"/>
  <c r="I173"/>
  <c r="C174"/>
  <c r="F173"/>
  <c r="G173"/>
  <c r="D339"/>
  <c r="A340"/>
  <c r="B339"/>
  <c r="H174"/>
  <c r="J174"/>
  <c r="E174"/>
  <c r="B340"/>
  <c r="D340"/>
  <c r="A341"/>
  <c r="F174"/>
  <c r="G174"/>
  <c r="I174"/>
  <c r="C175"/>
  <c r="D341"/>
  <c r="A342"/>
  <c r="B341"/>
  <c r="H175"/>
  <c r="J175"/>
  <c r="E175"/>
  <c r="A343"/>
  <c r="D342"/>
  <c r="B342"/>
  <c r="I175"/>
  <c r="C176"/>
  <c r="F175"/>
  <c r="G175"/>
  <c r="D343"/>
  <c r="A344"/>
  <c r="B343"/>
  <c r="H176"/>
  <c r="J176"/>
  <c r="E176"/>
  <c r="B344"/>
  <c r="D344"/>
  <c r="A345"/>
  <c r="I176"/>
  <c r="C177"/>
  <c r="F176"/>
  <c r="G176"/>
  <c r="A346"/>
  <c r="B345"/>
  <c r="D345"/>
  <c r="H177"/>
  <c r="J177"/>
  <c r="E177"/>
  <c r="B346"/>
  <c r="A347"/>
  <c r="D346"/>
  <c r="F177"/>
  <c r="G177"/>
  <c r="I177"/>
  <c r="C178"/>
  <c r="D347"/>
  <c r="B347"/>
  <c r="A348"/>
  <c r="H178"/>
  <c r="J178"/>
  <c r="E178"/>
  <c r="B348"/>
  <c r="D348"/>
  <c r="A349"/>
  <c r="F178"/>
  <c r="G178"/>
  <c r="I178"/>
  <c r="C179"/>
  <c r="A350"/>
  <c r="D349"/>
  <c r="B349"/>
  <c r="H179"/>
  <c r="J179"/>
  <c r="E179"/>
  <c r="A351"/>
  <c r="D350"/>
  <c r="B350"/>
  <c r="F179"/>
  <c r="G179"/>
  <c r="I179"/>
  <c r="C180"/>
  <c r="B351"/>
  <c r="D351"/>
  <c r="A352"/>
  <c r="H180"/>
  <c r="J180"/>
  <c r="E180"/>
  <c r="D352"/>
  <c r="B352"/>
  <c r="A353"/>
  <c r="F180"/>
  <c r="G180"/>
  <c r="I180"/>
  <c r="C181"/>
  <c r="D353"/>
  <c r="B353"/>
  <c r="A354"/>
  <c r="H181"/>
  <c r="J181"/>
  <c r="E181"/>
  <c r="B354"/>
  <c r="D354"/>
  <c r="A355"/>
  <c r="I181"/>
  <c r="C182"/>
  <c r="F181"/>
  <c r="G181"/>
  <c r="B355"/>
  <c r="D355"/>
  <c r="A356"/>
  <c r="E182"/>
  <c r="H182"/>
  <c r="J182"/>
  <c r="A357"/>
  <c r="D356"/>
  <c r="B356"/>
  <c r="F182"/>
  <c r="G182"/>
  <c r="I182"/>
  <c r="C183"/>
  <c r="A358"/>
  <c r="D357"/>
  <c r="B357"/>
  <c r="H183"/>
  <c r="J183"/>
  <c r="E183"/>
  <c r="A359"/>
  <c r="D358"/>
  <c r="B358"/>
  <c r="I183"/>
  <c r="C184"/>
  <c r="F183"/>
  <c r="G183"/>
  <c r="B359"/>
  <c r="D359"/>
  <c r="A360"/>
  <c r="H184"/>
  <c r="J184"/>
  <c r="E184"/>
  <c r="D360"/>
  <c r="B360"/>
  <c r="A361"/>
  <c r="I184"/>
  <c r="C185"/>
  <c r="F184"/>
  <c r="G184"/>
  <c r="B361"/>
  <c r="A362"/>
  <c r="D361"/>
  <c r="E185"/>
  <c r="H185"/>
  <c r="J185"/>
  <c r="D362"/>
  <c r="A363"/>
  <c r="B362"/>
  <c r="F185"/>
  <c r="G185"/>
  <c r="I185"/>
  <c r="C186"/>
  <c r="B363"/>
  <c r="A364"/>
  <c r="D363"/>
  <c r="H186"/>
  <c r="J186"/>
  <c r="E186"/>
  <c r="B364"/>
  <c r="D364"/>
  <c r="A365"/>
  <c r="I186"/>
  <c r="C187"/>
  <c r="F186"/>
  <c r="G186"/>
  <c r="A366"/>
  <c r="D365"/>
  <c r="B365"/>
  <c r="E187"/>
  <c r="H187"/>
  <c r="J187"/>
  <c r="B366"/>
  <c r="A367"/>
  <c r="D366"/>
  <c r="I187"/>
  <c r="C188"/>
  <c r="F187"/>
  <c r="G187"/>
  <c r="A368"/>
  <c r="D367"/>
  <c r="B367"/>
  <c r="H188"/>
  <c r="J188"/>
  <c r="E188"/>
  <c r="B368"/>
  <c r="D368"/>
  <c r="A369"/>
  <c r="F188"/>
  <c r="G188"/>
  <c r="I188"/>
  <c r="C189"/>
  <c r="B369"/>
  <c r="D369"/>
  <c r="A370"/>
  <c r="H189"/>
  <c r="J189"/>
  <c r="E189"/>
  <c r="D370"/>
  <c r="B370"/>
  <c r="A371"/>
  <c r="I189"/>
  <c r="C190"/>
  <c r="F189"/>
  <c r="G189"/>
  <c r="B371"/>
  <c r="D371"/>
  <c r="A372"/>
  <c r="H190"/>
  <c r="J190"/>
  <c r="E190"/>
  <c r="D372"/>
  <c r="B372"/>
  <c r="A373"/>
  <c r="I190"/>
  <c r="C191"/>
  <c r="F190"/>
  <c r="G190"/>
  <c r="B373"/>
  <c r="D373"/>
  <c r="A374"/>
  <c r="H191"/>
  <c r="J191"/>
  <c r="E191"/>
  <c r="D374"/>
  <c r="B374"/>
  <c r="A375"/>
  <c r="F191"/>
  <c r="G191"/>
  <c r="I191"/>
  <c r="C192"/>
  <c r="B375"/>
  <c r="D375"/>
  <c r="A376"/>
  <c r="H192"/>
  <c r="J192"/>
  <c r="E192"/>
  <c r="A377"/>
  <c r="D376"/>
  <c r="B376"/>
  <c r="F192"/>
  <c r="G192"/>
  <c r="I192"/>
  <c r="C193"/>
  <c r="D377"/>
  <c r="B377"/>
  <c r="A378"/>
  <c r="H193"/>
  <c r="J193"/>
  <c r="E193"/>
  <c r="D378"/>
  <c r="A379"/>
  <c r="B378"/>
  <c r="I193"/>
  <c r="C194"/>
  <c r="F193"/>
  <c r="G193"/>
  <c r="B379"/>
  <c r="A380"/>
  <c r="D379"/>
  <c r="E194"/>
  <c r="H194"/>
  <c r="J194"/>
  <c r="A381"/>
  <c r="D380"/>
  <c r="B380"/>
  <c r="F194"/>
  <c r="G194"/>
  <c r="I194"/>
  <c r="C195"/>
  <c r="B381"/>
  <c r="D381"/>
  <c r="A382"/>
  <c r="H195"/>
  <c r="J195"/>
  <c r="E195"/>
  <c r="D382"/>
  <c r="B382"/>
  <c r="A383"/>
  <c r="I195"/>
  <c r="C196"/>
  <c r="F195"/>
  <c r="G195"/>
  <c r="A384"/>
  <c r="D383"/>
  <c r="B383"/>
  <c r="H196"/>
  <c r="J196"/>
  <c r="E196"/>
  <c r="A385"/>
  <c r="B384"/>
  <c r="D384"/>
  <c r="F196"/>
  <c r="G196"/>
  <c r="I196"/>
  <c r="C197"/>
  <c r="A386"/>
  <c r="B385"/>
  <c r="D385"/>
  <c r="H197"/>
  <c r="J197"/>
  <c r="E197"/>
  <c r="A387"/>
  <c r="B386"/>
  <c r="D386"/>
  <c r="I197"/>
  <c r="C198"/>
  <c r="F197"/>
  <c r="G197"/>
  <c r="A388"/>
  <c r="D387"/>
  <c r="B387"/>
  <c r="E198"/>
  <c r="H198"/>
  <c r="J198"/>
  <c r="B388"/>
  <c r="D388"/>
  <c r="A389"/>
  <c r="F198"/>
  <c r="G198"/>
  <c r="I198"/>
  <c r="C199"/>
  <c r="B389"/>
  <c r="D389"/>
  <c r="A390"/>
  <c r="H199"/>
  <c r="J199"/>
  <c r="E199"/>
  <c r="D390"/>
  <c r="B390"/>
  <c r="A391"/>
  <c r="F199"/>
  <c r="G199"/>
  <c r="I199"/>
  <c r="C200"/>
  <c r="A392"/>
  <c r="D391"/>
  <c r="B391"/>
  <c r="H200"/>
  <c r="J200"/>
  <c r="E200"/>
  <c r="A393"/>
  <c r="D392"/>
  <c r="B392"/>
  <c r="F200"/>
  <c r="G200"/>
  <c r="I200"/>
  <c r="C201"/>
  <c r="A394"/>
  <c r="B393"/>
  <c r="D393"/>
  <c r="E201"/>
  <c r="H201"/>
  <c r="J201"/>
  <c r="B394"/>
  <c r="D394"/>
  <c r="A395"/>
  <c r="I201"/>
  <c r="C202"/>
  <c r="F201"/>
  <c r="G201"/>
  <c r="B395"/>
  <c r="D395"/>
  <c r="A396"/>
  <c r="E202"/>
  <c r="H202"/>
  <c r="J202"/>
  <c r="A397"/>
  <c r="B396"/>
  <c r="D396"/>
  <c r="I202"/>
  <c r="C203"/>
  <c r="F202"/>
  <c r="G202"/>
  <c r="B397"/>
  <c r="D397"/>
  <c r="A398"/>
  <c r="E203"/>
  <c r="H203"/>
  <c r="J203"/>
  <c r="A399"/>
  <c r="D398"/>
  <c r="B398"/>
  <c r="I203"/>
  <c r="C204"/>
  <c r="F203"/>
  <c r="G203"/>
  <c r="A400"/>
  <c r="D399"/>
  <c r="B399"/>
  <c r="E204"/>
  <c r="H204"/>
  <c r="J204"/>
  <c r="A401"/>
  <c r="D400"/>
  <c r="B400"/>
  <c r="F204"/>
  <c r="G204"/>
  <c r="I204"/>
  <c r="C205"/>
  <c r="A402"/>
  <c r="D401"/>
  <c r="B401"/>
  <c r="H205"/>
  <c r="J205"/>
  <c r="E205"/>
  <c r="A403"/>
  <c r="D402"/>
  <c r="B402"/>
  <c r="I205"/>
  <c r="C206"/>
  <c r="F205"/>
  <c r="G205"/>
  <c r="A404"/>
  <c r="B403"/>
  <c r="D403"/>
  <c r="H206"/>
  <c r="J206"/>
  <c r="E206"/>
  <c r="D404"/>
  <c r="B404"/>
  <c r="A405"/>
  <c r="F206"/>
  <c r="G206"/>
  <c r="I206"/>
  <c r="C207"/>
  <c r="D405"/>
  <c r="A406"/>
  <c r="B405"/>
  <c r="H207"/>
  <c r="J207"/>
  <c r="E207"/>
  <c r="B406"/>
  <c r="D406"/>
  <c r="A407"/>
  <c r="F207"/>
  <c r="G207"/>
  <c r="I207"/>
  <c r="C208"/>
  <c r="A408"/>
  <c r="D407"/>
  <c r="B407"/>
  <c r="H208"/>
  <c r="J208"/>
  <c r="E208"/>
  <c r="B408"/>
  <c r="A409"/>
  <c r="D408"/>
  <c r="F208"/>
  <c r="G208"/>
  <c r="I208"/>
  <c r="C209"/>
  <c r="A410"/>
  <c r="D409"/>
  <c r="B409"/>
  <c r="E209"/>
  <c r="H209"/>
  <c r="J209"/>
  <c r="D410"/>
  <c r="B410"/>
  <c r="A411"/>
  <c r="I209"/>
  <c r="C210"/>
  <c r="F209"/>
  <c r="G209"/>
  <c r="B411"/>
  <c r="D411"/>
  <c r="A412"/>
  <c r="H210"/>
  <c r="J210"/>
  <c r="E210"/>
  <c r="A413"/>
  <c r="B412"/>
  <c r="D412"/>
  <c r="I210"/>
  <c r="C211"/>
  <c r="F210"/>
  <c r="G210"/>
  <c r="A414"/>
  <c r="B413"/>
  <c r="D413"/>
  <c r="E211"/>
  <c r="H211"/>
  <c r="J211"/>
  <c r="D414"/>
  <c r="B414"/>
  <c r="A415"/>
  <c r="I211"/>
  <c r="C212"/>
  <c r="F211"/>
  <c r="G211"/>
  <c r="A416"/>
  <c r="D415"/>
  <c r="B415"/>
  <c r="E212"/>
  <c r="H212"/>
  <c r="J212"/>
  <c r="D416"/>
  <c r="B416"/>
  <c r="A417"/>
  <c r="I212"/>
  <c r="C213"/>
  <c r="F212"/>
  <c r="G212"/>
  <c r="B417"/>
  <c r="D417"/>
  <c r="A418"/>
  <c r="H213"/>
  <c r="J213"/>
  <c r="E213"/>
  <c r="A419"/>
  <c r="B418"/>
  <c r="D418"/>
  <c r="F213"/>
  <c r="G213"/>
  <c r="I213"/>
  <c r="C214"/>
  <c r="A420"/>
  <c r="D419"/>
  <c r="B419"/>
  <c r="E214"/>
  <c r="H214"/>
  <c r="J214"/>
  <c r="B420"/>
  <c r="D420"/>
  <c r="A421"/>
  <c r="F214"/>
  <c r="G214"/>
  <c r="I214"/>
  <c r="C215"/>
  <c r="B421"/>
  <c r="D421"/>
  <c r="A422"/>
  <c r="E215"/>
  <c r="H215"/>
  <c r="J215"/>
  <c r="D422"/>
  <c r="B422"/>
  <c r="A423"/>
  <c r="I215"/>
  <c r="C216"/>
  <c r="F215"/>
  <c r="G215"/>
  <c r="A424"/>
  <c r="D423"/>
  <c r="B423"/>
  <c r="E216"/>
  <c r="H216"/>
  <c r="J216"/>
  <c r="A425"/>
  <c r="B424"/>
  <c r="D424"/>
  <c r="F216"/>
  <c r="G216"/>
  <c r="I216"/>
  <c r="C217"/>
  <c r="D425"/>
  <c r="B425"/>
  <c r="A426"/>
  <c r="H217"/>
  <c r="J217"/>
  <c r="E217"/>
  <c r="A427"/>
  <c r="B426"/>
  <c r="D426"/>
  <c r="F217"/>
  <c r="G217"/>
  <c r="I217"/>
  <c r="C218"/>
  <c r="A428"/>
  <c r="D427"/>
  <c r="B427"/>
  <c r="E218"/>
  <c r="H218"/>
  <c r="J218"/>
  <c r="D428"/>
  <c r="B428"/>
  <c r="A429"/>
  <c r="F218"/>
  <c r="G218"/>
  <c r="I218"/>
  <c r="C219"/>
  <c r="B429"/>
  <c r="D429"/>
  <c r="A430"/>
  <c r="H219"/>
  <c r="J219"/>
  <c r="E219"/>
  <c r="D430"/>
  <c r="B430"/>
  <c r="A431"/>
  <c r="I219"/>
  <c r="C220"/>
  <c r="F219"/>
  <c r="G219"/>
  <c r="A432"/>
  <c r="D431"/>
  <c r="B431"/>
  <c r="E220"/>
  <c r="H220"/>
  <c r="J220"/>
  <c r="A433"/>
  <c r="B432"/>
  <c r="D432"/>
  <c r="F220"/>
  <c r="G220"/>
  <c r="I220"/>
  <c r="C221"/>
  <c r="B433"/>
  <c r="A434"/>
  <c r="D433"/>
  <c r="H221"/>
  <c r="J221"/>
  <c r="E221"/>
  <c r="B434"/>
  <c r="D434"/>
  <c r="A435"/>
  <c r="F221"/>
  <c r="G221"/>
  <c r="I221"/>
  <c r="C222"/>
  <c r="A436"/>
  <c r="B435"/>
  <c r="D435"/>
  <c r="E222"/>
  <c r="H222"/>
  <c r="J222"/>
  <c r="D436"/>
  <c r="B436"/>
  <c r="A437"/>
  <c r="F222"/>
  <c r="G222"/>
  <c r="I222"/>
  <c r="C223"/>
  <c r="A438"/>
  <c r="D437"/>
  <c r="B437"/>
  <c r="H223"/>
  <c r="J223"/>
  <c r="E223"/>
  <c r="A439"/>
  <c r="B438"/>
  <c r="D438"/>
  <c r="I223"/>
  <c r="C224"/>
  <c r="F223"/>
  <c r="G223"/>
  <c r="A440"/>
  <c r="D439"/>
  <c r="B439"/>
  <c r="H224"/>
  <c r="J224"/>
  <c r="E224"/>
  <c r="D440"/>
  <c r="B440"/>
  <c r="A441"/>
  <c r="I224"/>
  <c r="C225"/>
  <c r="F224"/>
  <c r="G224"/>
  <c r="A442"/>
  <c r="D441"/>
  <c r="B441"/>
  <c r="H225"/>
  <c r="J225"/>
  <c r="E225"/>
  <c r="B442"/>
  <c r="A443"/>
  <c r="D442"/>
  <c r="I225"/>
  <c r="C226"/>
  <c r="F225"/>
  <c r="G225"/>
  <c r="D443"/>
  <c r="B443"/>
  <c r="A444"/>
  <c r="H226"/>
  <c r="J226"/>
  <c r="E226"/>
  <c r="B444"/>
  <c r="D444"/>
  <c r="A445"/>
  <c r="F226"/>
  <c r="G226"/>
  <c r="I226"/>
  <c r="C227"/>
  <c r="B445"/>
  <c r="D445"/>
  <c r="A446"/>
  <c r="E227"/>
  <c r="H227"/>
  <c r="J227"/>
  <c r="A447"/>
  <c r="B446"/>
  <c r="D446"/>
  <c r="F227"/>
  <c r="G227"/>
  <c r="I227"/>
  <c r="C228"/>
  <c r="B447"/>
  <c r="A448"/>
  <c r="D447"/>
  <c r="H228"/>
  <c r="J228"/>
  <c r="E228"/>
  <c r="A449"/>
  <c r="D448"/>
  <c r="B448"/>
  <c r="F228"/>
  <c r="G228"/>
  <c r="I228"/>
  <c r="C229"/>
  <c r="A450"/>
  <c r="D449"/>
  <c r="B449"/>
  <c r="H229"/>
  <c r="J229"/>
  <c r="E229"/>
  <c r="D450"/>
  <c r="B450"/>
  <c r="A451"/>
  <c r="F229"/>
  <c r="G229"/>
  <c r="I229"/>
  <c r="C230"/>
  <c r="A452"/>
  <c r="B451"/>
  <c r="D451"/>
  <c r="E230"/>
  <c r="H230"/>
  <c r="J230"/>
  <c r="B452"/>
  <c r="D452"/>
  <c r="A453"/>
  <c r="I230"/>
  <c r="C231"/>
  <c r="F230"/>
  <c r="G230"/>
  <c r="A454"/>
  <c r="B453"/>
  <c r="D453"/>
  <c r="H231"/>
  <c r="J231"/>
  <c r="E231"/>
  <c r="B454"/>
  <c r="A455"/>
  <c r="D454"/>
  <c r="F231"/>
  <c r="G231"/>
  <c r="I231"/>
  <c r="C232"/>
  <c r="B455"/>
  <c r="A456"/>
  <c r="D455"/>
  <c r="H232"/>
  <c r="J232"/>
  <c r="E232"/>
  <c r="B456"/>
  <c r="D456"/>
  <c r="A457"/>
  <c r="F232"/>
  <c r="G232"/>
  <c r="I232"/>
  <c r="C233"/>
  <c r="A458"/>
  <c r="D457"/>
  <c r="B457"/>
  <c r="H233"/>
  <c r="J233"/>
  <c r="E233"/>
  <c r="A459"/>
  <c r="B458"/>
  <c r="D458"/>
  <c r="F233"/>
  <c r="G233"/>
  <c r="I233"/>
  <c r="C234"/>
  <c r="A460"/>
  <c r="B459"/>
  <c r="D459"/>
  <c r="H234"/>
  <c r="J234"/>
  <c r="E234"/>
  <c r="B460"/>
  <c r="A461"/>
  <c r="D460"/>
  <c r="F234"/>
  <c r="G234"/>
  <c r="I234"/>
  <c r="C235"/>
  <c r="A462"/>
  <c r="D461"/>
  <c r="B461"/>
  <c r="E235"/>
  <c r="H235"/>
  <c r="J235"/>
  <c r="A463"/>
  <c r="D462"/>
  <c r="B462"/>
  <c r="F235"/>
  <c r="G235"/>
  <c r="I235"/>
  <c r="C236"/>
  <c r="B463"/>
  <c r="A464"/>
  <c r="D463"/>
  <c r="E236"/>
  <c r="H236"/>
  <c r="J236"/>
  <c r="D464"/>
  <c r="B464"/>
  <c r="A465"/>
  <c r="I236"/>
  <c r="C237"/>
  <c r="F236"/>
  <c r="G236"/>
  <c r="A466"/>
  <c r="D465"/>
  <c r="B465"/>
  <c r="H237"/>
  <c r="J237"/>
  <c r="E237"/>
  <c r="A467"/>
  <c r="B466"/>
  <c r="D466"/>
  <c r="I237"/>
  <c r="C238"/>
  <c r="F237"/>
  <c r="G237"/>
  <c r="B467"/>
  <c r="D467"/>
  <c r="A468"/>
  <c r="E238"/>
  <c r="H238"/>
  <c r="J238"/>
  <c r="A469"/>
  <c r="B468"/>
  <c r="D468"/>
  <c r="I238"/>
  <c r="C239"/>
  <c r="F238"/>
  <c r="G238"/>
  <c r="A470"/>
  <c r="B469"/>
  <c r="D469"/>
  <c r="H239"/>
  <c r="J239"/>
  <c r="E239"/>
  <c r="B470"/>
  <c r="D470"/>
  <c r="A471"/>
  <c r="I239"/>
  <c r="C240"/>
  <c r="F239"/>
  <c r="G239"/>
  <c r="A472"/>
  <c r="B471"/>
  <c r="D471"/>
  <c r="H240"/>
  <c r="J240"/>
  <c r="E240"/>
  <c r="D472"/>
  <c r="B472"/>
  <c r="A473"/>
  <c r="I240"/>
  <c r="C241"/>
  <c r="F240"/>
  <c r="G240"/>
  <c r="A474"/>
  <c r="B473"/>
  <c r="D473"/>
  <c r="H241"/>
  <c r="J241"/>
  <c r="E241"/>
  <c r="A475"/>
  <c r="D474"/>
  <c r="B474"/>
  <c r="F241"/>
  <c r="G241"/>
  <c r="I241"/>
  <c r="C242"/>
  <c r="B475"/>
  <c r="D475"/>
  <c r="A476"/>
  <c r="H242"/>
  <c r="J242"/>
  <c r="E242"/>
  <c r="D476"/>
  <c r="A477"/>
  <c r="B476"/>
  <c r="F242"/>
  <c r="G242"/>
  <c r="I242"/>
  <c r="C243"/>
  <c r="D477"/>
  <c r="B477"/>
  <c r="A478"/>
  <c r="E243"/>
  <c r="H243"/>
  <c r="J243"/>
  <c r="A479"/>
  <c r="D478"/>
  <c r="B478"/>
  <c r="F243"/>
  <c r="G243"/>
  <c r="I243"/>
  <c r="C244"/>
  <c r="B479"/>
  <c r="A480"/>
  <c r="D479"/>
  <c r="E244"/>
  <c r="H244"/>
  <c r="J244"/>
  <c r="D480"/>
  <c r="A481"/>
  <c r="B480"/>
  <c r="I244"/>
  <c r="C245"/>
  <c r="F244"/>
  <c r="G244"/>
  <c r="A482"/>
  <c r="B481"/>
  <c r="D481"/>
  <c r="H245"/>
  <c r="J245"/>
  <c r="E245"/>
  <c r="A483"/>
  <c r="D482"/>
  <c r="B482"/>
  <c r="F245"/>
  <c r="G245"/>
  <c r="I245"/>
  <c r="C246"/>
  <c r="B483"/>
  <c r="D483"/>
  <c r="A484"/>
  <c r="E246"/>
  <c r="H246"/>
  <c r="J246"/>
  <c r="B484"/>
  <c r="A485"/>
  <c r="D484"/>
  <c r="I246"/>
  <c r="C247"/>
  <c r="F246"/>
  <c r="G246"/>
  <c r="B485"/>
  <c r="D485"/>
  <c r="A486"/>
  <c r="H247"/>
  <c r="J247"/>
  <c r="E247"/>
  <c r="B486"/>
  <c r="A487"/>
  <c r="D486"/>
  <c r="F247"/>
  <c r="G247"/>
  <c r="I247"/>
  <c r="C248"/>
  <c r="D487"/>
  <c r="B487"/>
  <c r="A488"/>
  <c r="E248"/>
  <c r="H248"/>
  <c r="J248"/>
  <c r="A489"/>
  <c r="D488"/>
  <c r="B488"/>
  <c r="F248"/>
  <c r="G248"/>
  <c r="I248"/>
  <c r="C249"/>
  <c r="B489"/>
  <c r="D489"/>
  <c r="A490"/>
  <c r="H249"/>
  <c r="J249"/>
  <c r="E249"/>
  <c r="B490"/>
  <c r="D490"/>
  <c r="A491"/>
  <c r="I249"/>
  <c r="C250"/>
  <c r="F249"/>
  <c r="G249"/>
  <c r="B491"/>
  <c r="D491"/>
  <c r="A492"/>
  <c r="H250"/>
  <c r="J250"/>
  <c r="E250"/>
  <c r="B492"/>
  <c r="D492"/>
  <c r="A493"/>
  <c r="I250"/>
  <c r="C251"/>
  <c r="F250"/>
  <c r="G250"/>
  <c r="D493"/>
  <c r="B493"/>
  <c r="A494"/>
  <c r="H251"/>
  <c r="J251"/>
  <c r="E251"/>
  <c r="B494"/>
  <c r="D494"/>
  <c r="A495"/>
  <c r="F251"/>
  <c r="G251"/>
  <c r="I251"/>
  <c r="C252"/>
  <c r="B495"/>
  <c r="A496"/>
  <c r="D495"/>
  <c r="H252"/>
  <c r="J252"/>
  <c r="E252"/>
  <c r="A497"/>
  <c r="D496"/>
  <c r="B496"/>
  <c r="I252"/>
  <c r="C253"/>
  <c r="F252"/>
  <c r="G252"/>
  <c r="B497"/>
  <c r="D497"/>
  <c r="H253"/>
  <c r="J253"/>
  <c r="E253"/>
  <c r="F253"/>
  <c r="G253"/>
  <c r="I253"/>
  <c r="C254"/>
  <c r="H254"/>
  <c r="J254"/>
  <c r="E254"/>
  <c r="F254"/>
  <c r="G254"/>
  <c r="I254"/>
  <c r="C255"/>
  <c r="H255"/>
  <c r="J255"/>
  <c r="E255"/>
  <c r="F255"/>
  <c r="G255"/>
  <c r="I255"/>
  <c r="C256"/>
  <c r="H256"/>
  <c r="J256"/>
  <c r="E256"/>
  <c r="F256"/>
  <c r="G256"/>
  <c r="I256"/>
  <c r="C257"/>
  <c r="H257"/>
  <c r="J257"/>
  <c r="E257"/>
  <c r="F257"/>
  <c r="G257"/>
  <c r="I257"/>
  <c r="C258"/>
  <c r="H258"/>
  <c r="J258"/>
  <c r="E258"/>
  <c r="F258"/>
  <c r="G258"/>
  <c r="I258"/>
  <c r="C259"/>
  <c r="H259"/>
  <c r="J259"/>
  <c r="E259"/>
  <c r="F259"/>
  <c r="G259"/>
  <c r="I259"/>
  <c r="C260"/>
  <c r="H260"/>
  <c r="J260"/>
  <c r="E260"/>
  <c r="F260"/>
  <c r="G260"/>
  <c r="I260"/>
  <c r="C261"/>
  <c r="H261"/>
  <c r="J261"/>
  <c r="E261"/>
  <c r="I261"/>
  <c r="C262"/>
  <c r="F261"/>
  <c r="G261"/>
  <c r="H262"/>
  <c r="J262"/>
  <c r="E262"/>
  <c r="I262"/>
  <c r="C263"/>
  <c r="F262"/>
  <c r="G262"/>
  <c r="H263"/>
  <c r="J263"/>
  <c r="E263"/>
  <c r="F263"/>
  <c r="G263"/>
  <c r="I263"/>
  <c r="C264"/>
  <c r="H264"/>
  <c r="J264"/>
  <c r="E264"/>
  <c r="I264"/>
  <c r="C265"/>
  <c r="F264"/>
  <c r="G264"/>
  <c r="H265"/>
  <c r="J265"/>
  <c r="E265"/>
  <c r="F265"/>
  <c r="G265"/>
  <c r="I265"/>
  <c r="C266"/>
  <c r="H266"/>
  <c r="J266"/>
  <c r="E266"/>
  <c r="I266"/>
  <c r="C267"/>
  <c r="F266"/>
  <c r="G266"/>
  <c r="H267"/>
  <c r="J267"/>
  <c r="E267"/>
  <c r="F267"/>
  <c r="G267"/>
  <c r="I267"/>
  <c r="C268"/>
  <c r="H268"/>
  <c r="J268"/>
  <c r="E268"/>
  <c r="I268"/>
  <c r="C269"/>
  <c r="F268"/>
  <c r="G268"/>
  <c r="H269"/>
  <c r="J269"/>
  <c r="E269"/>
  <c r="F269"/>
  <c r="G269"/>
  <c r="I269"/>
  <c r="C270"/>
  <c r="H270"/>
  <c r="J270"/>
  <c r="E270"/>
  <c r="I270"/>
  <c r="C271"/>
  <c r="F270"/>
  <c r="G270"/>
  <c r="H271"/>
  <c r="J271"/>
  <c r="E271"/>
  <c r="F271"/>
  <c r="G271"/>
  <c r="I271"/>
  <c r="C272"/>
  <c r="E272"/>
  <c r="H272"/>
  <c r="J272"/>
  <c r="F272"/>
  <c r="G272"/>
  <c r="I272"/>
  <c r="C273"/>
  <c r="H273"/>
  <c r="J273"/>
  <c r="E273"/>
  <c r="F273"/>
  <c r="G273"/>
  <c r="I273"/>
  <c r="C274"/>
  <c r="H274"/>
  <c r="J274"/>
  <c r="E274"/>
  <c r="I274"/>
  <c r="C275"/>
  <c r="F274"/>
  <c r="G274"/>
  <c r="H275"/>
  <c r="J275"/>
  <c r="E275"/>
  <c r="F275"/>
  <c r="G275"/>
  <c r="I275"/>
  <c r="C276"/>
  <c r="E276"/>
  <c r="H276"/>
  <c r="J276"/>
  <c r="I276"/>
  <c r="C277"/>
  <c r="F276"/>
  <c r="G276"/>
  <c r="H277"/>
  <c r="J277"/>
  <c r="E277"/>
  <c r="F277"/>
  <c r="G277"/>
  <c r="I277"/>
  <c r="C278"/>
  <c r="H278"/>
  <c r="J278"/>
  <c r="E278"/>
  <c r="F278"/>
  <c r="G278"/>
  <c r="I278"/>
  <c r="C279"/>
  <c r="H279"/>
  <c r="J279"/>
  <c r="E279"/>
  <c r="F279"/>
  <c r="G279"/>
  <c r="I279"/>
  <c r="C280"/>
  <c r="E280"/>
  <c r="H280"/>
  <c r="J280"/>
  <c r="I280"/>
  <c r="C281"/>
  <c r="F280"/>
  <c r="G280"/>
  <c r="E281"/>
  <c r="H281"/>
  <c r="J281"/>
  <c r="F281"/>
  <c r="G281"/>
  <c r="I281"/>
  <c r="C282"/>
  <c r="H282"/>
  <c r="J282"/>
  <c r="E282"/>
  <c r="I282"/>
  <c r="C283"/>
  <c r="F282"/>
  <c r="G282"/>
  <c r="H283"/>
  <c r="J283"/>
  <c r="E283"/>
  <c r="F283"/>
  <c r="G283"/>
  <c r="I283"/>
  <c r="C284"/>
  <c r="E284"/>
  <c r="H284"/>
  <c r="J284"/>
  <c r="F284"/>
  <c r="G284"/>
  <c r="I284"/>
  <c r="C285"/>
  <c r="E285"/>
  <c r="H285"/>
  <c r="J285"/>
  <c r="F285"/>
  <c r="G285"/>
  <c r="I285"/>
  <c r="C286"/>
  <c r="H286"/>
  <c r="J286"/>
  <c r="E286"/>
  <c r="F286"/>
  <c r="G286"/>
  <c r="I286"/>
  <c r="C287"/>
  <c r="H287"/>
  <c r="J287"/>
  <c r="E287"/>
  <c r="F287"/>
  <c r="G287"/>
  <c r="I287"/>
  <c r="C288"/>
  <c r="H288"/>
  <c r="J288"/>
  <c r="E288"/>
  <c r="F288"/>
  <c r="G288"/>
  <c r="I288"/>
  <c r="C289"/>
  <c r="H289"/>
  <c r="J289"/>
  <c r="E289"/>
  <c r="F289"/>
  <c r="G289"/>
  <c r="I289"/>
  <c r="C290"/>
  <c r="H290"/>
  <c r="J290"/>
  <c r="E290"/>
  <c r="I290"/>
  <c r="C291"/>
  <c r="F290"/>
  <c r="G290"/>
  <c r="H291"/>
  <c r="J291"/>
  <c r="E291"/>
  <c r="F291"/>
  <c r="G291"/>
  <c r="I291"/>
  <c r="C292"/>
  <c r="E292"/>
  <c r="H292"/>
  <c r="J292"/>
  <c r="F292"/>
  <c r="G292"/>
  <c r="I292"/>
  <c r="C293"/>
  <c r="E293"/>
  <c r="H293"/>
  <c r="J293"/>
  <c r="F293"/>
  <c r="G293"/>
  <c r="I293"/>
  <c r="C294"/>
  <c r="H294"/>
  <c r="J294"/>
  <c r="E294"/>
  <c r="I294"/>
  <c r="C295"/>
  <c r="F294"/>
  <c r="G294"/>
  <c r="E295"/>
  <c r="H295"/>
  <c r="J295"/>
  <c r="F295"/>
  <c r="G295"/>
  <c r="I295"/>
  <c r="C296"/>
  <c r="H296"/>
  <c r="J296"/>
  <c r="E296"/>
  <c r="F296"/>
  <c r="G296"/>
  <c r="I296"/>
  <c r="C297"/>
  <c r="E297"/>
  <c r="H297"/>
  <c r="J297"/>
  <c r="F297"/>
  <c r="G297"/>
  <c r="I297"/>
  <c r="C298"/>
  <c r="E298"/>
  <c r="H298"/>
  <c r="J298"/>
  <c r="F298"/>
  <c r="G298"/>
  <c r="I298"/>
  <c r="C299"/>
  <c r="H299"/>
  <c r="J299"/>
  <c r="E299"/>
  <c r="F299"/>
  <c r="G299"/>
  <c r="I299"/>
  <c r="C300"/>
  <c r="E300"/>
  <c r="H300"/>
  <c r="J300"/>
  <c r="F300"/>
  <c r="G300"/>
  <c r="I300"/>
  <c r="C301"/>
  <c r="H301"/>
  <c r="J301"/>
  <c r="E301"/>
  <c r="F301"/>
  <c r="G301"/>
  <c r="I301"/>
  <c r="C302"/>
  <c r="H302"/>
  <c r="J302"/>
  <c r="E302"/>
  <c r="I302"/>
  <c r="C303"/>
  <c r="F302"/>
  <c r="G302"/>
  <c r="H303"/>
  <c r="J303"/>
  <c r="E303"/>
  <c r="F303"/>
  <c r="G303"/>
  <c r="I303"/>
  <c r="C304"/>
  <c r="H304"/>
  <c r="J304"/>
  <c r="E304"/>
  <c r="I304"/>
  <c r="C305"/>
  <c r="F304"/>
  <c r="G304"/>
  <c r="E305"/>
  <c r="H305"/>
  <c r="J305"/>
  <c r="F305"/>
  <c r="G305"/>
  <c r="I305"/>
  <c r="C306"/>
  <c r="H306"/>
  <c r="J306"/>
  <c r="E306"/>
  <c r="I306"/>
  <c r="C307"/>
  <c r="F306"/>
  <c r="G306"/>
  <c r="E307"/>
  <c r="H307"/>
  <c r="J307"/>
  <c r="I307"/>
  <c r="C308"/>
  <c r="F307"/>
  <c r="G307"/>
  <c r="H308"/>
  <c r="J308"/>
  <c r="E308"/>
  <c r="F308"/>
  <c r="G308"/>
  <c r="I308"/>
  <c r="C309"/>
  <c r="E309"/>
  <c r="H309"/>
  <c r="J309"/>
  <c r="I309"/>
  <c r="C310"/>
  <c r="F309"/>
  <c r="G309"/>
  <c r="H310"/>
  <c r="J310"/>
  <c r="E310"/>
  <c r="F310"/>
  <c r="G310"/>
  <c r="I310"/>
  <c r="C311"/>
  <c r="E311"/>
  <c r="H311"/>
  <c r="J311"/>
  <c r="I311"/>
  <c r="C312"/>
  <c r="F311"/>
  <c r="G311"/>
  <c r="H312"/>
  <c r="J312"/>
  <c r="E312"/>
  <c r="F312"/>
  <c r="G312"/>
  <c r="I312"/>
  <c r="C313"/>
  <c r="E313"/>
  <c r="H313"/>
  <c r="J313"/>
  <c r="I313"/>
  <c r="C314"/>
  <c r="F313"/>
  <c r="G313"/>
  <c r="H314"/>
  <c r="J314"/>
  <c r="E314"/>
  <c r="F314"/>
  <c r="G314"/>
  <c r="I314"/>
  <c r="C315"/>
  <c r="E315"/>
  <c r="H315"/>
  <c r="J315"/>
  <c r="I315"/>
  <c r="C316"/>
  <c r="F315"/>
  <c r="G315"/>
  <c r="E316"/>
  <c r="H316"/>
  <c r="J316"/>
  <c r="I316"/>
  <c r="C317"/>
  <c r="F316"/>
  <c r="G316"/>
  <c r="E317"/>
  <c r="H317"/>
  <c r="J317"/>
  <c r="I317"/>
  <c r="C318"/>
  <c r="F317"/>
  <c r="G317"/>
  <c r="H318"/>
  <c r="J318"/>
  <c r="E318"/>
  <c r="F318"/>
  <c r="G318"/>
  <c r="I318"/>
  <c r="C319"/>
  <c r="E319"/>
  <c r="H319"/>
  <c r="J319"/>
  <c r="I319"/>
  <c r="C320"/>
  <c r="F319"/>
  <c r="G319"/>
  <c r="H320"/>
  <c r="J320"/>
  <c r="E320"/>
  <c r="F320"/>
  <c r="G320"/>
  <c r="I320"/>
  <c r="C321"/>
  <c r="E321"/>
  <c r="H321"/>
  <c r="J321"/>
  <c r="I321"/>
  <c r="C322"/>
  <c r="F321"/>
  <c r="G321"/>
  <c r="E322"/>
  <c r="H322"/>
  <c r="J322"/>
  <c r="F322"/>
  <c r="G322"/>
  <c r="I322"/>
  <c r="C323"/>
  <c r="E323"/>
  <c r="H323"/>
  <c r="J323"/>
  <c r="I323"/>
  <c r="C324"/>
  <c r="F323"/>
  <c r="G323"/>
  <c r="H324"/>
  <c r="J324"/>
  <c r="E324"/>
  <c r="F324"/>
  <c r="G324"/>
  <c r="I324"/>
  <c r="C325"/>
  <c r="E325"/>
  <c r="H325"/>
  <c r="J325"/>
  <c r="I325"/>
  <c r="C326"/>
  <c r="F325"/>
  <c r="G325"/>
  <c r="H326"/>
  <c r="J326"/>
  <c r="E326"/>
  <c r="F326"/>
  <c r="G326"/>
  <c r="I326"/>
  <c r="C327"/>
  <c r="E327"/>
  <c r="H327"/>
  <c r="J327"/>
  <c r="I327"/>
  <c r="C328"/>
  <c r="F327"/>
  <c r="G327"/>
  <c r="E328"/>
  <c r="H328"/>
  <c r="J328"/>
  <c r="I328"/>
  <c r="C329"/>
  <c r="F328"/>
  <c r="G328"/>
  <c r="E329"/>
  <c r="H329"/>
  <c r="J329"/>
  <c r="I329"/>
  <c r="C330"/>
  <c r="F329"/>
  <c r="G329"/>
  <c r="E330"/>
  <c r="H330"/>
  <c r="J330"/>
  <c r="I330"/>
  <c r="C331"/>
  <c r="F330"/>
  <c r="G330"/>
  <c r="E331"/>
  <c r="H331"/>
  <c r="J331"/>
  <c r="I331"/>
  <c r="C332"/>
  <c r="F331"/>
  <c r="G331"/>
  <c r="H332"/>
  <c r="J332"/>
  <c r="E332"/>
  <c r="F332"/>
  <c r="G332"/>
  <c r="I332"/>
  <c r="C333"/>
  <c r="E333"/>
  <c r="H333"/>
  <c r="J333"/>
  <c r="F333"/>
  <c r="G333"/>
  <c r="I333"/>
  <c r="C334"/>
  <c r="H334"/>
  <c r="J334"/>
  <c r="E334"/>
  <c r="I334"/>
  <c r="C335"/>
  <c r="F334"/>
  <c r="G334"/>
  <c r="E335"/>
  <c r="H335"/>
  <c r="J335"/>
  <c r="F335"/>
  <c r="G335"/>
  <c r="I335"/>
  <c r="C336"/>
  <c r="H336"/>
  <c r="J336"/>
  <c r="E336"/>
  <c r="F336"/>
  <c r="G336"/>
  <c r="I336"/>
  <c r="C337"/>
  <c r="E337"/>
  <c r="H337"/>
  <c r="J337"/>
  <c r="F337"/>
  <c r="G337"/>
  <c r="I337"/>
  <c r="C338"/>
  <c r="H338"/>
  <c r="J338"/>
  <c r="E338"/>
  <c r="F338"/>
  <c r="G338"/>
  <c r="I338"/>
  <c r="C339"/>
  <c r="E339"/>
  <c r="H339"/>
  <c r="J339"/>
  <c r="I339"/>
  <c r="C340"/>
  <c r="F339"/>
  <c r="G339"/>
  <c r="H340"/>
  <c r="J340"/>
  <c r="E340"/>
  <c r="I340"/>
  <c r="C341"/>
  <c r="F340"/>
  <c r="G340"/>
  <c r="E341"/>
  <c r="H341"/>
  <c r="J341"/>
  <c r="F341"/>
  <c r="G341"/>
  <c r="I341"/>
  <c r="C342"/>
  <c r="H342"/>
  <c r="J342"/>
  <c r="E342"/>
  <c r="I342"/>
  <c r="C343"/>
  <c r="F342"/>
  <c r="G342"/>
  <c r="E343"/>
  <c r="H343"/>
  <c r="J343"/>
  <c r="I343"/>
  <c r="C344"/>
  <c r="F343"/>
  <c r="G343"/>
  <c r="H344"/>
  <c r="J344"/>
  <c r="E344"/>
  <c r="F344"/>
  <c r="G344"/>
  <c r="I344"/>
  <c r="C345"/>
  <c r="E345"/>
  <c r="H345"/>
  <c r="J345"/>
  <c r="I345"/>
  <c r="C346"/>
  <c r="F345"/>
  <c r="G345"/>
  <c r="E346"/>
  <c r="H346"/>
  <c r="J346"/>
  <c r="I346"/>
  <c r="C347"/>
  <c r="F346"/>
  <c r="G346"/>
  <c r="H347"/>
  <c r="J347"/>
  <c r="E347"/>
  <c r="I347"/>
  <c r="C348"/>
  <c r="F347"/>
  <c r="G347"/>
  <c r="H348"/>
  <c r="J348"/>
  <c r="E348"/>
  <c r="F348"/>
  <c r="G348"/>
  <c r="I348"/>
  <c r="C349"/>
  <c r="H349"/>
  <c r="J349"/>
  <c r="E349"/>
  <c r="F349"/>
  <c r="G349"/>
  <c r="I349"/>
  <c r="C350"/>
  <c r="H350"/>
  <c r="J350"/>
  <c r="E350"/>
  <c r="I350"/>
  <c r="C351"/>
  <c r="F350"/>
  <c r="G350"/>
  <c r="E351"/>
  <c r="H351"/>
  <c r="J351"/>
  <c r="F351"/>
  <c r="G351"/>
  <c r="I351"/>
  <c r="C352"/>
  <c r="H352"/>
  <c r="J352"/>
  <c r="E352"/>
  <c r="I352"/>
  <c r="C353"/>
  <c r="F352"/>
  <c r="G352"/>
  <c r="H353"/>
  <c r="J353"/>
  <c r="E353"/>
  <c r="I353"/>
  <c r="C354"/>
  <c r="F353"/>
  <c r="G353"/>
  <c r="H354"/>
  <c r="J354"/>
  <c r="E354"/>
  <c r="F354"/>
  <c r="G354"/>
  <c r="I354"/>
  <c r="C355"/>
  <c r="H355"/>
  <c r="J355"/>
  <c r="E355"/>
  <c r="F355"/>
  <c r="G355"/>
  <c r="I355"/>
  <c r="C356"/>
  <c r="E356"/>
  <c r="H356"/>
  <c r="J356"/>
  <c r="I356"/>
  <c r="C357"/>
  <c r="F356"/>
  <c r="G356"/>
  <c r="H357"/>
  <c r="J357"/>
  <c r="E357"/>
  <c r="I357"/>
  <c r="C358"/>
  <c r="F357"/>
  <c r="G357"/>
  <c r="H358"/>
  <c r="J358"/>
  <c r="E358"/>
  <c r="I358"/>
  <c r="C359"/>
  <c r="F358"/>
  <c r="G358"/>
  <c r="H359"/>
  <c r="J359"/>
  <c r="E359"/>
  <c r="F359"/>
  <c r="G359"/>
  <c r="I359"/>
  <c r="C360"/>
  <c r="E360"/>
  <c r="H360"/>
  <c r="J360"/>
  <c r="I360"/>
  <c r="C361"/>
  <c r="F360"/>
  <c r="G360"/>
  <c r="H361"/>
  <c r="J361"/>
  <c r="E361"/>
  <c r="I361"/>
  <c r="C362"/>
  <c r="F361"/>
  <c r="G361"/>
  <c r="E362"/>
  <c r="H362"/>
  <c r="J362"/>
  <c r="I362"/>
  <c r="C363"/>
  <c r="F362"/>
  <c r="G362"/>
  <c r="H363"/>
  <c r="J363"/>
  <c r="E363"/>
  <c r="F363"/>
  <c r="G363"/>
  <c r="I363"/>
  <c r="C364"/>
  <c r="H364"/>
  <c r="J364"/>
  <c r="E364"/>
  <c r="F364"/>
  <c r="G364"/>
  <c r="I364"/>
  <c r="C365"/>
  <c r="H365"/>
  <c r="J365"/>
  <c r="E365"/>
  <c r="F365"/>
  <c r="G365"/>
  <c r="I365"/>
  <c r="C366"/>
  <c r="E366"/>
  <c r="H366"/>
  <c r="J366"/>
  <c r="I366"/>
  <c r="C367"/>
  <c r="F366"/>
  <c r="G366"/>
  <c r="E367"/>
  <c r="H367"/>
  <c r="J367"/>
  <c r="F367"/>
  <c r="G367"/>
  <c r="I367"/>
  <c r="C368"/>
  <c r="H368"/>
  <c r="J368"/>
  <c r="E368"/>
  <c r="I368"/>
  <c r="C369"/>
  <c r="F368"/>
  <c r="G368"/>
  <c r="H369"/>
  <c r="J369"/>
  <c r="E369"/>
  <c r="I369"/>
  <c r="C370"/>
  <c r="F369"/>
  <c r="G369"/>
  <c r="H370"/>
  <c r="J370"/>
  <c r="E370"/>
  <c r="I370"/>
  <c r="C371"/>
  <c r="F370"/>
  <c r="G370"/>
  <c r="H371"/>
  <c r="J371"/>
  <c r="E371"/>
  <c r="F371"/>
  <c r="G371"/>
  <c r="I371"/>
  <c r="C372"/>
  <c r="E372"/>
  <c r="H372"/>
  <c r="J372"/>
  <c r="F372"/>
  <c r="G372"/>
  <c r="I372"/>
  <c r="C373"/>
  <c r="H373"/>
  <c r="J373"/>
  <c r="E373"/>
  <c r="I373"/>
  <c r="C374"/>
  <c r="F373"/>
  <c r="G373"/>
  <c r="E374"/>
  <c r="H374"/>
  <c r="J374"/>
  <c r="I374"/>
  <c r="C375"/>
  <c r="F374"/>
  <c r="G374"/>
  <c r="H375"/>
  <c r="J375"/>
  <c r="E375"/>
  <c r="I375"/>
  <c r="C376"/>
  <c r="F375"/>
  <c r="G375"/>
  <c r="H376"/>
  <c r="J376"/>
  <c r="E376"/>
  <c r="I376"/>
  <c r="C377"/>
  <c r="F376"/>
  <c r="G376"/>
  <c r="H377"/>
  <c r="J377"/>
  <c r="E377"/>
  <c r="F377"/>
  <c r="G377"/>
  <c r="I377"/>
  <c r="C378"/>
  <c r="E378"/>
  <c r="H378"/>
  <c r="J378"/>
  <c r="I378"/>
  <c r="C379"/>
  <c r="F378"/>
  <c r="G378"/>
  <c r="H379"/>
  <c r="J379"/>
  <c r="E379"/>
  <c r="I379"/>
  <c r="C380"/>
  <c r="F379"/>
  <c r="G379"/>
  <c r="E380"/>
  <c r="H380"/>
  <c r="J380"/>
  <c r="I380"/>
  <c r="C381"/>
  <c r="F380"/>
  <c r="G380"/>
  <c r="E381"/>
  <c r="H381"/>
  <c r="J381"/>
  <c r="I381"/>
  <c r="C382"/>
  <c r="F381"/>
  <c r="G381"/>
  <c r="E382"/>
  <c r="H382"/>
  <c r="J382"/>
  <c r="I382"/>
  <c r="C383"/>
  <c r="F382"/>
  <c r="G382"/>
  <c r="H383"/>
  <c r="J383"/>
  <c r="E383"/>
  <c r="I383"/>
  <c r="C384"/>
  <c r="F383"/>
  <c r="G383"/>
  <c r="H384"/>
  <c r="J384"/>
  <c r="E384"/>
  <c r="I384"/>
  <c r="C385"/>
  <c r="F384"/>
  <c r="G384"/>
  <c r="H385"/>
  <c r="J385"/>
  <c r="E385"/>
  <c r="I385"/>
  <c r="C386"/>
  <c r="F385"/>
  <c r="G385"/>
  <c r="E386"/>
  <c r="H386"/>
  <c r="J386"/>
  <c r="I386"/>
  <c r="C387"/>
  <c r="F386"/>
  <c r="G386"/>
  <c r="H387"/>
  <c r="J387"/>
  <c r="E387"/>
  <c r="I387"/>
  <c r="C388"/>
  <c r="F387"/>
  <c r="G387"/>
  <c r="E388"/>
  <c r="H388"/>
  <c r="J388"/>
  <c r="I388"/>
  <c r="C389"/>
  <c r="F388"/>
  <c r="G388"/>
  <c r="E389"/>
  <c r="H389"/>
  <c r="J389"/>
  <c r="I389"/>
  <c r="C390"/>
  <c r="F389"/>
  <c r="G389"/>
  <c r="H390"/>
  <c r="J390"/>
  <c r="E390"/>
  <c r="I390"/>
  <c r="C391"/>
  <c r="F390"/>
  <c r="G390"/>
  <c r="H391"/>
  <c r="J391"/>
  <c r="E391"/>
  <c r="I391"/>
  <c r="C392"/>
  <c r="F391"/>
  <c r="G391"/>
  <c r="H392"/>
  <c r="J392"/>
  <c r="E392"/>
  <c r="I392"/>
  <c r="C393"/>
  <c r="F392"/>
  <c r="G392"/>
  <c r="H393"/>
  <c r="J393"/>
  <c r="E393"/>
  <c r="F393"/>
  <c r="G393"/>
  <c r="I393"/>
  <c r="C394"/>
  <c r="E394"/>
  <c r="H394"/>
  <c r="J394"/>
  <c r="F394"/>
  <c r="G394"/>
  <c r="I394"/>
  <c r="C395"/>
  <c r="H395"/>
  <c r="J395"/>
  <c r="E395"/>
  <c r="I395"/>
  <c r="C396"/>
  <c r="F395"/>
  <c r="G395"/>
  <c r="H396"/>
  <c r="J396"/>
  <c r="E396"/>
  <c r="I396"/>
  <c r="C397"/>
  <c r="F396"/>
  <c r="G396"/>
  <c r="H397"/>
  <c r="J397"/>
  <c r="E397"/>
  <c r="F397"/>
  <c r="G397"/>
  <c r="I397"/>
  <c r="C398"/>
  <c r="E398"/>
  <c r="H398"/>
  <c r="J398"/>
  <c r="I398"/>
  <c r="C399"/>
  <c r="F398"/>
  <c r="G398"/>
  <c r="H399"/>
  <c r="J399"/>
  <c r="E399"/>
  <c r="I399"/>
  <c r="C400"/>
  <c r="F399"/>
  <c r="G399"/>
  <c r="H400"/>
  <c r="J400"/>
  <c r="E400"/>
  <c r="I400"/>
  <c r="C401"/>
  <c r="F400"/>
  <c r="G400"/>
  <c r="H401"/>
  <c r="J401"/>
  <c r="E401"/>
  <c r="F401"/>
  <c r="G401"/>
  <c r="I401"/>
  <c r="C402"/>
  <c r="H402"/>
  <c r="J402"/>
  <c r="E402"/>
  <c r="I402"/>
  <c r="C403"/>
  <c r="F402"/>
  <c r="G402"/>
  <c r="H403"/>
  <c r="J403"/>
  <c r="E403"/>
  <c r="I403"/>
  <c r="C404"/>
  <c r="F403"/>
  <c r="G403"/>
  <c r="H404"/>
  <c r="J404"/>
  <c r="E404"/>
  <c r="F404"/>
  <c r="G404"/>
  <c r="I404"/>
  <c r="C405"/>
  <c r="H405"/>
  <c r="J405"/>
  <c r="E405"/>
  <c r="F405"/>
  <c r="G405"/>
  <c r="I405"/>
  <c r="C406"/>
  <c r="E406"/>
  <c r="H406"/>
  <c r="J406"/>
  <c r="I406"/>
  <c r="C407"/>
  <c r="F406"/>
  <c r="G406"/>
  <c r="H407"/>
  <c r="J407"/>
  <c r="E407"/>
  <c r="F407"/>
  <c r="G407"/>
  <c r="I407"/>
  <c r="C408"/>
  <c r="H408"/>
  <c r="J408"/>
  <c r="E408"/>
  <c r="I408"/>
  <c r="C409"/>
  <c r="F408"/>
  <c r="G408"/>
  <c r="H409"/>
  <c r="J409"/>
  <c r="E409"/>
  <c r="F409"/>
  <c r="G409"/>
  <c r="I409"/>
  <c r="C410"/>
  <c r="H410"/>
  <c r="J410"/>
  <c r="E410"/>
  <c r="I410"/>
  <c r="C411"/>
  <c r="F410"/>
  <c r="G410"/>
  <c r="H411"/>
  <c r="J411"/>
  <c r="E411"/>
  <c r="I411"/>
  <c r="C412"/>
  <c r="F411"/>
  <c r="G411"/>
  <c r="H412"/>
  <c r="J412"/>
  <c r="E412"/>
  <c r="I412"/>
  <c r="C413"/>
  <c r="F412"/>
  <c r="G412"/>
  <c r="E413"/>
  <c r="H413"/>
  <c r="J413"/>
  <c r="F413"/>
  <c r="G413"/>
  <c r="I413"/>
  <c r="C414"/>
  <c r="E414"/>
  <c r="H414"/>
  <c r="J414"/>
  <c r="F414"/>
  <c r="G414"/>
  <c r="I414"/>
  <c r="C415"/>
  <c r="E415"/>
  <c r="H415"/>
  <c r="J415"/>
  <c r="F415"/>
  <c r="G415"/>
  <c r="I415"/>
  <c r="C416"/>
  <c r="H416"/>
  <c r="J416"/>
  <c r="E416"/>
  <c r="I416"/>
  <c r="C417"/>
  <c r="F416"/>
  <c r="G416"/>
  <c r="E417"/>
  <c r="H417"/>
  <c r="J417"/>
  <c r="F417"/>
  <c r="G417"/>
  <c r="I417"/>
  <c r="C418"/>
  <c r="H418"/>
  <c r="J418"/>
  <c r="E418"/>
  <c r="F418"/>
  <c r="G418"/>
  <c r="I418"/>
  <c r="C419"/>
  <c r="E419"/>
  <c r="H419"/>
  <c r="J419"/>
  <c r="I419"/>
  <c r="C420"/>
  <c r="F419"/>
  <c r="G419"/>
  <c r="E420"/>
  <c r="H420"/>
  <c r="J420"/>
  <c r="F420"/>
  <c r="G420"/>
  <c r="I420"/>
  <c r="C421"/>
  <c r="H421"/>
  <c r="J421"/>
  <c r="E421"/>
  <c r="F421"/>
  <c r="G421"/>
  <c r="I421"/>
  <c r="C422"/>
  <c r="H422"/>
  <c r="J422"/>
  <c r="E422"/>
  <c r="I422"/>
  <c r="C423"/>
  <c r="F422"/>
  <c r="G422"/>
  <c r="H423"/>
  <c r="J423"/>
  <c r="E423"/>
  <c r="F423"/>
  <c r="G423"/>
  <c r="I423"/>
  <c r="C424"/>
  <c r="H424"/>
  <c r="J424"/>
  <c r="E424"/>
  <c r="I424"/>
  <c r="C425"/>
  <c r="F424"/>
  <c r="G424"/>
  <c r="H425"/>
  <c r="J425"/>
  <c r="E425"/>
  <c r="F425"/>
  <c r="G425"/>
  <c r="I425"/>
  <c r="C426"/>
  <c r="H426"/>
  <c r="J426"/>
  <c r="E426"/>
  <c r="I426"/>
  <c r="C427"/>
  <c r="F426"/>
  <c r="G426"/>
  <c r="H427"/>
  <c r="J427"/>
  <c r="E427"/>
  <c r="I427"/>
  <c r="C428"/>
  <c r="F427"/>
  <c r="G427"/>
  <c r="E428"/>
  <c r="H428"/>
  <c r="J428"/>
  <c r="F428"/>
  <c r="G428"/>
  <c r="I428"/>
  <c r="C429"/>
  <c r="H429"/>
  <c r="J429"/>
  <c r="E429"/>
  <c r="F429"/>
  <c r="G429"/>
  <c r="I429"/>
  <c r="C430"/>
  <c r="E430"/>
  <c r="H430"/>
  <c r="J430"/>
  <c r="I430"/>
  <c r="C431"/>
  <c r="F430"/>
  <c r="G430"/>
  <c r="E431"/>
  <c r="H431"/>
  <c r="J431"/>
  <c r="F431"/>
  <c r="G431"/>
  <c r="I431"/>
  <c r="C432"/>
  <c r="H432"/>
  <c r="J432"/>
  <c r="E432"/>
  <c r="I432"/>
  <c r="C433"/>
  <c r="F432"/>
  <c r="G432"/>
  <c r="H433"/>
  <c r="J433"/>
  <c r="E433"/>
  <c r="F433"/>
  <c r="G433"/>
  <c r="I433"/>
  <c r="C434"/>
  <c r="H434"/>
  <c r="J434"/>
  <c r="E434"/>
  <c r="F434"/>
  <c r="G434"/>
  <c r="I434"/>
  <c r="C435"/>
  <c r="H435"/>
  <c r="J435"/>
  <c r="E435"/>
  <c r="I435"/>
  <c r="C436"/>
  <c r="F435"/>
  <c r="G435"/>
  <c r="H436"/>
  <c r="J436"/>
  <c r="E436"/>
  <c r="F436"/>
  <c r="G436"/>
  <c r="I436"/>
  <c r="C437"/>
  <c r="H437"/>
  <c r="J437"/>
  <c r="E437"/>
  <c r="F437"/>
  <c r="G437"/>
  <c r="I437"/>
  <c r="C438"/>
  <c r="H438"/>
  <c r="J438"/>
  <c r="E438"/>
  <c r="I438"/>
  <c r="C439"/>
  <c r="F438"/>
  <c r="G438"/>
  <c r="H439"/>
  <c r="J439"/>
  <c r="E439"/>
  <c r="I439"/>
  <c r="C440"/>
  <c r="F439"/>
  <c r="G439"/>
  <c r="H440"/>
  <c r="J440"/>
  <c r="E440"/>
  <c r="I440"/>
  <c r="C441"/>
  <c r="F440"/>
  <c r="G440"/>
  <c r="H441"/>
  <c r="J441"/>
  <c r="E441"/>
  <c r="I441"/>
  <c r="C442"/>
  <c r="F441"/>
  <c r="G441"/>
  <c r="H442"/>
  <c r="J442"/>
  <c r="E442"/>
  <c r="I442"/>
  <c r="C443"/>
  <c r="F442"/>
  <c r="G442"/>
  <c r="E443"/>
  <c r="H443"/>
  <c r="J443"/>
  <c r="I443"/>
  <c r="C444"/>
  <c r="F443"/>
  <c r="G443"/>
  <c r="H444"/>
  <c r="J444"/>
  <c r="E444"/>
  <c r="I444"/>
  <c r="C445"/>
  <c r="F444"/>
  <c r="G444"/>
  <c r="E445"/>
  <c r="H445"/>
  <c r="J445"/>
  <c r="F445"/>
  <c r="G445"/>
  <c r="I445"/>
  <c r="C446"/>
  <c r="E446"/>
  <c r="H446"/>
  <c r="J446"/>
  <c r="F446"/>
  <c r="G446"/>
  <c r="I446"/>
  <c r="C447"/>
  <c r="H447"/>
  <c r="J447"/>
  <c r="E447"/>
  <c r="I447"/>
  <c r="C448"/>
  <c r="F447"/>
  <c r="G447"/>
  <c r="H448"/>
  <c r="J448"/>
  <c r="E448"/>
  <c r="I448"/>
  <c r="C449"/>
  <c r="F448"/>
  <c r="G448"/>
  <c r="H449"/>
  <c r="J449"/>
  <c r="E449"/>
  <c r="F449"/>
  <c r="G449"/>
  <c r="I449"/>
  <c r="C450"/>
  <c r="H450"/>
  <c r="J450"/>
  <c r="E450"/>
  <c r="I450"/>
  <c r="C451"/>
  <c r="F450"/>
  <c r="G450"/>
  <c r="E451"/>
  <c r="H451"/>
  <c r="J451"/>
  <c r="F451"/>
  <c r="G451"/>
  <c r="I451"/>
  <c r="C452"/>
  <c r="H452"/>
  <c r="J452"/>
  <c r="E452"/>
  <c r="I452"/>
  <c r="C453"/>
  <c r="F452"/>
  <c r="G452"/>
  <c r="E453"/>
  <c r="H453"/>
  <c r="J453"/>
  <c r="I453"/>
  <c r="C454"/>
  <c r="F453"/>
  <c r="G453"/>
  <c r="H454"/>
  <c r="J454"/>
  <c r="E454"/>
  <c r="I454"/>
  <c r="C455"/>
  <c r="F454"/>
  <c r="G454"/>
  <c r="H455"/>
  <c r="J455"/>
  <c r="E455"/>
  <c r="F455"/>
  <c r="G455"/>
  <c r="I455"/>
  <c r="C456"/>
  <c r="E456"/>
  <c r="H456"/>
  <c r="J456"/>
  <c r="F456"/>
  <c r="G456"/>
  <c r="I456"/>
  <c r="C457"/>
  <c r="E457"/>
  <c r="H457"/>
  <c r="J457"/>
  <c r="F457"/>
  <c r="G457"/>
  <c r="I457"/>
  <c r="C458"/>
  <c r="H458"/>
  <c r="J458"/>
  <c r="E458"/>
  <c r="F458"/>
  <c r="G458"/>
  <c r="I458"/>
  <c r="C459"/>
  <c r="H459"/>
  <c r="J459"/>
  <c r="E459"/>
  <c r="F459"/>
  <c r="G459"/>
  <c r="I459"/>
  <c r="C460"/>
  <c r="H460"/>
  <c r="J460"/>
  <c r="E460"/>
  <c r="I460"/>
  <c r="C461"/>
  <c r="F460"/>
  <c r="G460"/>
  <c r="H461"/>
  <c r="J461"/>
  <c r="E461"/>
  <c r="I461"/>
  <c r="C462"/>
  <c r="F461"/>
  <c r="G461"/>
  <c r="E462"/>
  <c r="H462"/>
  <c r="J462"/>
  <c r="I462"/>
  <c r="C463"/>
  <c r="F462"/>
  <c r="G462"/>
  <c r="H463"/>
  <c r="J463"/>
  <c r="E463"/>
  <c r="F463"/>
  <c r="G463"/>
  <c r="I463"/>
  <c r="C464"/>
  <c r="H464"/>
  <c r="J464"/>
  <c r="E464"/>
  <c r="F464"/>
  <c r="G464"/>
  <c r="I464"/>
  <c r="C465"/>
  <c r="H465"/>
  <c r="J465"/>
  <c r="E465"/>
  <c r="F465"/>
  <c r="G465"/>
  <c r="I465"/>
  <c r="C466"/>
  <c r="E466"/>
  <c r="H466"/>
  <c r="J466"/>
  <c r="I466"/>
  <c r="C467"/>
  <c r="F466"/>
  <c r="G466"/>
  <c r="H467"/>
  <c r="J467"/>
  <c r="E467"/>
  <c r="F467"/>
  <c r="G467"/>
  <c r="I467"/>
  <c r="C468"/>
  <c r="E468"/>
  <c r="H468"/>
  <c r="J468"/>
  <c r="I468"/>
  <c r="C469"/>
  <c r="F468"/>
  <c r="G468"/>
  <c r="E469"/>
  <c r="H469"/>
  <c r="J469"/>
  <c r="I469"/>
  <c r="C470"/>
  <c r="F469"/>
  <c r="G469"/>
  <c r="E470"/>
  <c r="H470"/>
  <c r="J470"/>
  <c r="F470"/>
  <c r="G470"/>
  <c r="I470"/>
  <c r="C471"/>
  <c r="E471"/>
  <c r="H471"/>
  <c r="J471"/>
  <c r="F471"/>
  <c r="G471"/>
  <c r="I471"/>
  <c r="C472"/>
  <c r="E472"/>
  <c r="H472"/>
  <c r="J472"/>
  <c r="F472"/>
  <c r="G472"/>
  <c r="I472"/>
  <c r="C473"/>
  <c r="E473"/>
  <c r="H473"/>
  <c r="J473"/>
  <c r="F473"/>
  <c r="G473"/>
  <c r="I473"/>
  <c r="C474"/>
  <c r="H474"/>
  <c r="J474"/>
  <c r="E474"/>
  <c r="F474"/>
  <c r="G474"/>
  <c r="I474"/>
  <c r="C475"/>
  <c r="H475"/>
  <c r="J475"/>
  <c r="E475"/>
  <c r="F475"/>
  <c r="G475"/>
  <c r="I475"/>
  <c r="C476"/>
  <c r="E476"/>
  <c r="H476"/>
  <c r="J476"/>
  <c r="F476"/>
  <c r="G476"/>
  <c r="I476"/>
  <c r="C477"/>
  <c r="E477"/>
  <c r="H477"/>
  <c r="J477"/>
  <c r="F477"/>
  <c r="G477"/>
  <c r="I477"/>
  <c r="C478"/>
  <c r="E478"/>
  <c r="H478"/>
  <c r="J478"/>
  <c r="F478"/>
  <c r="G478"/>
  <c r="I478"/>
  <c r="C479"/>
  <c r="H479"/>
  <c r="J479"/>
  <c r="E479"/>
  <c r="F479"/>
  <c r="G479"/>
  <c r="I479"/>
  <c r="C480"/>
  <c r="E480"/>
  <c r="H480"/>
  <c r="J480"/>
  <c r="I480"/>
  <c r="C481"/>
  <c r="F480"/>
  <c r="G480"/>
  <c r="E481"/>
  <c r="H481"/>
  <c r="J481"/>
  <c r="F481"/>
  <c r="G481"/>
  <c r="I481"/>
  <c r="C482"/>
  <c r="H482"/>
  <c r="J482"/>
  <c r="E482"/>
  <c r="F482"/>
  <c r="G482"/>
  <c r="I482"/>
  <c r="C483"/>
  <c r="H483"/>
  <c r="J483"/>
  <c r="E483"/>
  <c r="F483"/>
  <c r="G483"/>
  <c r="I483"/>
  <c r="C484"/>
  <c r="H484"/>
  <c r="J484"/>
  <c r="E484"/>
  <c r="F484"/>
  <c r="G484"/>
  <c r="I484"/>
  <c r="C485"/>
  <c r="E485"/>
  <c r="H485"/>
  <c r="J485"/>
  <c r="F485"/>
  <c r="G485"/>
  <c r="I485"/>
  <c r="C486"/>
  <c r="H486"/>
  <c r="J486"/>
  <c r="E486"/>
  <c r="F486"/>
  <c r="G486"/>
  <c r="I486"/>
  <c r="C487"/>
  <c r="H487"/>
  <c r="J487"/>
  <c r="E487"/>
  <c r="F487"/>
  <c r="G487"/>
  <c r="I487"/>
  <c r="C488"/>
  <c r="E488"/>
  <c r="H488"/>
  <c r="J488"/>
  <c r="F488"/>
  <c r="G488"/>
  <c r="I488"/>
  <c r="C489"/>
  <c r="E489"/>
  <c r="H489"/>
  <c r="J489"/>
  <c r="F489"/>
  <c r="G489"/>
  <c r="I489"/>
  <c r="C490"/>
  <c r="E490"/>
  <c r="H490"/>
  <c r="J490"/>
  <c r="F490"/>
  <c r="G490"/>
  <c r="I490"/>
  <c r="C491"/>
  <c r="H491"/>
  <c r="J491"/>
  <c r="E491"/>
  <c r="F491"/>
  <c r="G491"/>
  <c r="I491"/>
  <c r="C492"/>
  <c r="E492"/>
  <c r="H492"/>
  <c r="J492"/>
  <c r="F492"/>
  <c r="G492"/>
  <c r="I492"/>
  <c r="C493"/>
  <c r="E493"/>
  <c r="H493"/>
  <c r="J493"/>
  <c r="I493"/>
  <c r="C494"/>
  <c r="F493"/>
  <c r="G493"/>
  <c r="H494"/>
  <c r="J494"/>
  <c r="E494"/>
  <c r="F494"/>
  <c r="G494"/>
  <c r="I494"/>
  <c r="C495"/>
  <c r="H495"/>
  <c r="J495"/>
  <c r="E495"/>
  <c r="F495"/>
  <c r="G495"/>
  <c r="I495"/>
  <c r="C496"/>
  <c r="H496"/>
  <c r="J496"/>
  <c r="E496"/>
  <c r="F496"/>
  <c r="G496"/>
  <c r="I496"/>
  <c r="C497"/>
  <c r="J9"/>
  <c r="H497"/>
  <c r="J497"/>
  <c r="E497"/>
  <c r="J8"/>
  <c r="F497"/>
  <c r="G497"/>
  <c r="I497"/>
  <c r="J7"/>
</calcChain>
</file>

<file path=xl/comments1.xml><?xml version="1.0" encoding="utf-8"?>
<comments xmlns="http://schemas.openxmlformats.org/spreadsheetml/2006/main">
  <authors>
    <author>A satisfied Microsoft Office user</author>
  </authors>
  <commentList>
    <comment ref="D6" authorId="0">
      <text>
        <r>
          <rPr>
            <sz val="8"/>
            <color indexed="81"/>
            <rFont val="Tahoma"/>
            <family val="2"/>
          </rPr>
          <t xml:space="preserve">Monthly rate , calculated on the base of the annual rate compounded daily
</t>
        </r>
      </text>
    </comment>
  </commentList>
</comments>
</file>

<file path=xl/sharedStrings.xml><?xml version="1.0" encoding="utf-8"?>
<sst xmlns="http://schemas.openxmlformats.org/spreadsheetml/2006/main" count="802" uniqueCount="653">
  <si>
    <t>Cumulative Interest</t>
  </si>
  <si>
    <t>Ending Balance</t>
  </si>
  <si>
    <t>Interest</t>
  </si>
  <si>
    <t>Principal</t>
  </si>
  <si>
    <t>Total Payment</t>
  </si>
  <si>
    <t>Extra Payment</t>
  </si>
  <si>
    <t>Scheduled Payment</t>
  </si>
  <si>
    <t>Beginning Balance</t>
  </si>
  <si>
    <t>Payment Date</t>
  </si>
  <si>
    <t>Pmt. No.</t>
  </si>
  <si>
    <t>Lender name:</t>
  </si>
  <si>
    <t>Optional extra payments</t>
  </si>
  <si>
    <t>Total interest</t>
  </si>
  <si>
    <t>Start date of loan</t>
  </si>
  <si>
    <t>Total early payments</t>
  </si>
  <si>
    <t>Number of payments per year</t>
  </si>
  <si>
    <t>Actual number of payments</t>
  </si>
  <si>
    <t>Loan period in years</t>
  </si>
  <si>
    <t>Scheduled number of payments</t>
  </si>
  <si>
    <t>Annual interest rate</t>
  </si>
  <si>
    <t>Scheduled payment</t>
  </si>
  <si>
    <t>Loan amount</t>
  </si>
  <si>
    <t>Loan summary</t>
  </si>
  <si>
    <t>Enter values</t>
  </si>
  <si>
    <t>Loan Amortization Schedule</t>
  </si>
  <si>
    <t>Steps to complete the appraisal tool</t>
  </si>
  <si>
    <t>General information</t>
  </si>
  <si>
    <t>cell color</t>
  </si>
  <si>
    <t>You need to encode data to cells with this color. Do not leave such cells blank.</t>
  </si>
  <si>
    <t>Protected area: no data entry is accepted</t>
  </si>
  <si>
    <t>Step1</t>
  </si>
  <si>
    <t>Step2</t>
  </si>
  <si>
    <t>Step3</t>
  </si>
  <si>
    <t>Step 5</t>
  </si>
  <si>
    <t>CLIENT AND BUSINESS INFORMATION SHEET</t>
  </si>
  <si>
    <t>Business Name</t>
  </si>
  <si>
    <t>Analyst</t>
  </si>
  <si>
    <t>Date</t>
  </si>
  <si>
    <t>Branch Name</t>
  </si>
  <si>
    <t>First</t>
  </si>
  <si>
    <t>Applicant Name</t>
  </si>
  <si>
    <t>TIN No.</t>
  </si>
  <si>
    <t>Gender</t>
  </si>
  <si>
    <t>Spouse Name</t>
  </si>
  <si>
    <t>N/A</t>
  </si>
  <si>
    <t>Spouse occupation</t>
  </si>
  <si>
    <t>Home Address</t>
  </si>
  <si>
    <t>Phone</t>
  </si>
  <si>
    <t>Marital Status</t>
  </si>
  <si>
    <t>Education level</t>
  </si>
  <si>
    <t>Age</t>
  </si>
  <si>
    <t>Business Description</t>
  </si>
  <si>
    <t>Business Address</t>
  </si>
  <si>
    <t>Number Business Owners/Partners</t>
  </si>
  <si>
    <t>Date Business Started</t>
  </si>
  <si>
    <t>Form of ownership</t>
  </si>
  <si>
    <t>Economic Sector</t>
  </si>
  <si>
    <t>Agriculture</t>
  </si>
  <si>
    <t>Subsector Activity</t>
  </si>
  <si>
    <t>Current</t>
  </si>
  <si>
    <t>Full time employees:</t>
  </si>
  <si>
    <t>Partime Employees</t>
  </si>
  <si>
    <t>Seasonal Employees</t>
  </si>
  <si>
    <t>FT Equivalent</t>
  </si>
  <si>
    <t>Famliy Members Employed</t>
  </si>
  <si>
    <t>Peak Sales Months</t>
  </si>
  <si>
    <t>Lowest Sales Months</t>
  </si>
  <si>
    <t>Poor</t>
  </si>
  <si>
    <t>Estimation</t>
  </si>
  <si>
    <t>Loan Request</t>
  </si>
  <si>
    <t>Repayment frequency</t>
  </si>
  <si>
    <t>Term (in Months)</t>
  </si>
  <si>
    <t>Quarterly</t>
  </si>
  <si>
    <t>Interest basis</t>
  </si>
  <si>
    <t>Declining</t>
  </si>
  <si>
    <t>Cash contribution</t>
  </si>
  <si>
    <t>Instalments/yr.</t>
  </si>
  <si>
    <t>Grace period Requested (months)</t>
  </si>
  <si>
    <t>Total instalments</t>
  </si>
  <si>
    <t>Interest Only Months</t>
  </si>
  <si>
    <t>Loan Purpose</t>
  </si>
  <si>
    <t>Working capital</t>
  </si>
  <si>
    <t xml:space="preserve"> Items to be Purchased/Financed</t>
  </si>
  <si>
    <t>Quantity</t>
  </si>
  <si>
    <t>unit price (ETB)</t>
  </si>
  <si>
    <t>Value</t>
  </si>
  <si>
    <t>1. Working Capital</t>
  </si>
  <si>
    <t>Rent</t>
  </si>
  <si>
    <t>Subtotal-WC</t>
  </si>
  <si>
    <t>Subtotal-Investment</t>
  </si>
  <si>
    <t>Cash</t>
  </si>
  <si>
    <t>Total</t>
  </si>
  <si>
    <t>Value Declared</t>
  </si>
  <si>
    <t>Vehicle</t>
  </si>
  <si>
    <t>Max guarantee possible</t>
  </si>
  <si>
    <t>Monthly</t>
  </si>
  <si>
    <t>Bi-annual</t>
  </si>
  <si>
    <t>BUSINESS &amp; CHARACTER ASSESSMENT SHEET</t>
  </si>
  <si>
    <t>CREDIT HISTORY &amp; CURRENT EXPOSURE</t>
  </si>
  <si>
    <t>NBE Credit Report Obtained (Y/N?)</t>
  </si>
  <si>
    <t>No</t>
  </si>
  <si>
    <t>Total Number of Repaid Loans</t>
  </si>
  <si>
    <t>Score</t>
  </si>
  <si>
    <t>Repayment</t>
  </si>
  <si>
    <t>Date Received</t>
  </si>
  <si>
    <t>Loan/Lease Amount</t>
  </si>
  <si>
    <t>Current Balance</t>
  </si>
  <si>
    <t>Maturity date</t>
  </si>
  <si>
    <t>Loan / Lease Purpose</t>
  </si>
  <si>
    <t>Status</t>
  </si>
  <si>
    <t>Letter from Lender</t>
  </si>
  <si>
    <t>Regular</t>
  </si>
  <si>
    <t>Settled on time</t>
  </si>
  <si>
    <t>Settled late</t>
  </si>
  <si>
    <t>Irregular</t>
  </si>
  <si>
    <t>Defaulted</t>
  </si>
  <si>
    <t>Max score</t>
  </si>
  <si>
    <t>None</t>
  </si>
  <si>
    <t>Achieved</t>
  </si>
  <si>
    <t>Years of business operation</t>
  </si>
  <si>
    <t>&gt; 24 months</t>
  </si>
  <si>
    <t>What to look for</t>
  </si>
  <si>
    <t xml:space="preserve">Businesses with more than 2 years in operation are relatively less riskier </t>
  </si>
  <si>
    <t>Management Competence</t>
  </si>
  <si>
    <t>Very competent</t>
  </si>
  <si>
    <t>Very reliable</t>
  </si>
  <si>
    <t>Average</t>
  </si>
  <si>
    <t>Very good</t>
  </si>
  <si>
    <t>Supplier quality</t>
  </si>
  <si>
    <t>Satisfactory</t>
  </si>
  <si>
    <t>Well planned</t>
  </si>
  <si>
    <t>Unreliable</t>
  </si>
  <si>
    <t>Sales prospects</t>
  </si>
  <si>
    <t>Project idea/plan</t>
  </si>
  <si>
    <t>Some detail gaps</t>
  </si>
  <si>
    <t>Very unclear</t>
  </si>
  <si>
    <t xml:space="preserve">Cooperative </t>
  </si>
  <si>
    <t>Character</t>
  </si>
  <si>
    <t>Professional</t>
  </si>
  <si>
    <t>Highly trusted</t>
  </si>
  <si>
    <t>Hesitant</t>
  </si>
  <si>
    <t>Uncooperative</t>
  </si>
  <si>
    <t>Asset management</t>
  </si>
  <si>
    <t>Trying hard</t>
  </si>
  <si>
    <t>Careless</t>
  </si>
  <si>
    <t>Business and Character Maximum score</t>
  </si>
  <si>
    <t>No records</t>
  </si>
  <si>
    <t>No issues</t>
  </si>
  <si>
    <t>√</t>
  </si>
  <si>
    <t>Borrower failed to pass qualitative assessment:DO NOT PROCEED</t>
  </si>
  <si>
    <t>Applicant passed qualitative assessment: Proceed to Cashflow Analysis</t>
  </si>
  <si>
    <t>!</t>
  </si>
  <si>
    <t>×</t>
  </si>
  <si>
    <t>Economic sector</t>
  </si>
  <si>
    <t>Manufacturing</t>
  </si>
  <si>
    <t>Agroprocessing</t>
  </si>
  <si>
    <t>Construction</t>
  </si>
  <si>
    <t>Tourism</t>
  </si>
  <si>
    <t>Service</t>
  </si>
  <si>
    <t>Trade</t>
  </si>
  <si>
    <t>Good</t>
  </si>
  <si>
    <t>Project plan</t>
  </si>
  <si>
    <t>Collateral Quality</t>
  </si>
  <si>
    <t>Some gaps</t>
  </si>
  <si>
    <t>unclear</t>
  </si>
  <si>
    <t>Savings record</t>
  </si>
  <si>
    <t>Responsiveness</t>
  </si>
  <si>
    <t>Mixed</t>
  </si>
  <si>
    <t>3rd Party Opinion</t>
  </si>
  <si>
    <t>Moderate</t>
  </si>
  <si>
    <t xml:space="preserve"> 3rd party opinion</t>
  </si>
  <si>
    <t>Source:</t>
  </si>
  <si>
    <t>Application date</t>
  </si>
  <si>
    <t>Historical</t>
  </si>
  <si>
    <t>Assets</t>
  </si>
  <si>
    <t>Liabilities and Owner's Equity</t>
  </si>
  <si>
    <t>Current Assets</t>
  </si>
  <si>
    <t>Current Liabilities</t>
  </si>
  <si>
    <t>Accounts Payable</t>
  </si>
  <si>
    <t>Cash in MFI/Bank</t>
  </si>
  <si>
    <t>Short-Term Loans</t>
  </si>
  <si>
    <t>Key Ratios</t>
  </si>
  <si>
    <t>Accounts Receivable</t>
  </si>
  <si>
    <t>Iqqub Payables</t>
  </si>
  <si>
    <t>Iqqub recievable</t>
  </si>
  <si>
    <t>Current Portion of Long-Term Debt</t>
  </si>
  <si>
    <t>Projected</t>
  </si>
  <si>
    <t>Inventory-ALL</t>
  </si>
  <si>
    <t>Total Current Liabilities</t>
  </si>
  <si>
    <t>Acid test</t>
  </si>
  <si>
    <t>Prepaid Expenses</t>
  </si>
  <si>
    <t>Debt to Equity Ratio</t>
  </si>
  <si>
    <t>Other assets</t>
  </si>
  <si>
    <t>Long-Term Liabilities</t>
  </si>
  <si>
    <t>Total Current Assets</t>
  </si>
  <si>
    <t>Long-Term Debt</t>
  </si>
  <si>
    <t>Net Fixed (Long-Term) Assets</t>
  </si>
  <si>
    <t>Other long term debt</t>
  </si>
  <si>
    <t>Furniture</t>
  </si>
  <si>
    <t>Total Long-Term Liabilities</t>
  </si>
  <si>
    <t>Profit Margin(net)</t>
  </si>
  <si>
    <t>Machines, Vehicles, and Equipment</t>
  </si>
  <si>
    <t>Owner's Equity / Capital</t>
  </si>
  <si>
    <t>Debt service Ratio (aggregate)</t>
  </si>
  <si>
    <t>Buildings / Land</t>
  </si>
  <si>
    <t>Owners inv't /Retained Earnings</t>
  </si>
  <si>
    <t>Total Fixed Assets</t>
  </si>
  <si>
    <t>Current year Profit</t>
  </si>
  <si>
    <t>Debt service Ratio (Operational)</t>
  </si>
  <si>
    <t>Total Owner's Equity</t>
  </si>
  <si>
    <t>Total Assets</t>
  </si>
  <si>
    <t>Total Liabilities and Owner's Equity</t>
  </si>
  <si>
    <t>Off balancesheet items: Lease</t>
  </si>
  <si>
    <t>value</t>
  </si>
  <si>
    <t>term</t>
  </si>
  <si>
    <t>Rate</t>
  </si>
  <si>
    <t>yrs</t>
  </si>
  <si>
    <t>Accrual basis</t>
  </si>
  <si>
    <t>Cash basis</t>
  </si>
  <si>
    <t>BIRR</t>
  </si>
  <si>
    <t xml:space="preserve">   </t>
  </si>
  <si>
    <t>Growth rate</t>
  </si>
  <si>
    <t>Expected growth</t>
  </si>
  <si>
    <t>%</t>
  </si>
  <si>
    <t>Basis/ Justification</t>
  </si>
  <si>
    <t>Month -12</t>
  </si>
  <si>
    <t>Month -11</t>
  </si>
  <si>
    <t>Month -10</t>
  </si>
  <si>
    <t>Month -9</t>
  </si>
  <si>
    <t>Month -8</t>
  </si>
  <si>
    <t>Month -7</t>
  </si>
  <si>
    <t>Month -6</t>
  </si>
  <si>
    <t>Month -5</t>
  </si>
  <si>
    <t>Month -4</t>
  </si>
  <si>
    <t>Month -3</t>
  </si>
  <si>
    <t>Month -2</t>
  </si>
  <si>
    <t>Month -1</t>
  </si>
  <si>
    <t>ANNUAL</t>
  </si>
  <si>
    <t>Sales</t>
  </si>
  <si>
    <t>For 12 months ending:</t>
  </si>
  <si>
    <t>Cash at beginning of period</t>
  </si>
  <si>
    <t xml:space="preserve">Raw materrial/ inventory </t>
  </si>
  <si>
    <t>Salaries</t>
  </si>
  <si>
    <t>1. Cashflow from Operations</t>
  </si>
  <si>
    <t>Sales-Gross</t>
  </si>
  <si>
    <t>VAT/TOT</t>
  </si>
  <si>
    <t>Utilities (electiricy, water, etc)</t>
  </si>
  <si>
    <t>Sales-Net</t>
  </si>
  <si>
    <t>Net cash sales</t>
  </si>
  <si>
    <t>Transport (including fuel)</t>
  </si>
  <si>
    <t>Repair and mentainance</t>
  </si>
  <si>
    <t>Other Expences: (refer appication form 9.3)</t>
  </si>
  <si>
    <t>Interest on loan</t>
  </si>
  <si>
    <t>Cost of goods sold</t>
  </si>
  <si>
    <t>Rent expense(lease)</t>
  </si>
  <si>
    <t>Other expenses</t>
  </si>
  <si>
    <t>Total expenses</t>
  </si>
  <si>
    <t>Total outflows-operations</t>
  </si>
  <si>
    <t>Profit before tax</t>
  </si>
  <si>
    <t>Profit taxes</t>
  </si>
  <si>
    <t>Net Profit after tax</t>
  </si>
  <si>
    <t>Subtotal (net cashflow from operations</t>
  </si>
  <si>
    <t>2. Cash flow from other sources(Inv't, financing, others)</t>
  </si>
  <si>
    <t>Eqqub(Repayment)</t>
  </si>
  <si>
    <t>Subtotal-other sources</t>
  </si>
  <si>
    <t>Net Cash Flow from All Monthly Activities (1+2)</t>
  </si>
  <si>
    <t>Ending Cash:  Cumulative</t>
  </si>
  <si>
    <t>Cash-%</t>
  </si>
  <si>
    <t>Credit-%</t>
  </si>
  <si>
    <t>Purchase</t>
  </si>
  <si>
    <t>Ending Inventory</t>
  </si>
  <si>
    <t>Price</t>
  </si>
  <si>
    <t>Total value-Annual</t>
  </si>
  <si>
    <t>Cash sales</t>
  </si>
  <si>
    <t>Credit sales</t>
  </si>
  <si>
    <t>stock-value</t>
  </si>
  <si>
    <t>(Major Items)</t>
  </si>
  <si>
    <t>Begging inventory (value)</t>
  </si>
  <si>
    <t>Total value</t>
  </si>
  <si>
    <t>Cash purchase</t>
  </si>
  <si>
    <t>Credit purchase</t>
  </si>
  <si>
    <t>Stock-value</t>
  </si>
  <si>
    <t>Work-in-progress</t>
  </si>
  <si>
    <t xml:space="preserve">COMPLIANCE E&amp;S REQUIREMENTS </t>
  </si>
  <si>
    <t>I</t>
  </si>
  <si>
    <t>Exposure to Excluded Activities</t>
  </si>
  <si>
    <t>Desired 'YES'Column</t>
  </si>
  <si>
    <t>Desired "NO" column</t>
  </si>
  <si>
    <r>
      <t xml:space="preserve">Does or will the client carry out any activities listed on the List of Excluded Activities? </t>
    </r>
    <r>
      <rPr>
        <sz val="9"/>
        <color indexed="10"/>
        <rFont val="Arial"/>
        <family val="2"/>
      </rPr>
      <t>If yes, the investment cannot proceed</t>
    </r>
  </si>
  <si>
    <t>Yes</t>
  </si>
  <si>
    <t xml:space="preserve">II </t>
  </si>
  <si>
    <t>III</t>
  </si>
  <si>
    <t>iv</t>
  </si>
  <si>
    <t>V</t>
  </si>
  <si>
    <t>VI</t>
  </si>
  <si>
    <t>E&amp;S Risk Category</t>
  </si>
  <si>
    <t>State justification:</t>
  </si>
  <si>
    <t xml:space="preserve">Low Risk </t>
  </si>
  <si>
    <t>&gt;=80%</t>
  </si>
  <si>
    <t xml:space="preserve">Medium Risk </t>
  </si>
  <si>
    <t>&lt;80%</t>
  </si>
  <si>
    <t xml:space="preserve">High Risk </t>
  </si>
  <si>
    <t>&lt;60%</t>
  </si>
  <si>
    <t>[If High Risk, refer transaction to DBE’s Senior Social and Environmental Officer at the Special Fund Administration and Rural Financial Intermediation Programme Coordination Directorate]</t>
  </si>
  <si>
    <t>VIII</t>
  </si>
  <si>
    <t>Decision on eligibility (approval)</t>
  </si>
  <si>
    <t>Total number of "yes" or "No</t>
  </si>
  <si>
    <t>Total number of factors rated</t>
  </si>
  <si>
    <t>Percentage of "yes"or "N0"ratings</t>
  </si>
  <si>
    <t>Recommendation:</t>
  </si>
  <si>
    <t>Reject</t>
  </si>
  <si>
    <t xml:space="preserve">Accept / reject with management decision </t>
  </si>
  <si>
    <t xml:space="preserve">Accept with Corrective Action Plan </t>
  </si>
  <si>
    <t>Decision</t>
  </si>
  <si>
    <t>Screened By:</t>
  </si>
  <si>
    <t>Title:</t>
  </si>
  <si>
    <t>Date:</t>
  </si>
  <si>
    <t>Signature:</t>
  </si>
  <si>
    <t>Checked by:</t>
  </si>
  <si>
    <t>Approved by:</t>
  </si>
  <si>
    <t>Keys</t>
  </si>
  <si>
    <t>PASS</t>
  </si>
  <si>
    <t>PASS WITH ACCEPTABLE ACTION POINTS</t>
  </si>
  <si>
    <t>REJECT</t>
  </si>
  <si>
    <t>COLLATERAL VALUATION Worksheet</t>
  </si>
  <si>
    <t>1. Immovable Assets (Land/Buildings)</t>
  </si>
  <si>
    <t>Max. Portion</t>
  </si>
  <si>
    <t>2. Moveable Assets/Fixed Deposits</t>
  </si>
  <si>
    <t>Monthly salary</t>
  </si>
  <si>
    <t>Total Collateral Value</t>
  </si>
  <si>
    <t>Collateral coverage</t>
  </si>
  <si>
    <t>SUMMARY AND DECISION SHEET</t>
  </si>
  <si>
    <t>Customer:</t>
  </si>
  <si>
    <t>Business name:</t>
  </si>
  <si>
    <t>Credit Officer</t>
  </si>
  <si>
    <t>Summary of Request, Key Indicators &amp; Client Assessment</t>
  </si>
  <si>
    <t>Business Name:</t>
  </si>
  <si>
    <t>Requested</t>
  </si>
  <si>
    <t>Installment Amount</t>
  </si>
  <si>
    <t>Client Name:</t>
  </si>
  <si>
    <t xml:space="preserve">Amount  </t>
  </si>
  <si>
    <t>Annual loan repayment</t>
  </si>
  <si>
    <t>Business sector:</t>
  </si>
  <si>
    <t>Term (months)</t>
  </si>
  <si>
    <t>Total due</t>
  </si>
  <si>
    <t>Years in operation</t>
  </si>
  <si>
    <t>Number of Previous Loans</t>
  </si>
  <si>
    <t>Total no. of instalments</t>
  </si>
  <si>
    <t>Date of Loan Application:</t>
  </si>
  <si>
    <t>Key financial Indicators</t>
  </si>
  <si>
    <t>Before Loan</t>
  </si>
  <si>
    <t>After Loan</t>
  </si>
  <si>
    <t>Rating</t>
  </si>
  <si>
    <t>Weight</t>
  </si>
  <si>
    <t>Earned score</t>
  </si>
  <si>
    <t>Low</t>
  </si>
  <si>
    <t>Medium</t>
  </si>
  <si>
    <t>High</t>
  </si>
  <si>
    <t>Acid Test (Cash/ current liability)</t>
  </si>
  <si>
    <t>&gt;1</t>
  </si>
  <si>
    <t>&lt;1</t>
  </si>
  <si>
    <t>&lt; 2</t>
  </si>
  <si>
    <t>&gt; 2</t>
  </si>
  <si>
    <t>Debt Service  Ratio/ Repayment capacity (Net cashflow/ total debt repayment)</t>
  </si>
  <si>
    <t>&gt; 1.5</t>
  </si>
  <si>
    <t>&lt; 1.5</t>
  </si>
  <si>
    <t>Net operating cashflow/Total debt repayment</t>
  </si>
  <si>
    <t>&gt;1.25</t>
  </si>
  <si>
    <t>&lt;1.1</t>
  </si>
  <si>
    <t>Number of months with negative cashflow</t>
  </si>
  <si>
    <t>&gt;3</t>
  </si>
  <si>
    <t>Net Profit margin</t>
  </si>
  <si>
    <t>&gt;25%</t>
  </si>
  <si>
    <t>&lt;10%</t>
  </si>
  <si>
    <t>Business and Character Assessment</t>
  </si>
  <si>
    <t>Credit and Repayment History</t>
  </si>
  <si>
    <t>Total score out of 100</t>
  </si>
  <si>
    <t>REPAYMENT CAPACITY ANALYSIS</t>
  </si>
  <si>
    <t>Total  cash inflow-Annual</t>
  </si>
  <si>
    <t>Annual loan payment</t>
  </si>
  <si>
    <t>Confidence level</t>
  </si>
  <si>
    <t>Summary of Decision Factors</t>
  </si>
  <si>
    <t>Max.</t>
  </si>
  <si>
    <t>Actual</t>
  </si>
  <si>
    <t>Norm</t>
  </si>
  <si>
    <t>Remark</t>
  </si>
  <si>
    <t>1. Qualitative assessment-Business &amp;character</t>
  </si>
  <si>
    <t>2. Financial assessment-Cash fow &amp;Ratios</t>
  </si>
  <si>
    <t>3. Environmental assessment</t>
  </si>
  <si>
    <t>4. Collateral assessment-coverage&amp;quality</t>
  </si>
  <si>
    <t>Proposed Credit Decision</t>
  </si>
  <si>
    <t>x</t>
  </si>
  <si>
    <t>RECOMMENDATIONS AND CREDIT DECISION</t>
  </si>
  <si>
    <r>
      <t>Recommendations</t>
    </r>
    <r>
      <rPr>
        <b/>
        <i/>
        <sz val="9"/>
        <rFont val="Arial"/>
        <family val="2"/>
      </rPr>
      <t>:</t>
    </r>
  </si>
  <si>
    <t>Strengths:</t>
  </si>
  <si>
    <t>Weaknesses:</t>
  </si>
  <si>
    <r>
      <t xml:space="preserve">Recommend:  </t>
    </r>
    <r>
      <rPr>
        <sz val="9"/>
        <rFont val="Webdings"/>
        <family val="1"/>
        <charset val="2"/>
      </rPr>
      <t>c</t>
    </r>
  </si>
  <si>
    <r>
      <t xml:space="preserve">NOT Recommend:  </t>
    </r>
    <r>
      <rPr>
        <sz val="9"/>
        <rFont val="Webdings"/>
        <family val="1"/>
        <charset val="2"/>
      </rPr>
      <t>c</t>
    </r>
  </si>
  <si>
    <r>
      <t>Decision</t>
    </r>
    <r>
      <rPr>
        <b/>
        <i/>
        <sz val="9"/>
        <rFont val="Arial"/>
        <family val="2"/>
      </rPr>
      <t>: APPROVE / DECLINE</t>
    </r>
  </si>
  <si>
    <t>Credit Committee comments and Disbursal Requirements</t>
  </si>
  <si>
    <t>Amount approved</t>
  </si>
  <si>
    <t>Term approved</t>
  </si>
  <si>
    <t>Months</t>
  </si>
  <si>
    <t>Interest rate approved</t>
  </si>
  <si>
    <t>Annual %</t>
  </si>
  <si>
    <t>Interest basis approved</t>
  </si>
  <si>
    <t>Grace Period Approved</t>
  </si>
  <si>
    <t>Interest Only Months Approved</t>
  </si>
  <si>
    <t>Signatures:</t>
  </si>
  <si>
    <t>AMORTIZATION SCHEDULE: EVEN INSTALLMENTS</t>
  </si>
  <si>
    <t>Starting Balance:</t>
  </si>
  <si>
    <t>Annual Int. Rate:</t>
  </si>
  <si>
    <t>Periodic Rate</t>
  </si>
  <si>
    <t>Term (Months):</t>
  </si>
  <si>
    <t>Interest Only:</t>
  </si>
  <si>
    <t>Starting Date:</t>
  </si>
  <si>
    <t>Pmt. #</t>
  </si>
  <si>
    <t>Starting Balance</t>
  </si>
  <si>
    <t>Payment</t>
  </si>
  <si>
    <t>Declininig basis</t>
  </si>
  <si>
    <t>Declining balance Amortization Schedule</t>
  </si>
  <si>
    <t>Flat Rate Amortization Schedule</t>
  </si>
  <si>
    <t>P</t>
  </si>
  <si>
    <t>Loan Conditions</t>
  </si>
  <si>
    <t>Nbr. Inst.</t>
  </si>
  <si>
    <t>PMT Schedule Tool (PST)</t>
  </si>
  <si>
    <t>Repayment Schedule</t>
  </si>
  <si>
    <t>Loan Amount</t>
  </si>
  <si>
    <t>Installment</t>
  </si>
  <si>
    <t>Balance</t>
  </si>
  <si>
    <t>Interest (annual)</t>
  </si>
  <si>
    <t>Periodic Interest (monthly, quarterly,etc)</t>
  </si>
  <si>
    <t>Interest calculation method</t>
  </si>
  <si>
    <t>Grace (months)</t>
  </si>
  <si>
    <t>Flat basis</t>
  </si>
  <si>
    <t>Installment frequency</t>
  </si>
  <si>
    <t>Nr. Installments/yr</t>
  </si>
  <si>
    <t>Total no. of installemtns</t>
  </si>
  <si>
    <t>Declining basis</t>
  </si>
  <si>
    <t>Installment amount</t>
  </si>
  <si>
    <t>Grace interest</t>
  </si>
  <si>
    <t>Grace interest/month</t>
  </si>
  <si>
    <t>Total Principal</t>
  </si>
  <si>
    <t>Total Interest</t>
  </si>
  <si>
    <t>Total Due</t>
  </si>
  <si>
    <t>NOTE: Model currently set up for max. 6 mos grace period!</t>
  </si>
  <si>
    <t>Sale(purchase) of fixed asset</t>
  </si>
  <si>
    <t>Inflows and outflows from other sources (annualized)</t>
  </si>
  <si>
    <t>Net cashflows from other sources</t>
  </si>
  <si>
    <t>Other business Inflow(outflow)</t>
  </si>
  <si>
    <t>Other household income(expenses)</t>
  </si>
  <si>
    <t>Other Inflows or (outflows)</t>
  </si>
  <si>
    <t>Machineries</t>
  </si>
  <si>
    <t>Tractor</t>
  </si>
  <si>
    <t>Combiner/ harvesting machine</t>
  </si>
  <si>
    <t>Max Monthly deductable</t>
  </si>
  <si>
    <t>Loan plus interest</t>
  </si>
  <si>
    <t>Record keeping</t>
  </si>
  <si>
    <t>Financial record all in order</t>
  </si>
  <si>
    <t>Basic record keeping</t>
  </si>
  <si>
    <t>#women</t>
  </si>
  <si>
    <t>Total # of Hrs Worked by part time and seasonal employees per month</t>
  </si>
  <si>
    <t>Investment(fixed asset)</t>
  </si>
  <si>
    <t>Net cash flows from operations</t>
  </si>
  <si>
    <t>Net cashflows from all sources</t>
  </si>
  <si>
    <t>Percentage of women owners</t>
  </si>
  <si>
    <t>Positive, Respected</t>
  </si>
  <si>
    <t>#of Dependants</t>
  </si>
  <si>
    <t>Observation/ Justification</t>
  </si>
  <si>
    <t>CASHFLOW ANALYSIS SHEET</t>
  </si>
  <si>
    <t xml:space="preserve">Average score </t>
  </si>
  <si>
    <t>Risk rating</t>
  </si>
  <si>
    <t>Loan tenure (Months)</t>
  </si>
  <si>
    <t>Recommendations:</t>
  </si>
  <si>
    <t>Branch Credit Committee</t>
  </si>
  <si>
    <t>HO Approving Authority/ committee</t>
  </si>
  <si>
    <t>Max loan  capacity</t>
  </si>
  <si>
    <t>BUSINESS &amp; CHARACTER ASSESSMENT/ RISK PROFILE (from application review and site visit)</t>
  </si>
  <si>
    <t>Per week</t>
  </si>
  <si>
    <t>Sales data entered</t>
  </si>
  <si>
    <t>purchase data entered</t>
  </si>
  <si>
    <t>Total Liabilities</t>
  </si>
  <si>
    <t>Collateral consideration</t>
  </si>
  <si>
    <t>Father's Name</t>
  </si>
  <si>
    <t>G.Fathers's Name</t>
  </si>
  <si>
    <t>INSTRUCTIONS</t>
    <phoneticPr fontId="2" type="noConversion"/>
  </si>
  <si>
    <t xml:space="preserve">Are you the owner of the premise of business? </t>
  </si>
  <si>
    <t>If yes, present proof that you are the owner of premise. (Note: This certificate is required to ensure that there are no disputes regarding ownership of premise). If no, enclose lease agreement as proof that you have legally rented the premise.</t>
    <phoneticPr fontId="2" type="noConversion"/>
  </si>
  <si>
    <t>Would the proposed activity involve the displacement of people?</t>
  </si>
  <si>
    <t>If yes, describe:</t>
  </si>
  <si>
    <t>Is the proposed activity situated within the green area designated by the municipality?</t>
  </si>
  <si>
    <t>Would the proposed project employ children under the age of 18?</t>
  </si>
  <si>
    <t xml:space="preserve">Were you provided assistance by the project staff in filling out this checklist? </t>
  </si>
  <si>
    <t>Name of the representative of the enterprise, function and contact details:</t>
  </si>
  <si>
    <t>Provide a brief technical description of the sub-project.</t>
  </si>
  <si>
    <t>Would the project utilize chemicals and pesticides? If so list the types of chemicals and pesticides used.</t>
  </si>
  <si>
    <t>Describe: 
• the nature of the water body (river, stream, spring, lake),
• distance to site,
• downstream/upstream the site</t>
    <phoneticPr fontId="2" type="noConversion"/>
  </si>
  <si>
    <t>State distance to site.</t>
    <phoneticPr fontId="2" type="noConversion"/>
  </si>
  <si>
    <t>Would the sub-projects emit pollutants to the environment? If so, describe.</t>
  </si>
  <si>
    <t>If yes, how do you intend to reduce or avoid this emission?</t>
  </si>
  <si>
    <t>Would the sub-project involve the removal/clearance of vegetation?</t>
  </si>
  <si>
    <t>If yes, how do you intend to reduce, avoid or compensate for the vegetation loss</t>
  </si>
  <si>
    <t xml:space="preserve">List the type of waste (solid and liquid, and hazardous and non-hazardous) that the sub-project will generate. </t>
  </si>
  <si>
    <t xml:space="preserve">How do you plan to dispose of this waste? </t>
  </si>
  <si>
    <t>Do you intend to have a waste minimization and disposal strategy? If so describe.</t>
  </si>
  <si>
    <t>Describe the availability of: 
• fire protection equipments, 
• personal protective equipments,
• sufficient lighting, 
• sufficient work space,
• etc.
If applicable, also describe the availability of and access to standard operation procedure by the employees.</t>
  </si>
  <si>
    <t>What do you intend to do to reduce OHS issues at your enterprise?</t>
  </si>
  <si>
    <t>State the number of employees at your enterprise? Also describe the nature of work they do?</t>
  </si>
  <si>
    <t xml:space="preserve">Existence and number of: 
• Latrines,
• Showers,
Also state the existence of a drainage system for waste. </t>
  </si>
  <si>
    <t>Is there surface water bodies in the surroundings of the site? Please describe</t>
  </si>
  <si>
    <t>is there groundwater resources (well-fields) in the surroundings of the site. Please descibe if any.</t>
  </si>
  <si>
    <t>Does the enterprise engage in manufacturing, processing and/or other labour intensive activities? Please describe</t>
  </si>
  <si>
    <t>Are there existing and/or anticipated Occupational Health and Safety Issues at the enterprise? Pls descibe</t>
  </si>
  <si>
    <t>Are there sanitation and hygiene services at the enterprise? Please describe</t>
  </si>
  <si>
    <t>Description of Sub-Project</t>
  </si>
  <si>
    <t>Environmental aspects</t>
  </si>
  <si>
    <t xml:space="preserve">Occupational Health and Safety (OSH) aspects </t>
  </si>
  <si>
    <t>Health Aspects</t>
  </si>
  <si>
    <t>Description where required</t>
  </si>
  <si>
    <t>Mitigations-planned/existing</t>
  </si>
  <si>
    <t>Environmental assessment</t>
  </si>
  <si>
    <t>XXXX</t>
  </si>
  <si>
    <t>Female</t>
  </si>
  <si>
    <t>With Collateral</t>
  </si>
  <si>
    <t>Loan&gt;200000</t>
  </si>
  <si>
    <t xml:space="preserve">This is a semi automated excel tool. Data should only be encoded in yellow colored cells. Gray cells are protected and hence no data entry is accepted. </t>
  </si>
  <si>
    <t>2) Go to Income statement section and complete missing information's in yellow colored cells. Please encode annual figures.</t>
  </si>
  <si>
    <t xml:space="preserve"> Go to (4) E&amp;S assessment sheet and complete the environmental and social screening checklist. Don not forget to write corrective action plans if you notice some incompliances.</t>
  </si>
  <si>
    <t>You can do scenario analysis by changing loan parameters or key assumptions. See the impact on cash flow of changing loan parameters and choose the best fit.</t>
  </si>
  <si>
    <t>Step 6</t>
  </si>
  <si>
    <t>Step 7</t>
  </si>
  <si>
    <t>Step 4</t>
  </si>
  <si>
    <t>complete basic information sheet. This contains basic information on the applicant and the business including loan request and its breakdown by purpose. Loan purpose is what the borrower plans to  buy with the loan requested and owner contribution. Some consistency checks of encoded data is included.</t>
  </si>
  <si>
    <t>Conduct business and character assessment by filling "(2) Bus.&amp;Character assess" sheet. Start with listing credit history and rate the MSME using the 10 factors listed. Note: rating to be given for each factor needs to be well justified by writing notes and observations in the comments section for each of the factors rated. Ratings will be invalid unless it is well justified.</t>
  </si>
  <si>
    <t xml:space="preserve">Complete (5) Collateral Worksheet based on information obtained from the applicant. </t>
  </si>
  <si>
    <t xml:space="preserve">Go to sheet (6) Summary and Decision sheet. You have now completed your assessment and ready to make lending decision. The tool will help you to summarize qualitative, quantitative, E&amp;S, and collateral assessments and propose lending decision. All the four lending criteria need to be fulfilled. </t>
  </si>
  <si>
    <t>The tool has 7 sheets-numbered from 1-7. Sheet 1  contains basic client, business and loan information. Sheet 2 contains qualitative assessment and sheets 3 contain financial analysis including month-by-month cashflow. Sheet 4 contains environmental and social impact analysis of the business under review. Sheet 4 is dedicated for social and environmental assessment. it is a checklist to be completed by observing the business and interviewing the client. sheet 5 contains information entry on proposed collateral by the client. Sheet 6 presents summary of the qualitative and quantitative assessment with proposed loan decision. Sheet 7 is automated sheet used for calculation of loan and interest rapuemnt based on parameters encoded in sheet 1.</t>
  </si>
  <si>
    <t>PERSONAL INFORMATION (Ref. Application form ser no.1)</t>
  </si>
  <si>
    <t>BUSINESS INFORMATION (Ref. Application form ser no.2)</t>
  </si>
  <si>
    <t>LOAN REQUESTED BY CLIENT (Ref. application form ser no.3)</t>
  </si>
  <si>
    <t>PURPOSE OF THE LOAN - PROJECT COST (Ref. application form ser.no 3.8 ሀ፣ ለ፤ሐ)</t>
  </si>
  <si>
    <t>2. Investment (Fixed Asset)-Ref. Application form ser no. 3.8/ለ</t>
  </si>
  <si>
    <t>CREDIT and REPAYMENT HISTORY (Ref. application form ser.no 4)</t>
  </si>
  <si>
    <t>Years of business operation (Ref. application form ser.no. 2.5 and loan application date)</t>
  </si>
  <si>
    <t>Management Competence (Ref. application form ser.no. 5)</t>
  </si>
  <si>
    <t>Supplier quality (Ref. application form ser no. 7)</t>
  </si>
  <si>
    <t>Sales Prospects/ Market Suitability (Ref. application form ser.no. 8)</t>
  </si>
  <si>
    <t>Record Keeping and asset management (Ref. Application Form ser.no.6)</t>
  </si>
  <si>
    <t>Project plan (Preparation)-Ref. application form ser.no.3.1 to 3.8</t>
  </si>
  <si>
    <t>Savings record-( (Ref. application form ser.no. 10 and 9)</t>
  </si>
  <si>
    <t>Sales ((Ref. appication form ser. No 12.1)</t>
  </si>
  <si>
    <t>stock-unit (refer appication form 11.2)</t>
  </si>
  <si>
    <t>Purchases (Ref.Appication form ser.no. 12.2)</t>
  </si>
  <si>
    <t>Stock-unit (Ref.appication form 11.4)</t>
  </si>
  <si>
    <t>Total value (Ref.appication form 11.3)</t>
  </si>
  <si>
    <t>Seasonality effects (%)-(Ref. application form ser.no. 12.1 ሀ እና ለ)</t>
  </si>
  <si>
    <t>(1) Sales and Purchases Summary</t>
  </si>
  <si>
    <t>(2) Income Statement - Historical and Projected -(Ref. Application form ser. No 12.1 to 12.3)</t>
  </si>
  <si>
    <t>(3) Balance Sheet (Ref. application form ser.no. 11.1 to 11.6)</t>
  </si>
  <si>
    <t>(4) Estimated growth rate after loan (Ref. Application form sr.no.3.6)</t>
  </si>
  <si>
    <t>(5) Cash flow projection by month</t>
  </si>
  <si>
    <t>Loan Product</t>
  </si>
  <si>
    <t># of women owners</t>
  </si>
  <si>
    <t>Planned(cummulative)</t>
  </si>
  <si>
    <t>Lender/ Lessor</t>
  </si>
  <si>
    <t>6-12 months</t>
  </si>
  <si>
    <t>12-24 months</t>
  </si>
  <si>
    <t>Startup (&lt; 6months)</t>
  </si>
  <si>
    <t>Regular pattern/ verified saving habit</t>
  </si>
  <si>
    <t>Some savings habit</t>
  </si>
  <si>
    <t>No savings habit</t>
  </si>
  <si>
    <t xml:space="preserve">Cooperative/shared all relevant info/doc </t>
  </si>
  <si>
    <t>Not willing to share any documents</t>
  </si>
  <si>
    <t>Below average</t>
  </si>
  <si>
    <t>Average/Adequate business skills</t>
  </si>
  <si>
    <t>Often face challenge</t>
  </si>
  <si>
    <t>Adequate demand projection</t>
  </si>
  <si>
    <t>Very good/ High demand projection</t>
  </si>
  <si>
    <t>Unrelaible demand projection</t>
  </si>
  <si>
    <t>inconsistent record of daily sales/ expenses</t>
  </si>
  <si>
    <t>No feedback received</t>
  </si>
  <si>
    <t>Competent/ well performing</t>
  </si>
  <si>
    <t>Very reliable supply chain</t>
  </si>
  <si>
    <r>
      <rPr>
        <b/>
        <i/>
        <sz val="9"/>
        <rFont val="Arial"/>
        <family val="2"/>
      </rPr>
      <t>Well planned:</t>
    </r>
    <r>
      <rPr>
        <i/>
        <sz val="9"/>
        <rFont val="Arial"/>
        <family val="2"/>
      </rPr>
      <t xml:space="preserve"> if there is a clear &amp; detailed plan; awareness of risks; mitigation plans; logical &amp; precise explanations; ease &amp; familiarity with implementation requirements (manpower requirement, demand, raw material supply, financing source, etc); "Plan B" strategy; well prepared to implement (skills, staff, tools).</t>
    </r>
    <r>
      <rPr>
        <b/>
        <i/>
        <sz val="9"/>
        <rFont val="Arial"/>
        <family val="2"/>
      </rPr>
      <t xml:space="preserve">Some gaps: </t>
    </r>
    <r>
      <rPr>
        <i/>
        <sz val="9"/>
        <rFont val="Arial"/>
        <family val="2"/>
      </rPr>
      <t xml:space="preserve">if details are not worked out in some areas. </t>
    </r>
    <r>
      <rPr>
        <b/>
        <i/>
        <sz val="9"/>
        <rFont val="Arial"/>
        <family val="2"/>
      </rPr>
      <t>Unclear</t>
    </r>
    <r>
      <rPr>
        <i/>
        <sz val="9"/>
        <rFont val="Arial"/>
        <family val="2"/>
      </rPr>
      <t>-if no clear breakdown of planned activity is communicated/available.</t>
    </r>
  </si>
  <si>
    <r>
      <t xml:space="preserve">To qualify for </t>
    </r>
    <r>
      <rPr>
        <b/>
        <i/>
        <sz val="9"/>
        <rFont val="Arial"/>
        <family val="2"/>
      </rPr>
      <t>"Regular",</t>
    </r>
    <r>
      <rPr>
        <i/>
        <sz val="9"/>
        <rFont val="Arial"/>
        <family val="2"/>
      </rPr>
      <t xml:space="preserve"> deposits  should have been made regularly in  the past 3 months and/or having active membership in an ongogin equb scheme. </t>
    </r>
    <r>
      <rPr>
        <b/>
        <i/>
        <sz val="9"/>
        <rFont val="Arial"/>
        <family val="2"/>
      </rPr>
      <t>Some savings habit</t>
    </r>
    <r>
      <rPr>
        <i/>
        <sz val="9"/>
        <rFont val="Arial"/>
        <family val="2"/>
      </rPr>
      <t xml:space="preserve">-have irregualr deposit in a financial institution, was member in equb closed three months ago, invested in movable/immovable assets. </t>
    </r>
    <r>
      <rPr>
        <b/>
        <i/>
        <sz val="9"/>
        <rFont val="Arial"/>
        <family val="2"/>
      </rPr>
      <t>No savings habit-i</t>
    </r>
    <r>
      <rPr>
        <i/>
        <sz val="9"/>
        <rFont val="Arial"/>
        <family val="2"/>
      </rPr>
      <t>f not able to establsh any savings activities either in formal FIs or infomrmal saving schemes.</t>
    </r>
  </si>
  <si>
    <t>Average-Provided some but not all</t>
  </si>
  <si>
    <r>
      <rPr>
        <b/>
        <i/>
        <sz val="9"/>
        <rFont val="Arial"/>
        <family val="2"/>
      </rPr>
      <t>Cooperative-</t>
    </r>
    <r>
      <rPr>
        <i/>
        <sz val="9"/>
        <rFont val="Arial"/>
        <family val="2"/>
      </rPr>
      <t>Answers questions willingly &amp; thoughtfully; freely shares information &amp; accounts; enthusiastic about business; listens carefully; demonstrates understanding &amp; patience about assessment process; attentive &amp; focused.</t>
    </r>
    <r>
      <rPr>
        <b/>
        <i/>
        <sz val="9"/>
        <rFont val="Arial"/>
        <family val="2"/>
      </rPr>
      <t>Average-</t>
    </r>
    <r>
      <rPr>
        <i/>
        <sz val="9"/>
        <rFont val="Arial"/>
        <family val="2"/>
      </rPr>
      <t xml:space="preserve">shared some documents but hesitant to share some information. </t>
    </r>
    <r>
      <rPr>
        <b/>
        <i/>
        <sz val="9"/>
        <rFont val="Arial"/>
        <family val="2"/>
      </rPr>
      <t>Not Willing-i</t>
    </r>
    <r>
      <rPr>
        <i/>
        <sz val="9"/>
        <rFont val="Arial"/>
        <family val="2"/>
      </rPr>
      <t>f uncooperative in interview process and failed to share critical docuemnts requested.</t>
    </r>
  </si>
  <si>
    <r>
      <rPr>
        <b/>
        <i/>
        <sz val="9"/>
        <rFont val="Arial"/>
        <family val="2"/>
      </rPr>
      <t>Financial record all in order</t>
    </r>
    <r>
      <rPr>
        <i/>
        <sz val="9"/>
        <rFont val="Arial"/>
        <family val="2"/>
      </rPr>
      <t>-Accounting books up-to-date &amp; complete; receipts organized &amp; filed; assets well cared for &amp; organized; premises neat &amp; maintained;</t>
    </r>
    <r>
      <rPr>
        <b/>
        <i/>
        <sz val="9"/>
        <rFont val="Arial"/>
        <family val="2"/>
      </rPr>
      <t>Basic record keeping</t>
    </r>
    <r>
      <rPr>
        <i/>
        <sz val="9"/>
        <rFont val="Arial"/>
        <family val="2"/>
      </rPr>
      <t>-if basic daily sales and expenses, purchase record, recievable and payables recorded.</t>
    </r>
    <r>
      <rPr>
        <b/>
        <i/>
        <sz val="9"/>
        <rFont val="Arial"/>
        <family val="2"/>
      </rPr>
      <t>Inconsistent</t>
    </r>
    <r>
      <rPr>
        <i/>
        <sz val="9"/>
        <rFont val="Arial"/>
        <family val="2"/>
      </rPr>
      <t>-if failed to observe/trace record of daily transactions.</t>
    </r>
  </si>
  <si>
    <r>
      <rPr>
        <b/>
        <i/>
        <sz val="9"/>
        <rFont val="Arial"/>
        <family val="2"/>
      </rPr>
      <t>Positive/Respected</t>
    </r>
    <r>
      <rPr>
        <i/>
        <sz val="9"/>
        <rFont val="Arial"/>
        <family val="2"/>
      </rPr>
      <t xml:space="preserve">-if positive feedback is received(if mentioned as reliable/dependable; responsible; hard-working; organized, honest). </t>
    </r>
    <r>
      <rPr>
        <b/>
        <i/>
        <sz val="9"/>
        <rFont val="Arial"/>
        <family val="2"/>
      </rPr>
      <t>Moderate</t>
    </r>
    <r>
      <rPr>
        <i/>
        <sz val="9"/>
        <rFont val="Arial"/>
        <family val="2"/>
      </rPr>
      <t xml:space="preserve">-if few negative feedback/ compliants received. </t>
    </r>
  </si>
  <si>
    <t>Satisfactory/ Adequate supply chain</t>
  </si>
  <si>
    <t>Residential House</t>
  </si>
  <si>
    <t>Buildings/ commercial Houses</t>
  </si>
  <si>
    <t>Loan product</t>
  </si>
  <si>
    <t>Cash collaterla/ blocked savings accounts</t>
  </si>
  <si>
    <t>Share certificate</t>
  </si>
  <si>
    <t>Bonds</t>
  </si>
  <si>
    <t>Sales contracts</t>
  </si>
  <si>
    <t>3. Intangible assets/ securities/contracts</t>
  </si>
  <si>
    <t>Estimated Market Value or Forced Sales Value</t>
  </si>
  <si>
    <t>Estimated Market Value or Forced Sales Value or Sum Insured</t>
  </si>
  <si>
    <t>4. Guarantors</t>
  </si>
  <si>
    <t>Notes/Observations:</t>
  </si>
  <si>
    <r>
      <rPr>
        <b/>
        <i/>
        <sz val="9"/>
        <rFont val="Arial"/>
        <family val="2"/>
      </rPr>
      <t xml:space="preserve">Average: </t>
    </r>
    <r>
      <rPr>
        <i/>
        <sz val="9"/>
        <rFont val="Arial"/>
        <family val="2"/>
      </rPr>
      <t xml:space="preserve">Have atleast two regular suppliers, get delivery on time with the requested quantity and quality, quality meet the expectations of the client, there are other supply sources otherthan the main suppliers (Plan B) in case of delivery failures. </t>
    </r>
    <r>
      <rPr>
        <b/>
        <i/>
        <sz val="9"/>
        <rFont val="Arial"/>
        <family val="2"/>
      </rPr>
      <t xml:space="preserve">Very relaible- </t>
    </r>
    <r>
      <rPr>
        <i/>
        <sz val="9"/>
        <rFont val="Arial"/>
        <family val="2"/>
      </rPr>
      <t xml:space="preserve">if exceeding average in any of the factors listed, or additional skills observed, </t>
    </r>
    <r>
      <rPr>
        <b/>
        <i/>
        <sz val="9"/>
        <rFont val="Arial"/>
        <family val="2"/>
      </rPr>
      <t>Unrelaible-</t>
    </r>
    <r>
      <rPr>
        <i/>
        <sz val="9"/>
        <rFont val="Arial"/>
        <family val="2"/>
      </rPr>
      <t>if achieved below average in any of the listed factors</t>
    </r>
  </si>
  <si>
    <r>
      <rPr>
        <b/>
        <i/>
        <sz val="9"/>
        <rFont val="Arial"/>
        <family val="2"/>
      </rPr>
      <t>Adequate demand projection:</t>
    </r>
    <r>
      <rPr>
        <i/>
        <sz val="9"/>
        <rFont val="Arial"/>
        <family val="2"/>
      </rPr>
      <t xml:space="preserve">Relaible customer base (as observed/assessed), diversified, Offer quality products/services based on observation and cusomter feedback, offering competitive price for goods/services (check against similar businesses), Located in market place, have clear marketing strategy and good access to markets, acceptable competition and market risk, etc. </t>
    </r>
    <r>
      <rPr>
        <b/>
        <i/>
        <sz val="9"/>
        <rFont val="Arial"/>
        <family val="2"/>
      </rPr>
      <t>High dd projection-</t>
    </r>
    <r>
      <rPr>
        <i/>
        <sz val="9"/>
        <rFont val="Arial"/>
        <family val="2"/>
      </rPr>
      <t xml:space="preserve">if exceeding average in any of the factors listed or additional market potential observed. </t>
    </r>
    <r>
      <rPr>
        <b/>
        <i/>
        <sz val="9"/>
        <rFont val="Arial"/>
        <family val="2"/>
      </rPr>
      <t>Unrelaible DD Projection-</t>
    </r>
    <r>
      <rPr>
        <i/>
        <sz val="9"/>
        <rFont val="Arial"/>
        <family val="2"/>
      </rPr>
      <t>if rated below average in any of the rating factors</t>
    </r>
  </si>
  <si>
    <t>Application/ WEDP ID</t>
  </si>
  <si>
    <t>Per day</t>
  </si>
  <si>
    <t>xxxxx</t>
  </si>
  <si>
    <t>Qualitative assessment is scored out of 100. Applicant need to score over 75% to qualify for a loan. The tool alarms if borrower fails to pass the qualitative assessment as the loan appraisal shouldn't be continued.</t>
  </si>
  <si>
    <t>1) start by completing Sales and purchase summary section on sheet (3)-Cash flow Analysis. First list major sales and purchase(raw material) items. indicate what % of the sales and purchases are made on credit. sales and purchase data can be encoded per day, week or month. hence choose the option that suits to the data collected as per convenience to the customers. include ending inventories for sales as well as purchase items to complete the section. Ending inventory refers to stocks of finished goods and raw materials and work in progress at the time of business visits. Complete percentage of credit and cash sales/ purchases in the spaces provided. the rest of the data will be automatically calculated and taken to respective places in balance sheet and income statement.</t>
  </si>
  <si>
    <t>3) Complete the balance sheet data on yellow shaded cells. Then proceed to complete the expected growth rates for major items. Scroll to projected cash flow section and complete missing information, shaded yellow. Cash flow from operation is automatically filled. Complete seasonality information found at the top of the cash flow table. Months with average sales are given 100%, peak sales months will be above 100% and low sales months will be below 100%. Ex. If average sales is 10,000 and applicant informs you that during peak  months sales raises to 12,000 and drops to 8000 during low months, you put 100% for average months, 120% for peak months and 80% for low months. cash flow from operation is automatically calculated and you need to encoded data relating to financing, investing and other activities in the respective sections of the cash flow statement. please encode inflows as a positive figure and outflows as negative figures.</t>
  </si>
  <si>
    <t>(Historical cashflow-Off Income Statement inflows and outflows)</t>
  </si>
  <si>
    <t>Loan (Repayment)-Principal+interest</t>
  </si>
  <si>
    <t>WEDP</t>
  </si>
  <si>
    <r>
      <rPr>
        <b/>
        <i/>
        <sz val="9"/>
        <rFont val="Arial"/>
        <family val="2"/>
      </rPr>
      <t xml:space="preserve">Average: </t>
    </r>
    <r>
      <rPr>
        <i/>
        <sz val="9"/>
        <rFont val="Arial"/>
        <family val="2"/>
      </rPr>
      <t xml:space="preserve">experienced in the business(&gt;2yrs), 10+ formal education, managing growing business,  have basic knowledge about markets, risks and competitors, </t>
    </r>
    <r>
      <rPr>
        <b/>
        <i/>
        <sz val="9"/>
        <rFont val="Arial"/>
        <family val="2"/>
      </rPr>
      <t xml:space="preserve">Competent: </t>
    </r>
    <r>
      <rPr>
        <i/>
        <sz val="9"/>
        <rFont val="Arial"/>
        <family val="2"/>
      </rPr>
      <t>if exceed average in any of the factors listed.</t>
    </r>
    <r>
      <rPr>
        <b/>
        <i/>
        <sz val="9"/>
        <rFont val="Arial"/>
        <family val="2"/>
      </rPr>
      <t>Poor-</t>
    </r>
    <r>
      <rPr>
        <i/>
        <sz val="9"/>
        <rFont val="Arial"/>
        <family val="2"/>
      </rPr>
      <t xml:space="preserve">if below average in any factor listed. </t>
    </r>
    <r>
      <rPr>
        <b/>
        <i/>
        <sz val="9"/>
        <rFont val="Arial"/>
        <family val="2"/>
      </rPr>
      <t/>
    </r>
  </si>
  <si>
    <t>Unit Price</t>
  </si>
  <si>
    <t xml:space="preserve">     Unit</t>
  </si>
  <si>
    <t>tkus café and restourant</t>
  </si>
  <si>
    <t>xxxx</t>
  </si>
  <si>
    <t>kibret</t>
  </si>
  <si>
    <t>mekelle</t>
  </si>
  <si>
    <t>16/11/23</t>
  </si>
  <si>
    <t>meron</t>
  </si>
  <si>
    <t>dagne</t>
  </si>
  <si>
    <t>markos</t>
  </si>
  <si>
    <t>Widowed</t>
  </si>
  <si>
    <t>Secondary</t>
  </si>
  <si>
    <t>café and restorant</t>
  </si>
  <si>
    <t>oct,2016</t>
  </si>
  <si>
    <t>Sole Propritership</t>
  </si>
  <si>
    <t>café and restaurant</t>
  </si>
  <si>
    <t>meneharia sub city kebele 5</t>
  </si>
  <si>
    <t>bulk purchase</t>
  </si>
  <si>
    <t>stove</t>
  </si>
  <si>
    <t>vegetables</t>
  </si>
  <si>
    <t>renovation</t>
  </si>
  <si>
    <t>rent</t>
  </si>
  <si>
    <t>hope mfi</t>
  </si>
  <si>
    <t>the beusness has operated for the past 20 years unlicensed but, 5 years with license</t>
  </si>
  <si>
    <t>she is well respected by her customers as well as by er employees.</t>
  </si>
  <si>
    <t>she has long and good relasionship with suppliers due to this good relationship she maneged to get very scarese raw materials easily.</t>
  </si>
  <si>
    <t>the busines  is wellexprienced as wellas it located in down townwith many offices and males and also nerest tomarket place.</t>
  </si>
  <si>
    <t>she planning to renovte the restaurant and expand thebusnest and to diversified her services.</t>
  </si>
  <si>
    <t>she has cash at bank 500000.00 but not verfied.</t>
  </si>
  <si>
    <t>she is very rsponcive and cooperative.</t>
  </si>
  <si>
    <t>she records daily but not properly</t>
  </si>
  <si>
    <t>she is well respected business woman</t>
  </si>
  <si>
    <t>kurs</t>
  </si>
  <si>
    <t>metet</t>
  </si>
  <si>
    <t>suger</t>
  </si>
  <si>
    <t>msa erat</t>
  </si>
  <si>
    <t>tkus neger</t>
  </si>
  <si>
    <t>bulk purchase teff</t>
  </si>
  <si>
    <t>veg</t>
  </si>
</sst>
</file>

<file path=xl/styles.xml><?xml version="1.0" encoding="utf-8"?>
<styleSheet xmlns="http://schemas.openxmlformats.org/spreadsheetml/2006/main">
  <numFmts count="22">
    <numFmt numFmtId="7" formatCode="&quot;$&quot;#,##0.00_);\(&quot;$&quot;#,##0.00\)"/>
    <numFmt numFmtId="8" formatCode="&quot;$&quot;#,##0.00_);[Red]\(&quot;$&quot;#,##0.00\)"/>
    <numFmt numFmtId="44" formatCode="_(&quot;$&quot;* #,##0.00_);_(&quot;$&quot;* \(#,##0.00\);_(&quot;$&quot;* &quot;-&quot;??_);_(@_)"/>
    <numFmt numFmtId="43" formatCode="_(* #,##0.00_);_(* \(#,##0.00\);_(* &quot;-&quot;??_);_(@_)"/>
    <numFmt numFmtId="164" formatCode="0_)"/>
    <numFmt numFmtId="165" formatCode="0.00?%_)"/>
    <numFmt numFmtId="166" formatCode="_-* #,##0.00\ _D_M_-;\-* #,##0.00\ _D_M_-;_-* &quot;-&quot;??\ _D_M_-;_-@_-"/>
    <numFmt numFmtId="167" formatCode="_-* #,##0\ _D_M_-;\-* #,##0\ _D_M_-;_-* &quot;-&quot;??\ _D_M_-;_-@_-"/>
    <numFmt numFmtId="168" formatCode="_-* #,##0.00_-;\-* #,##0.00_-;_-* &quot;-&quot;??_-;_-@_-"/>
    <numFmt numFmtId="169" formatCode="dd/mm/yy;@"/>
    <numFmt numFmtId="170" formatCode="_-* #,##0.0\ _D_M_-;\-* #,##0.0\ _D_M_-;_-* &quot;-&quot;??\ _D_M_-;_-@_-"/>
    <numFmt numFmtId="171" formatCode="_-* #,##0\ _z_ł_-;\-* #,##0\ _z_ł_-;_-* &quot;-&quot;\ _z_ł_-;_-@_-"/>
    <numFmt numFmtId="172" formatCode="[$-409]mmm\-yy;@"/>
    <numFmt numFmtId="173" formatCode="_(* #,##0_);_(* \(#,##0\);_(* &quot;-&quot;?_);_(@_)"/>
    <numFmt numFmtId="174" formatCode="_(* #,##0.0_);_(* \(#,##0.0\);_(* &quot;-&quot;?_);_(@_)"/>
    <numFmt numFmtId="175" formatCode="#,##0_ ;\-#,##0\ "/>
    <numFmt numFmtId="176" formatCode="#,##0.00_ ;\-#,##0.00\ "/>
    <numFmt numFmtId="177" formatCode="#,##0.0"/>
    <numFmt numFmtId="178" formatCode="0.000%"/>
    <numFmt numFmtId="179" formatCode="0.00000000"/>
    <numFmt numFmtId="180" formatCode="_(* #,##0_);_(* \(#,##0\);_(* &quot;-&quot;??_);_(@_)"/>
    <numFmt numFmtId="181" formatCode="0.0"/>
  </numFmts>
  <fonts count="100">
    <font>
      <sz val="11"/>
      <color theme="1"/>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sz val="10"/>
      <name val="Calibri"/>
      <family val="1"/>
      <scheme val="minor"/>
    </font>
    <font>
      <sz val="10"/>
      <name val="Arial"/>
      <family val="2"/>
    </font>
    <font>
      <sz val="10"/>
      <color indexed="23"/>
      <name val="Calibri"/>
      <family val="1"/>
      <scheme val="minor"/>
    </font>
    <font>
      <sz val="11"/>
      <color theme="1"/>
      <name val="Agency FB"/>
      <family val="2"/>
    </font>
    <font>
      <sz val="11"/>
      <color theme="1"/>
      <name val="Calibri"/>
      <family val="1"/>
      <scheme val="minor"/>
    </font>
    <font>
      <b/>
      <sz val="10"/>
      <color theme="1"/>
      <name val="Calibri"/>
      <family val="1"/>
      <scheme val="minor"/>
    </font>
    <font>
      <b/>
      <sz val="10"/>
      <name val="Calibri"/>
      <family val="1"/>
      <scheme val="minor"/>
    </font>
    <font>
      <sz val="11"/>
      <color rgb="FF3F3F76"/>
      <name val="Agency FB"/>
      <family val="2"/>
    </font>
    <font>
      <sz val="10"/>
      <color rgb="FF3F3F76"/>
      <name val="Calibri"/>
      <family val="1"/>
      <scheme val="minor"/>
    </font>
    <font>
      <b/>
      <sz val="11"/>
      <color rgb="FFFA7D00"/>
      <name val="Agency FB"/>
      <family val="2"/>
    </font>
    <font>
      <b/>
      <sz val="10"/>
      <color rgb="FFFA7D00"/>
      <name val="Calibri"/>
      <family val="1"/>
      <scheme val="minor"/>
    </font>
    <font>
      <b/>
      <sz val="18"/>
      <name val="Calibri Light"/>
      <family val="2"/>
      <scheme val="major"/>
    </font>
    <font>
      <b/>
      <sz val="10"/>
      <color theme="0"/>
      <name val="Arial"/>
      <family val="2"/>
    </font>
    <font>
      <b/>
      <sz val="10"/>
      <name val="Arial"/>
      <family val="2"/>
    </font>
    <font>
      <sz val="8"/>
      <color theme="1"/>
      <name val="Arial"/>
      <family val="2"/>
    </font>
    <font>
      <b/>
      <sz val="14"/>
      <color indexed="9"/>
      <name val="Arial"/>
      <family val="2"/>
    </font>
    <font>
      <b/>
      <sz val="10"/>
      <color indexed="9"/>
      <name val="Arial"/>
      <family val="2"/>
    </font>
    <font>
      <sz val="10"/>
      <color indexed="9"/>
      <name val="Arial"/>
      <family val="2"/>
    </font>
    <font>
      <b/>
      <sz val="10"/>
      <name val="Arial"/>
      <family val="2"/>
      <charset val="238"/>
    </font>
    <font>
      <i/>
      <sz val="10"/>
      <name val="Arial"/>
      <family val="2"/>
    </font>
    <font>
      <i/>
      <sz val="8"/>
      <name val="Arial"/>
      <family val="2"/>
    </font>
    <font>
      <sz val="10"/>
      <name val="Arial"/>
      <family val="2"/>
      <charset val="238"/>
    </font>
    <font>
      <b/>
      <sz val="10"/>
      <color rgb="FFFF0000"/>
      <name val="Arial"/>
      <family val="2"/>
    </font>
    <font>
      <b/>
      <sz val="14"/>
      <color theme="0"/>
      <name val="Arial"/>
      <family val="2"/>
    </font>
    <font>
      <b/>
      <sz val="12"/>
      <name val="Arial"/>
      <family val="2"/>
    </font>
    <font>
      <u/>
      <sz val="10"/>
      <name val="Arial"/>
      <family val="2"/>
    </font>
    <font>
      <sz val="10"/>
      <color theme="0"/>
      <name val="Arial"/>
      <family val="2"/>
    </font>
    <font>
      <sz val="14"/>
      <color rgb="FFFF0000"/>
      <name val="Arial"/>
      <family val="2"/>
    </font>
    <font>
      <b/>
      <u/>
      <sz val="10"/>
      <name val="Arial"/>
      <family val="2"/>
    </font>
    <font>
      <i/>
      <sz val="9"/>
      <name val="Arial"/>
      <family val="2"/>
    </font>
    <font>
      <b/>
      <i/>
      <u/>
      <sz val="10"/>
      <name val="Arial"/>
      <family val="2"/>
    </font>
    <font>
      <b/>
      <i/>
      <sz val="9"/>
      <name val="Arial"/>
      <family val="2"/>
    </font>
    <font>
      <sz val="24"/>
      <color rgb="FF00B050"/>
      <name val="Addis98"/>
    </font>
    <font>
      <sz val="20"/>
      <color rgb="FFFF0000"/>
      <name val="Arial"/>
      <family val="2"/>
    </font>
    <font>
      <sz val="20"/>
      <color rgb="FF00B050"/>
      <name val="Arial"/>
      <family val="2"/>
    </font>
    <font>
      <b/>
      <sz val="24"/>
      <color rgb="FFFFFF00"/>
      <name val="Addis98"/>
    </font>
    <font>
      <b/>
      <sz val="24"/>
      <color rgb="FFFF0000"/>
      <name val="Calibri"/>
      <family val="2"/>
    </font>
    <font>
      <b/>
      <i/>
      <sz val="14"/>
      <color theme="0"/>
      <name val="Arial"/>
      <family val="2"/>
    </font>
    <font>
      <i/>
      <sz val="10"/>
      <color theme="0"/>
      <name val="Arial"/>
      <family val="2"/>
    </font>
    <font>
      <b/>
      <i/>
      <sz val="10"/>
      <name val="Arial"/>
      <family val="2"/>
    </font>
    <font>
      <b/>
      <sz val="9"/>
      <name val="Arial"/>
      <family val="2"/>
    </font>
    <font>
      <sz val="8"/>
      <color theme="0"/>
      <name val="Arial"/>
      <family val="2"/>
    </font>
    <font>
      <sz val="8"/>
      <name val="Arial"/>
      <family val="2"/>
    </font>
    <font>
      <b/>
      <sz val="16"/>
      <color theme="0"/>
      <name val="Arial"/>
      <family val="2"/>
    </font>
    <font>
      <sz val="10"/>
      <color theme="7" tint="-0.499984740745262"/>
      <name val="Arial"/>
      <family val="2"/>
    </font>
    <font>
      <sz val="11"/>
      <name val="Arial"/>
      <family val="2"/>
    </font>
    <font>
      <sz val="10.5"/>
      <name val="Symbol"/>
      <family val="1"/>
      <charset val="2"/>
    </font>
    <font>
      <sz val="9"/>
      <color rgb="FFFFFFFF"/>
      <name val="Arial"/>
      <family val="2"/>
    </font>
    <font>
      <b/>
      <sz val="9"/>
      <color rgb="FFFFFFFF"/>
      <name val="Arial"/>
      <family val="2"/>
    </font>
    <font>
      <sz val="9"/>
      <name val="Arial"/>
      <family val="2"/>
    </font>
    <font>
      <sz val="9"/>
      <color indexed="10"/>
      <name val="Arial"/>
      <family val="2"/>
    </font>
    <font>
      <sz val="9"/>
      <color rgb="FFFF0000"/>
      <name val="Arial"/>
      <family val="2"/>
    </font>
    <font>
      <b/>
      <sz val="9"/>
      <color theme="0"/>
      <name val="Arial"/>
      <family val="2"/>
    </font>
    <font>
      <b/>
      <sz val="9"/>
      <color rgb="FF00B050"/>
      <name val="Arial"/>
      <family val="2"/>
    </font>
    <font>
      <b/>
      <sz val="9"/>
      <color rgb="FFFFFF00"/>
      <name val="Arial"/>
      <family val="2"/>
    </font>
    <font>
      <b/>
      <sz val="9"/>
      <color rgb="FFFF0000"/>
      <name val="Arial"/>
      <family val="2"/>
    </font>
    <font>
      <b/>
      <i/>
      <sz val="10"/>
      <color theme="0"/>
      <name val="Arial"/>
      <family val="2"/>
    </font>
    <font>
      <sz val="9"/>
      <color theme="0"/>
      <name val="Arial"/>
      <family val="2"/>
    </font>
    <font>
      <sz val="9"/>
      <name val="Arial"/>
      <family val="2"/>
      <charset val="238"/>
    </font>
    <font>
      <b/>
      <sz val="9"/>
      <color theme="0" tint="-0.499984740745262"/>
      <name val="Arial"/>
      <family val="2"/>
      <charset val="238"/>
    </font>
    <font>
      <sz val="9"/>
      <color theme="0" tint="-0.499984740745262"/>
      <name val="Arial"/>
      <family val="2"/>
      <charset val="238"/>
    </font>
    <font>
      <sz val="9"/>
      <color theme="4" tint="-0.499984740745262"/>
      <name val="Arial"/>
      <family val="2"/>
    </font>
    <font>
      <i/>
      <sz val="9"/>
      <color theme="0" tint="-0.499984740745262"/>
      <name val="Arial"/>
      <family val="2"/>
    </font>
    <font>
      <b/>
      <sz val="9"/>
      <color theme="0" tint="-0.34998626667073579"/>
      <name val="Calibri"/>
      <family val="2"/>
      <scheme val="minor"/>
    </font>
    <font>
      <b/>
      <sz val="9"/>
      <color theme="0" tint="-0.499984740745262"/>
      <name val="Arial"/>
      <family val="2"/>
    </font>
    <font>
      <sz val="9"/>
      <color theme="0" tint="-0.499984740745262"/>
      <name val="Arial"/>
      <family val="2"/>
    </font>
    <font>
      <sz val="9"/>
      <color theme="0" tint="-0.34998626667073579"/>
      <name val="Arial"/>
      <family val="2"/>
    </font>
    <font>
      <b/>
      <sz val="9"/>
      <name val="Calibri"/>
      <family val="2"/>
      <scheme val="minor"/>
    </font>
    <font>
      <i/>
      <sz val="9"/>
      <color theme="0"/>
      <name val="Arial"/>
      <family val="2"/>
      <charset val="238"/>
    </font>
    <font>
      <sz val="9"/>
      <color theme="0"/>
      <name val="Arial"/>
      <family val="2"/>
      <charset val="238"/>
    </font>
    <font>
      <b/>
      <sz val="9"/>
      <color rgb="FF002060"/>
      <name val="Arial"/>
      <family val="2"/>
    </font>
    <font>
      <b/>
      <sz val="9"/>
      <color theme="7" tint="-0.499984740745262"/>
      <name val="Arial"/>
      <family val="2"/>
    </font>
    <font>
      <b/>
      <sz val="9"/>
      <color theme="0"/>
      <name val="Calibri"/>
      <family val="2"/>
      <scheme val="minor"/>
    </font>
    <font>
      <i/>
      <sz val="9"/>
      <color theme="0"/>
      <name val="Arial"/>
      <family val="2"/>
    </font>
    <font>
      <sz val="9"/>
      <color rgb="FF3F3F76"/>
      <name val="Arial"/>
      <family val="2"/>
    </font>
    <font>
      <b/>
      <sz val="9"/>
      <color rgb="FF3F3F76"/>
      <name val="Arial"/>
      <family val="2"/>
    </font>
    <font>
      <b/>
      <i/>
      <u/>
      <sz val="9"/>
      <name val="Arial"/>
      <family val="2"/>
    </font>
    <font>
      <sz val="9"/>
      <name val="Webdings"/>
      <family val="1"/>
      <charset val="2"/>
    </font>
    <font>
      <b/>
      <i/>
      <sz val="9"/>
      <name val="Arial"/>
      <family val="2"/>
      <charset val="238"/>
    </font>
    <font>
      <sz val="6"/>
      <name val="Baltica"/>
    </font>
    <font>
      <b/>
      <sz val="10"/>
      <color rgb="FF3F3F76"/>
      <name val="Arial"/>
      <family val="2"/>
    </font>
    <font>
      <b/>
      <sz val="14"/>
      <name val="Arial"/>
      <family val="2"/>
    </font>
    <font>
      <b/>
      <sz val="10"/>
      <color rgb="FF000000"/>
      <name val="Arial"/>
      <family val="2"/>
    </font>
    <font>
      <b/>
      <i/>
      <sz val="10"/>
      <color rgb="FF000000"/>
      <name val="Arial"/>
      <family val="2"/>
    </font>
    <font>
      <b/>
      <sz val="9"/>
      <name val="Calibri"/>
      <family val="2"/>
    </font>
    <font>
      <sz val="8"/>
      <color indexed="81"/>
      <name val="Tahoma"/>
      <family val="2"/>
    </font>
    <font>
      <b/>
      <sz val="8"/>
      <color theme="0"/>
      <name val="Arial"/>
      <family val="2"/>
    </font>
    <font>
      <b/>
      <sz val="18"/>
      <name val="Arial"/>
      <family val="2"/>
    </font>
    <font>
      <sz val="8"/>
      <color theme="1"/>
      <name val="Calibri"/>
      <family val="2"/>
      <scheme val="minor"/>
    </font>
    <font>
      <sz val="8"/>
      <name val="Calibri"/>
      <family val="2"/>
      <scheme val="minor"/>
    </font>
    <font>
      <sz val="8"/>
      <color rgb="FFFFFFFF"/>
      <name val="Calibri"/>
      <family val="2"/>
      <scheme val="minor"/>
    </font>
    <font>
      <b/>
      <sz val="8"/>
      <name val="Arial"/>
      <family val="2"/>
    </font>
    <font>
      <sz val="8"/>
      <color rgb="FF002060"/>
      <name val="Arial"/>
      <family val="2"/>
    </font>
    <font>
      <sz val="10"/>
      <color rgb="FFFF0000"/>
      <name val="Arial"/>
      <family val="2"/>
    </font>
    <font>
      <b/>
      <sz val="14"/>
      <color theme="8" tint="-0.499984740745262"/>
      <name val="Arial"/>
      <family val="2"/>
    </font>
    <font>
      <b/>
      <sz val="36"/>
      <color rgb="FFFF0000"/>
      <name val="Arial"/>
      <family val="2"/>
    </font>
  </fonts>
  <fills count="38">
    <fill>
      <patternFill patternType="none"/>
    </fill>
    <fill>
      <patternFill patternType="gray125"/>
    </fill>
    <fill>
      <patternFill patternType="solid">
        <fgColor rgb="FFFFCC99"/>
      </patternFill>
    </fill>
    <fill>
      <patternFill patternType="solid">
        <fgColor rgb="FFF2F2F2"/>
      </patternFill>
    </fill>
    <fill>
      <patternFill patternType="solid">
        <fgColor rgb="FFFFFFCC"/>
      </patternFill>
    </fill>
    <fill>
      <patternFill patternType="solid">
        <fgColor indexed="9"/>
      </patternFill>
    </fill>
    <fill>
      <patternFill patternType="solid">
        <fgColor theme="6" tint="0.79998168889431442"/>
        <bgColor theme="6" tint="0.79998168889431442"/>
      </patternFill>
    </fill>
    <fill>
      <patternFill patternType="solid">
        <fgColor rgb="FF002060"/>
        <bgColor indexed="64"/>
      </patternFill>
    </fill>
    <fill>
      <patternFill patternType="solid">
        <fgColor theme="8" tint="0.79998168889431442"/>
        <bgColor indexed="64"/>
      </patternFill>
    </fill>
    <fill>
      <patternFill patternType="solid">
        <fgColor rgb="FFFFFFCC"/>
        <bgColor indexed="64"/>
      </patternFill>
    </fill>
    <fill>
      <patternFill patternType="solid">
        <fgColor theme="2"/>
        <bgColor indexed="64"/>
      </patternFill>
    </fill>
    <fill>
      <patternFill patternType="solid">
        <fgColor theme="9" tint="0.79998168889431442"/>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theme="0"/>
        <bgColor indexed="64"/>
      </patternFill>
    </fill>
    <fill>
      <patternFill patternType="solid">
        <fgColor theme="4"/>
        <bgColor indexed="64"/>
      </patternFill>
    </fill>
    <fill>
      <patternFill patternType="solid">
        <fgColor theme="6" tint="0.59999389629810485"/>
        <bgColor indexed="64"/>
      </patternFill>
    </fill>
    <fill>
      <patternFill patternType="solid">
        <fgColor rgb="FF0070C0"/>
        <bgColor indexed="64"/>
      </patternFill>
    </fill>
    <fill>
      <patternFill patternType="solid">
        <fgColor theme="6" tint="-0.499984740745262"/>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8"/>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9" tint="-0.499984740745262"/>
        <bgColor indexed="64"/>
      </patternFill>
    </fill>
    <fill>
      <patternFill patternType="solid">
        <fgColor theme="4" tint="0.79998168889431442"/>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0" tint="-0.249977111117893"/>
        <bgColor indexed="64"/>
      </patternFill>
    </fill>
    <fill>
      <patternFill patternType="solid">
        <fgColor indexed="45"/>
        <bgColor indexed="64"/>
      </patternFill>
    </fill>
    <fill>
      <patternFill patternType="solid">
        <fgColor rgb="FFFFCC99"/>
        <bgColor rgb="FFFFFFFF"/>
      </patternFill>
    </fill>
    <fill>
      <patternFill patternType="solid">
        <fgColor rgb="FFA5A5A5"/>
        <bgColor rgb="FF000000"/>
      </patternFill>
    </fill>
    <fill>
      <patternFill patternType="solid">
        <fgColor rgb="FFF2F2F2"/>
        <bgColor rgb="FFFFFFFF"/>
      </patternFill>
    </fill>
    <fill>
      <patternFill patternType="solid">
        <fgColor theme="4" tint="0.39997558519241921"/>
        <bgColor indexed="64"/>
      </patternFill>
    </fill>
    <fill>
      <patternFill patternType="solid">
        <fgColor theme="0" tint="-0.14999847407452621"/>
        <bgColor indexed="64"/>
      </patternFill>
    </fill>
    <fill>
      <patternFill patternType="solid">
        <fgColor rgb="FF00B0F0"/>
        <bgColor indexed="64"/>
      </patternFill>
    </fill>
  </fills>
  <borders count="69">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hair">
        <color indexed="16"/>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right/>
      <top style="hair">
        <color indexed="16"/>
      </top>
      <bottom/>
      <diagonal/>
    </border>
    <border>
      <left/>
      <right style="hair">
        <color indexed="16"/>
      </right>
      <top style="hair">
        <color indexed="16"/>
      </top>
      <bottom/>
      <diagonal/>
    </border>
    <border>
      <left style="hair">
        <color indexed="16"/>
      </left>
      <right/>
      <top style="hair">
        <color indexed="16"/>
      </top>
      <bottom/>
      <diagonal/>
    </border>
    <border>
      <left style="hair">
        <color indexed="16"/>
      </left>
      <right/>
      <top/>
      <bottom style="hair">
        <color indexed="16"/>
      </bottom>
      <diagonal/>
    </border>
    <border>
      <left style="hair">
        <color indexed="16"/>
      </left>
      <right/>
      <top/>
      <bottom/>
      <diagonal/>
    </border>
    <border>
      <left/>
      <right style="hair">
        <color indexed="16"/>
      </right>
      <top style="hair">
        <color indexed="16"/>
      </top>
      <bottom style="hair">
        <color indexed="16"/>
      </bottom>
      <diagonal/>
    </border>
    <border>
      <left/>
      <right/>
      <top style="hair">
        <color indexed="16"/>
      </top>
      <bottom style="hair">
        <color indexed="16"/>
      </bottom>
      <diagonal/>
    </border>
    <border>
      <left style="hair">
        <color indexed="16"/>
      </left>
      <right/>
      <top style="hair">
        <color indexed="16"/>
      </top>
      <bottom style="hair">
        <color indexed="16"/>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rgb="FF3F3F3F"/>
      </bottom>
      <diagonal/>
    </border>
    <border>
      <left/>
      <right/>
      <top/>
      <bottom style="thin">
        <color rgb="FF3F3F3F"/>
      </bottom>
      <diagonal/>
    </border>
    <border>
      <left/>
      <right style="thin">
        <color indexed="64"/>
      </right>
      <top/>
      <bottom style="thin">
        <color rgb="FF3F3F3F"/>
      </bottom>
      <diagonal/>
    </border>
    <border>
      <left style="thin">
        <color indexed="64"/>
      </left>
      <right style="thin">
        <color indexed="64"/>
      </right>
      <top style="thin">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style="thin">
        <color rgb="FF7F7F7F"/>
      </left>
      <right style="medium">
        <color indexed="64"/>
      </right>
      <top style="thin">
        <color rgb="FF7F7F7F"/>
      </top>
      <bottom style="thin">
        <color rgb="FF7F7F7F"/>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7F7F7F"/>
      </left>
      <right style="medium">
        <color indexed="64"/>
      </right>
      <top style="thin">
        <color rgb="FF7F7F7F"/>
      </top>
      <bottom/>
      <diagonal/>
    </border>
    <border>
      <left style="medium">
        <color indexed="64"/>
      </left>
      <right style="medium">
        <color indexed="64"/>
      </right>
      <top style="medium">
        <color indexed="64"/>
      </top>
      <bottom/>
      <diagonal/>
    </border>
    <border>
      <left style="medium">
        <color indexed="64"/>
      </left>
      <right style="thin">
        <color rgb="FF7F7F7F"/>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rgb="FF7F7F7F"/>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7F7F7F"/>
      </right>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top style="medium">
        <color indexed="64"/>
      </top>
      <bottom/>
      <diagonal/>
    </border>
    <border>
      <left style="thin">
        <color rgb="FF3F3F3F"/>
      </left>
      <right style="medium">
        <color indexed="64"/>
      </right>
      <top style="medium">
        <color indexed="64"/>
      </top>
      <bottom style="thin">
        <color rgb="FF3F3F3F"/>
      </bottom>
      <diagonal/>
    </border>
    <border>
      <left style="medium">
        <color indexed="64"/>
      </left>
      <right/>
      <top/>
      <bottom style="medium">
        <color indexed="64"/>
      </bottom>
      <diagonal/>
    </border>
    <border>
      <left style="thin">
        <color rgb="FF3F3F3F"/>
      </left>
      <right style="medium">
        <color indexed="64"/>
      </right>
      <top style="thin">
        <color rgb="FF3F3F3F"/>
      </top>
      <bottom style="medium">
        <color indexed="64"/>
      </bottom>
      <diagonal/>
    </border>
    <border>
      <left style="thin">
        <color rgb="FF7F7F7F"/>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double">
        <color auto="1"/>
      </left>
      <right style="thin">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right style="double">
        <color auto="1"/>
      </right>
      <top/>
      <bottom/>
      <diagonal/>
    </border>
    <border>
      <left/>
      <right style="double">
        <color auto="1"/>
      </right>
      <top style="thin">
        <color indexed="64"/>
      </top>
      <bottom style="thin">
        <color auto="1"/>
      </bottom>
      <diagonal/>
    </border>
  </borders>
  <cellStyleXfs count="15">
    <xf numFmtId="0" fontId="0" fillId="0" borderId="0"/>
    <xf numFmtId="43" fontId="1" fillId="0" borderId="0" applyFont="0" applyFill="0" applyBorder="0" applyAlignment="0" applyProtection="0"/>
    <xf numFmtId="0" fontId="2" fillId="2" borderId="1" applyNumberFormat="0" applyAlignment="0" applyProtection="0"/>
    <xf numFmtId="0" fontId="3" fillId="3" borderId="2" applyNumberFormat="0" applyAlignment="0" applyProtection="0"/>
    <xf numFmtId="0" fontId="4" fillId="0" borderId="0"/>
    <xf numFmtId="44" fontId="5" fillId="0" borderId="0" applyFont="0" applyFill="0" applyBorder="0" applyAlignment="0" applyProtection="0"/>
    <xf numFmtId="0" fontId="7" fillId="6" borderId="0" applyNumberFormat="0" applyBorder="0" applyAlignment="0" applyProtection="0"/>
    <xf numFmtId="0" fontId="11" fillId="2" borderId="1" applyNumberFormat="0" applyAlignment="0" applyProtection="0"/>
    <xf numFmtId="0" fontId="13" fillId="3" borderId="1" applyNumberFormat="0" applyAlignment="0" applyProtection="0"/>
    <xf numFmtId="0" fontId="5" fillId="0" borderId="0"/>
    <xf numFmtId="166" fontId="5" fillId="0" borderId="0" applyFont="0" applyFill="0" applyBorder="0" applyAlignment="0" applyProtection="0"/>
    <xf numFmtId="0" fontId="5" fillId="4" borderId="3" applyNumberFormat="0" applyFont="0" applyAlignment="0" applyProtection="0"/>
    <xf numFmtId="9" fontId="5" fillId="0" borderId="0" applyFont="0" applyFill="0" applyBorder="0" applyAlignment="0" applyProtection="0"/>
    <xf numFmtId="0" fontId="5" fillId="0" borderId="0"/>
    <xf numFmtId="9" fontId="1" fillId="0" borderId="0" applyFont="0" applyFill="0" applyBorder="0" applyAlignment="0" applyProtection="0"/>
  </cellStyleXfs>
  <cellXfs count="802">
    <xf numFmtId="0" fontId="0" fillId="0" borderId="0" xfId="0"/>
    <xf numFmtId="0" fontId="4" fillId="0" borderId="0" xfId="4" applyFont="1" applyBorder="1"/>
    <xf numFmtId="0" fontId="4" fillId="0" borderId="0" xfId="4" applyFont="1" applyBorder="1" applyAlignment="1">
      <alignment horizontal="center"/>
    </xf>
    <xf numFmtId="0" fontId="4" fillId="0" borderId="0" xfId="4" applyFont="1" applyBorder="1" applyAlignment="1">
      <alignment horizontal="left"/>
    </xf>
    <xf numFmtId="44" fontId="6" fillId="5" borderId="0" xfId="5" applyNumberFormat="1" applyFont="1" applyFill="1" applyBorder="1" applyAlignment="1">
      <alignment horizontal="right"/>
    </xf>
    <xf numFmtId="44" fontId="6" fillId="5" borderId="0" xfId="5" applyNumberFormat="1" applyFont="1" applyFill="1" applyBorder="1" applyAlignment="1" applyProtection="1">
      <alignment horizontal="right"/>
      <protection locked="0"/>
    </xf>
    <xf numFmtId="14" fontId="6" fillId="5" borderId="0" xfId="4" applyNumberFormat="1" applyFont="1" applyFill="1" applyBorder="1" applyAlignment="1">
      <alignment horizontal="right"/>
    </xf>
    <xf numFmtId="0" fontId="6" fillId="5" borderId="0" xfId="4" applyFont="1" applyFill="1" applyBorder="1" applyAlignment="1">
      <alignment horizontal="left"/>
    </xf>
    <xf numFmtId="0" fontId="4" fillId="0" borderId="0" xfId="4" applyFont="1" applyBorder="1" applyAlignment="1">
      <alignment wrapText="1"/>
    </xf>
    <xf numFmtId="0" fontId="8" fillId="6" borderId="4" xfId="6" applyFont="1" applyBorder="1" applyAlignment="1" applyProtection="1">
      <alignment horizontal="left" wrapText="1" indent="3"/>
    </xf>
    <xf numFmtId="0" fontId="8" fillId="6" borderId="4" xfId="6" applyFont="1" applyBorder="1" applyAlignment="1" applyProtection="1">
      <alignment horizontal="left" wrapText="1" indent="2"/>
    </xf>
    <xf numFmtId="0" fontId="8" fillId="6" borderId="4" xfId="6" applyFont="1" applyBorder="1" applyAlignment="1">
      <alignment horizontal="left"/>
    </xf>
    <xf numFmtId="0" fontId="9" fillId="6" borderId="5" xfId="6" applyFont="1" applyBorder="1" applyAlignment="1" applyProtection="1">
      <alignment horizontal="center" vertical="center" wrapText="1"/>
    </xf>
    <xf numFmtId="0" fontId="9" fillId="6" borderId="6" xfId="6" applyFont="1" applyBorder="1" applyAlignment="1" applyProtection="1">
      <alignment horizontal="center" vertical="center" wrapText="1"/>
    </xf>
    <xf numFmtId="0" fontId="9" fillId="6" borderId="7" xfId="6" applyFont="1" applyBorder="1" applyAlignment="1" applyProtection="1">
      <alignment horizontal="center" vertical="center" wrapText="1"/>
    </xf>
    <xf numFmtId="0" fontId="8" fillId="6" borderId="0" xfId="6" applyFont="1" applyBorder="1"/>
    <xf numFmtId="0" fontId="8" fillId="6" borderId="0" xfId="6" applyFont="1" applyBorder="1" applyAlignment="1">
      <alignment horizontal="left"/>
    </xf>
    <xf numFmtId="0" fontId="4" fillId="5" borderId="4" xfId="4" applyFont="1" applyFill="1" applyBorder="1"/>
    <xf numFmtId="0" fontId="4" fillId="5" borderId="4" xfId="4" applyFont="1" applyFill="1" applyBorder="1" applyAlignment="1">
      <alignment horizontal="left"/>
    </xf>
    <xf numFmtId="0" fontId="4" fillId="5" borderId="0" xfId="4" applyFont="1" applyFill="1" applyBorder="1"/>
    <xf numFmtId="0" fontId="4" fillId="5" borderId="8" xfId="4" applyFont="1" applyFill="1" applyBorder="1" applyAlignment="1" applyProtection="1">
      <alignment horizontal="left"/>
    </xf>
    <xf numFmtId="0" fontId="10" fillId="5" borderId="0" xfId="4" applyFont="1" applyFill="1" applyBorder="1" applyAlignment="1">
      <alignment horizontal="right"/>
    </xf>
    <xf numFmtId="0" fontId="4" fillId="5" borderId="0" xfId="4" applyFont="1" applyFill="1" applyBorder="1" applyAlignment="1">
      <alignment horizontal="left"/>
    </xf>
    <xf numFmtId="0" fontId="4" fillId="5" borderId="0" xfId="4" applyFont="1" applyFill="1"/>
    <xf numFmtId="0" fontId="4" fillId="5" borderId="0" xfId="4" applyNumberFormat="1" applyFont="1" applyFill="1" applyBorder="1" applyAlignment="1">
      <alignment horizontal="left"/>
    </xf>
    <xf numFmtId="44" fontId="12" fillId="2" borderId="1" xfId="7" applyNumberFormat="1" applyFont="1" applyAlignment="1" applyProtection="1">
      <alignment horizontal="right"/>
      <protection locked="0"/>
    </xf>
    <xf numFmtId="0" fontId="4" fillId="5" borderId="4" xfId="4" applyFont="1" applyFill="1" applyBorder="1" applyAlignment="1">
      <alignment horizontal="right"/>
    </xf>
    <xf numFmtId="0" fontId="4" fillId="5" borderId="11" xfId="4" applyFont="1" applyFill="1" applyBorder="1" applyAlignment="1">
      <alignment horizontal="left"/>
    </xf>
    <xf numFmtId="44" fontId="14" fillId="3" borderId="1" xfId="8" applyNumberFormat="1" applyFont="1" applyAlignment="1">
      <alignment horizontal="right"/>
    </xf>
    <xf numFmtId="14" fontId="12" fillId="2" borderId="1" xfId="7" applyNumberFormat="1" applyFont="1" applyAlignment="1" applyProtection="1">
      <alignment horizontal="right"/>
      <protection locked="0"/>
    </xf>
    <xf numFmtId="0" fontId="4" fillId="5" borderId="0" xfId="4" applyFont="1" applyFill="1" applyBorder="1" applyAlignment="1">
      <alignment horizontal="right"/>
    </xf>
    <xf numFmtId="0" fontId="4" fillId="5" borderId="12" xfId="4" applyFont="1" applyFill="1" applyBorder="1" applyAlignment="1">
      <alignment horizontal="left"/>
    </xf>
    <xf numFmtId="164" fontId="12" fillId="2" borderId="1" xfId="7" applyNumberFormat="1" applyFont="1" applyAlignment="1" applyProtection="1">
      <alignment horizontal="right"/>
      <protection locked="0"/>
    </xf>
    <xf numFmtId="164" fontId="14" fillId="3" borderId="1" xfId="8" applyNumberFormat="1" applyFont="1" applyAlignment="1">
      <alignment horizontal="right"/>
    </xf>
    <xf numFmtId="165" fontId="12" fillId="2" borderId="1" xfId="7" applyNumberFormat="1" applyFont="1" applyAlignment="1" applyProtection="1">
      <alignment horizontal="right"/>
      <protection locked="0"/>
    </xf>
    <xf numFmtId="0" fontId="4" fillId="0" borderId="0" xfId="4" applyFont="1" applyAlignment="1"/>
    <xf numFmtId="0" fontId="15" fillId="5" borderId="0" xfId="4" applyFont="1" applyFill="1" applyBorder="1" applyAlignment="1"/>
    <xf numFmtId="0" fontId="5" fillId="0" borderId="0" xfId="9"/>
    <xf numFmtId="167" fontId="18" fillId="9" borderId="16" xfId="10" applyNumberFormat="1" applyFont="1" applyFill="1" applyBorder="1" applyAlignment="1">
      <alignment horizontal="center"/>
    </xf>
    <xf numFmtId="0" fontId="5" fillId="10" borderId="0" xfId="9" applyFont="1" applyFill="1" applyAlignment="1">
      <alignment vertical="center"/>
    </xf>
    <xf numFmtId="0" fontId="5" fillId="0" borderId="0" xfId="9" applyFont="1" applyAlignment="1">
      <alignment vertical="center"/>
    </xf>
    <xf numFmtId="0" fontId="5" fillId="10" borderId="0" xfId="9" applyFill="1"/>
    <xf numFmtId="0" fontId="5" fillId="13" borderId="0" xfId="9" applyFont="1" applyFill="1" applyAlignment="1">
      <alignment vertical="center"/>
    </xf>
    <xf numFmtId="0" fontId="5" fillId="10" borderId="0" xfId="9" applyFill="1" applyAlignment="1">
      <alignment horizontal="right"/>
    </xf>
    <xf numFmtId="0" fontId="21" fillId="12" borderId="0" xfId="9" applyFont="1" applyFill="1" applyAlignment="1" applyProtection="1">
      <alignment vertical="center"/>
    </xf>
    <xf numFmtId="0" fontId="5" fillId="10" borderId="0" xfId="9" applyFont="1" applyFill="1" applyBorder="1" applyAlignment="1" applyProtection="1">
      <alignment vertical="center"/>
    </xf>
    <xf numFmtId="0" fontId="5" fillId="10" borderId="0" xfId="9" applyFont="1" applyFill="1" applyBorder="1" applyAlignment="1" applyProtection="1">
      <alignment vertical="center"/>
      <protection locked="0"/>
    </xf>
    <xf numFmtId="0" fontId="5" fillId="10" borderId="0" xfId="9" applyFont="1" applyFill="1" applyBorder="1" applyAlignment="1">
      <alignment vertical="center"/>
    </xf>
    <xf numFmtId="0" fontId="5" fillId="10" borderId="0" xfId="9" applyFont="1" applyFill="1" applyBorder="1" applyAlignment="1" applyProtection="1">
      <alignment horizontal="right" vertical="center"/>
    </xf>
    <xf numFmtId="0" fontId="5" fillId="10" borderId="0" xfId="9" applyFont="1" applyFill="1" applyBorder="1" applyAlignment="1" applyProtection="1">
      <alignment horizontal="center" vertical="center"/>
    </xf>
    <xf numFmtId="0" fontId="5" fillId="10" borderId="0" xfId="9" applyFont="1" applyFill="1" applyBorder="1" applyAlignment="1" applyProtection="1">
      <alignment horizontal="center" vertical="center"/>
      <protection locked="0"/>
    </xf>
    <xf numFmtId="49" fontId="5" fillId="10" borderId="0" xfId="9" applyNumberFormat="1" applyFont="1" applyFill="1" applyBorder="1" applyAlignment="1" applyProtection="1">
      <alignment horizontal="center" vertical="center"/>
      <protection locked="0"/>
    </xf>
    <xf numFmtId="0" fontId="5" fillId="10" borderId="0" xfId="9" applyFill="1" applyBorder="1"/>
    <xf numFmtId="0" fontId="5" fillId="10" borderId="0" xfId="9" applyFont="1" applyFill="1" applyBorder="1" applyAlignment="1" applyProtection="1">
      <alignment horizontal="right" vertical="center" wrapText="1"/>
      <protection locked="0"/>
    </xf>
    <xf numFmtId="0" fontId="21" fillId="12" borderId="0" xfId="9" applyFont="1" applyFill="1" applyAlignment="1" applyProtection="1">
      <alignment vertical="center"/>
      <protection locked="0"/>
    </xf>
    <xf numFmtId="0" fontId="21" fillId="12" borderId="0" xfId="9" applyFont="1" applyFill="1" applyAlignment="1">
      <alignment vertical="center"/>
    </xf>
    <xf numFmtId="0" fontId="5" fillId="0" borderId="0" xfId="9" applyFont="1" applyBorder="1" applyAlignment="1">
      <alignment vertical="center"/>
    </xf>
    <xf numFmtId="0" fontId="5" fillId="10" borderId="0" xfId="9" applyFont="1" applyFill="1" applyBorder="1" applyAlignment="1" applyProtection="1">
      <alignment horizontal="right" vertical="center"/>
      <protection locked="0"/>
    </xf>
    <xf numFmtId="0" fontId="17" fillId="10" borderId="0" xfId="9" applyFont="1" applyFill="1" applyBorder="1" applyAlignment="1" applyProtection="1">
      <alignment horizontal="right" vertical="center"/>
      <protection locked="0"/>
    </xf>
    <xf numFmtId="0" fontId="17" fillId="10" borderId="0" xfId="9" applyFont="1" applyFill="1" applyBorder="1" applyAlignment="1" applyProtection="1">
      <alignment vertical="center"/>
      <protection locked="0"/>
    </xf>
    <xf numFmtId="0" fontId="17" fillId="10" borderId="0" xfId="9" applyFont="1" applyFill="1" applyBorder="1" applyAlignment="1" applyProtection="1">
      <alignment horizontal="center" vertical="center"/>
      <protection locked="0"/>
    </xf>
    <xf numFmtId="0" fontId="17" fillId="10" borderId="0" xfId="9" applyFont="1" applyFill="1" applyBorder="1" applyAlignment="1">
      <alignment vertical="center"/>
    </xf>
    <xf numFmtId="0" fontId="5" fillId="10" borderId="0" xfId="9" applyFont="1" applyFill="1" applyBorder="1" applyAlignment="1">
      <alignment horizontal="center" vertical="center"/>
    </xf>
    <xf numFmtId="0" fontId="5" fillId="14" borderId="0" xfId="9" applyFont="1" applyFill="1" applyBorder="1" applyAlignment="1">
      <alignment vertical="center"/>
    </xf>
    <xf numFmtId="0" fontId="5" fillId="10" borderId="0" xfId="9" applyFont="1" applyFill="1" applyAlignment="1" applyProtection="1">
      <alignment vertical="center"/>
    </xf>
    <xf numFmtId="3" fontId="5" fillId="10" borderId="0" xfId="10" applyNumberFormat="1" applyFont="1" applyFill="1" applyBorder="1" applyAlignment="1" applyProtection="1">
      <alignment horizontal="center" vertical="center"/>
    </xf>
    <xf numFmtId="0" fontId="5" fillId="10" borderId="0" xfId="9" applyFont="1" applyFill="1" applyBorder="1" applyAlignment="1">
      <alignment horizontal="right" vertical="center"/>
    </xf>
    <xf numFmtId="3" fontId="5" fillId="10" borderId="0" xfId="10" applyNumberFormat="1" applyFont="1" applyFill="1" applyBorder="1" applyAlignment="1" applyProtection="1">
      <alignment vertical="center"/>
      <protection locked="0"/>
    </xf>
    <xf numFmtId="0" fontId="23" fillId="10" borderId="0" xfId="9" applyFont="1" applyFill="1" applyBorder="1" applyAlignment="1">
      <alignment horizontal="right" vertical="center"/>
    </xf>
    <xf numFmtId="3" fontId="5" fillId="10" borderId="0" xfId="9" applyNumberFormat="1" applyFont="1" applyFill="1" applyBorder="1" applyAlignment="1" applyProtection="1">
      <alignment horizontal="center" vertical="center"/>
      <protection locked="0"/>
    </xf>
    <xf numFmtId="0" fontId="5" fillId="10" borderId="0" xfId="9" applyFont="1" applyFill="1" applyBorder="1" applyAlignment="1" applyProtection="1">
      <alignment horizontal="left" vertical="center" wrapText="1"/>
    </xf>
    <xf numFmtId="0" fontId="23" fillId="10" borderId="0" xfId="9" applyFont="1" applyFill="1" applyBorder="1" applyAlignment="1" applyProtection="1">
      <alignment horizontal="center" vertical="center"/>
      <protection locked="0"/>
    </xf>
    <xf numFmtId="0" fontId="5" fillId="10" borderId="0" xfId="9" applyFont="1" applyFill="1" applyBorder="1" applyAlignment="1" applyProtection="1">
      <alignment horizontal="center" vertical="center" wrapText="1"/>
      <protection locked="0"/>
    </xf>
    <xf numFmtId="0" fontId="24" fillId="10" borderId="0" xfId="9" applyFont="1" applyFill="1" applyBorder="1" applyAlignment="1" applyProtection="1">
      <alignment horizontal="center" vertical="center"/>
      <protection locked="0"/>
    </xf>
    <xf numFmtId="0" fontId="5" fillId="10" borderId="0" xfId="9" applyFont="1" applyFill="1" applyAlignment="1" applyProtection="1"/>
    <xf numFmtId="3" fontId="5" fillId="10" borderId="0" xfId="9" applyNumberFormat="1" applyFont="1" applyFill="1" applyBorder="1" applyAlignment="1" applyProtection="1">
      <alignment horizontal="center"/>
      <protection locked="0"/>
    </xf>
    <xf numFmtId="0" fontId="5" fillId="10" borderId="0" xfId="9" applyFont="1" applyFill="1" applyBorder="1" applyAlignment="1"/>
    <xf numFmtId="0" fontId="24" fillId="10" borderId="0" xfId="9" applyFont="1" applyFill="1" applyBorder="1" applyAlignment="1" applyProtection="1">
      <alignment horizontal="center"/>
    </xf>
    <xf numFmtId="0" fontId="5" fillId="10" borderId="0" xfId="9" applyFont="1" applyFill="1" applyAlignment="1"/>
    <xf numFmtId="0" fontId="5" fillId="10" borderId="0" xfId="9" applyFont="1" applyFill="1" applyAlignment="1" applyProtection="1">
      <alignment vertical="center" wrapText="1"/>
    </xf>
    <xf numFmtId="9" fontId="5" fillId="10" borderId="0" xfId="12" applyFont="1" applyFill="1" applyAlignment="1">
      <alignment vertical="center"/>
    </xf>
    <xf numFmtId="0" fontId="25" fillId="10" borderId="0" xfId="9" applyFont="1" applyFill="1"/>
    <xf numFmtId="0" fontId="5" fillId="10" borderId="0" xfId="9" applyFill="1" applyBorder="1" applyAlignment="1">
      <alignment horizontal="left" vertical="top"/>
    </xf>
    <xf numFmtId="0" fontId="5" fillId="10" borderId="0" xfId="9" applyFill="1" applyAlignment="1">
      <alignment horizontal="left" vertical="top"/>
    </xf>
    <xf numFmtId="166" fontId="5" fillId="10" borderId="0" xfId="10" applyFont="1" applyFill="1"/>
    <xf numFmtId="0" fontId="17" fillId="10" borderId="0" xfId="9" applyFont="1" applyFill="1" applyAlignment="1">
      <alignment horizontal="right"/>
    </xf>
    <xf numFmtId="166" fontId="17" fillId="10" borderId="0" xfId="9" applyNumberFormat="1" applyFont="1" applyFill="1"/>
    <xf numFmtId="0" fontId="26" fillId="10" borderId="0" xfId="9" applyFont="1" applyFill="1"/>
    <xf numFmtId="168" fontId="5" fillId="10" borderId="0" xfId="9" applyNumberFormat="1" applyFill="1"/>
    <xf numFmtId="166" fontId="17" fillId="10" borderId="0" xfId="10" applyFont="1" applyFill="1"/>
    <xf numFmtId="9" fontId="17" fillId="10" borderId="0" xfId="12" applyFont="1" applyFill="1" applyAlignment="1">
      <alignment horizontal="center"/>
    </xf>
    <xf numFmtId="0" fontId="26" fillId="10" borderId="0" xfId="9" applyFont="1" applyFill="1" applyAlignment="1"/>
    <xf numFmtId="0" fontId="5" fillId="0" borderId="0" xfId="13"/>
    <xf numFmtId="0" fontId="28" fillId="0" borderId="0" xfId="13" applyFont="1" applyFill="1" applyBorder="1" applyAlignment="1">
      <alignment horizontal="center" wrapText="1"/>
    </xf>
    <xf numFmtId="0" fontId="29" fillId="10" borderId="16" xfId="13" applyFont="1" applyFill="1" applyBorder="1" applyAlignment="1" applyProtection="1">
      <alignment horizontal="center" vertical="center" wrapText="1"/>
    </xf>
    <xf numFmtId="0" fontId="5" fillId="10" borderId="16" xfId="13" applyFont="1" applyFill="1" applyBorder="1" applyAlignment="1">
      <alignment vertical="center" wrapText="1"/>
    </xf>
    <xf numFmtId="0" fontId="5" fillId="9" borderId="16" xfId="13" applyFont="1" applyFill="1" applyBorder="1"/>
    <xf numFmtId="0" fontId="30" fillId="15" borderId="0" xfId="13" applyFont="1" applyFill="1"/>
    <xf numFmtId="0" fontId="31" fillId="0" borderId="0" xfId="13" applyFont="1"/>
    <xf numFmtId="0" fontId="5" fillId="9" borderId="16" xfId="13" applyFont="1" applyFill="1" applyBorder="1" applyAlignment="1" applyProtection="1">
      <alignment horizontal="left"/>
    </xf>
    <xf numFmtId="0" fontId="17" fillId="8" borderId="0" xfId="13" applyFont="1" applyFill="1" applyAlignment="1">
      <alignment horizontal="center" vertical="center" textRotation="90" wrapText="1"/>
    </xf>
    <xf numFmtId="0" fontId="17" fillId="0" borderId="0" xfId="13" applyFont="1" applyFill="1" applyBorder="1" applyAlignment="1">
      <alignment vertical="center"/>
    </xf>
    <xf numFmtId="0" fontId="5" fillId="0" borderId="0" xfId="13" applyFont="1" applyFill="1" applyBorder="1" applyAlignment="1">
      <alignment horizontal="center" vertical="center"/>
    </xf>
    <xf numFmtId="0" fontId="5" fillId="0" borderId="0" xfId="13" applyFont="1" applyAlignment="1">
      <alignment vertical="center"/>
    </xf>
    <xf numFmtId="0" fontId="5" fillId="0" borderId="16" xfId="13" applyFont="1" applyFill="1" applyBorder="1" applyAlignment="1">
      <alignment vertical="center"/>
    </xf>
    <xf numFmtId="0" fontId="5" fillId="0" borderId="16" xfId="13" applyFont="1" applyFill="1" applyBorder="1" applyAlignment="1">
      <alignment horizontal="center" vertical="center"/>
    </xf>
    <xf numFmtId="0" fontId="5" fillId="0" borderId="0" xfId="13" applyFont="1" applyAlignment="1" applyProtection="1">
      <alignment vertical="center"/>
      <protection locked="0"/>
    </xf>
    <xf numFmtId="167" fontId="5" fillId="0" borderId="0" xfId="10" applyNumberFormat="1" applyFont="1" applyAlignment="1" applyProtection="1">
      <alignment vertical="center"/>
      <protection locked="0"/>
    </xf>
    <xf numFmtId="169" fontId="5" fillId="0" borderId="0" xfId="13" applyNumberFormat="1" applyFont="1" applyAlignment="1" applyProtection="1">
      <alignment vertical="center"/>
      <protection locked="0"/>
    </xf>
    <xf numFmtId="49" fontId="5" fillId="0" borderId="0" xfId="10" applyNumberFormat="1" applyFont="1" applyAlignment="1" applyProtection="1">
      <alignment vertical="center"/>
      <protection locked="0"/>
    </xf>
    <xf numFmtId="0" fontId="5" fillId="0" borderId="0" xfId="13" applyFont="1" applyFill="1" applyBorder="1" applyAlignment="1">
      <alignment vertical="center"/>
    </xf>
    <xf numFmtId="0" fontId="5" fillId="0" borderId="0" xfId="13" applyFont="1" applyBorder="1" applyAlignment="1">
      <alignment vertical="center"/>
    </xf>
    <xf numFmtId="0" fontId="17" fillId="0" borderId="0" xfId="13" applyFont="1" applyAlignment="1">
      <alignment vertical="center"/>
    </xf>
    <xf numFmtId="0" fontId="17" fillId="0" borderId="0" xfId="13" applyFont="1" applyBorder="1" applyAlignment="1">
      <alignment vertical="center"/>
    </xf>
    <xf numFmtId="0" fontId="5" fillId="14" borderId="0" xfId="13" applyFill="1"/>
    <xf numFmtId="0" fontId="36" fillId="14" borderId="0" xfId="13" applyFont="1" applyFill="1" applyBorder="1" applyAlignment="1">
      <alignment horizontal="center" vertical="center"/>
    </xf>
    <xf numFmtId="0" fontId="5" fillId="14" borderId="0" xfId="13" applyFill="1" applyBorder="1"/>
    <xf numFmtId="170" fontId="38" fillId="0" borderId="0" xfId="10" applyNumberFormat="1" applyFont="1" applyFill="1"/>
    <xf numFmtId="0" fontId="39" fillId="14" borderId="0" xfId="13" applyFont="1" applyFill="1" applyBorder="1" applyAlignment="1">
      <alignment horizontal="center" vertical="center"/>
    </xf>
    <xf numFmtId="0" fontId="40" fillId="14" borderId="22" xfId="13" applyFont="1" applyFill="1" applyBorder="1" applyAlignment="1">
      <alignment horizontal="center" vertical="center"/>
    </xf>
    <xf numFmtId="0" fontId="29" fillId="0" borderId="0" xfId="13" applyFont="1" applyAlignment="1" applyProtection="1">
      <alignment vertical="top"/>
    </xf>
    <xf numFmtId="0" fontId="29" fillId="0" borderId="0" xfId="13" applyFont="1" applyBorder="1" applyAlignment="1" applyProtection="1">
      <alignment vertical="top"/>
    </xf>
    <xf numFmtId="9" fontId="5" fillId="0" borderId="0" xfId="12" applyFont="1" applyBorder="1" applyAlignment="1">
      <alignment vertical="center"/>
    </xf>
    <xf numFmtId="0" fontId="41" fillId="17" borderId="0" xfId="13" applyFont="1" applyFill="1"/>
    <xf numFmtId="0" fontId="42" fillId="17" borderId="0" xfId="13" applyFont="1" applyFill="1"/>
    <xf numFmtId="0" fontId="5" fillId="17" borderId="0" xfId="13" applyFill="1"/>
    <xf numFmtId="0" fontId="5" fillId="10" borderId="0" xfId="13" applyFill="1"/>
    <xf numFmtId="0" fontId="23" fillId="10" borderId="0" xfId="13" applyFont="1" applyFill="1" applyAlignment="1">
      <alignment horizontal="right"/>
    </xf>
    <xf numFmtId="0" fontId="23" fillId="9" borderId="0" xfId="13" applyFont="1" applyFill="1"/>
    <xf numFmtId="0" fontId="16" fillId="18" borderId="0" xfId="13" applyFont="1" applyFill="1"/>
    <xf numFmtId="15" fontId="16" fillId="18" borderId="0" xfId="13" applyNumberFormat="1" applyFont="1" applyFill="1"/>
    <xf numFmtId="0" fontId="42" fillId="10" borderId="0" xfId="13" applyFont="1" applyFill="1"/>
    <xf numFmtId="0" fontId="5" fillId="10" borderId="0" xfId="13" applyFont="1" applyFill="1" applyAlignment="1">
      <alignment horizontal="center"/>
    </xf>
    <xf numFmtId="0" fontId="17" fillId="10" borderId="0" xfId="13" applyFont="1" applyFill="1"/>
    <xf numFmtId="14" fontId="23" fillId="10" borderId="21" xfId="13" applyNumberFormat="1" applyFont="1" applyFill="1" applyBorder="1" applyAlignment="1">
      <alignment horizontal="center"/>
    </xf>
    <xf numFmtId="3" fontId="5" fillId="10" borderId="0" xfId="13" applyNumberFormat="1" applyFill="1"/>
    <xf numFmtId="0" fontId="5" fillId="10" borderId="0" xfId="13" applyFill="1" applyAlignment="1"/>
    <xf numFmtId="0" fontId="5" fillId="10" borderId="0" xfId="13" applyFill="1" applyAlignment="1">
      <alignment horizontal="left" indent="2"/>
    </xf>
    <xf numFmtId="0" fontId="5" fillId="10" borderId="0" xfId="13" applyFont="1" applyFill="1" applyAlignment="1"/>
    <xf numFmtId="0" fontId="5" fillId="19" borderId="0" xfId="13" applyFill="1"/>
    <xf numFmtId="0" fontId="17" fillId="10" borderId="0" xfId="13" applyFont="1" applyFill="1" applyAlignment="1">
      <alignment horizontal="center"/>
    </xf>
    <xf numFmtId="171" fontId="17" fillId="10" borderId="0" xfId="13" applyNumberFormat="1" applyFont="1" applyFill="1" applyAlignment="1">
      <alignment horizontal="center"/>
    </xf>
    <xf numFmtId="3" fontId="17" fillId="10" borderId="0" xfId="13" applyNumberFormat="1" applyFont="1" applyFill="1"/>
    <xf numFmtId="0" fontId="25" fillId="10" borderId="0" xfId="13" applyFont="1" applyFill="1"/>
    <xf numFmtId="166" fontId="5" fillId="10" borderId="0" xfId="10" applyNumberFormat="1" applyFont="1" applyFill="1" applyAlignment="1">
      <alignment horizontal="center"/>
    </xf>
    <xf numFmtId="0" fontId="17" fillId="10" borderId="0" xfId="13" applyFont="1" applyFill="1" applyAlignment="1"/>
    <xf numFmtId="0" fontId="25" fillId="10" borderId="35" xfId="13" applyFont="1" applyFill="1" applyBorder="1"/>
    <xf numFmtId="166" fontId="5" fillId="10" borderId="35" xfId="10" applyNumberFormat="1" applyFont="1" applyFill="1" applyBorder="1" applyAlignment="1">
      <alignment horizontal="center"/>
    </xf>
    <xf numFmtId="166" fontId="5" fillId="19" borderId="0" xfId="10" applyNumberFormat="1" applyFont="1" applyFill="1"/>
    <xf numFmtId="0" fontId="5" fillId="10" borderId="0" xfId="13" applyFont="1" applyFill="1" applyAlignment="1">
      <alignment wrapText="1"/>
    </xf>
    <xf numFmtId="0" fontId="17" fillId="10" borderId="0" xfId="13" applyFont="1" applyFill="1" applyAlignment="1">
      <alignment wrapText="1"/>
    </xf>
    <xf numFmtId="0" fontId="22" fillId="10" borderId="0" xfId="13" applyFont="1" applyFill="1"/>
    <xf numFmtId="3" fontId="17" fillId="10" borderId="35" xfId="13" applyNumberFormat="1" applyFont="1" applyFill="1" applyBorder="1"/>
    <xf numFmtId="0" fontId="5" fillId="0" borderId="0" xfId="13" applyFill="1"/>
    <xf numFmtId="3" fontId="5" fillId="0" borderId="0" xfId="13" applyNumberFormat="1"/>
    <xf numFmtId="3" fontId="5" fillId="17" borderId="0" xfId="13" applyNumberFormat="1" applyFill="1"/>
    <xf numFmtId="0" fontId="42" fillId="0" borderId="0" xfId="13" applyFont="1" applyFill="1" applyAlignment="1">
      <alignment horizontal="center"/>
    </xf>
    <xf numFmtId="0" fontId="17" fillId="0" borderId="0" xfId="13" applyFont="1"/>
    <xf numFmtId="0" fontId="5" fillId="10" borderId="0" xfId="13" applyFont="1" applyFill="1" applyAlignment="1">
      <alignment horizontal="right"/>
    </xf>
    <xf numFmtId="0" fontId="30" fillId="18" borderId="0" xfId="13" applyFont="1" applyFill="1"/>
    <xf numFmtId="15" fontId="30" fillId="18" borderId="0" xfId="13" applyNumberFormat="1" applyFont="1" applyFill="1"/>
    <xf numFmtId="0" fontId="24" fillId="10" borderId="0" xfId="13" applyFont="1" applyFill="1" applyAlignment="1">
      <alignment horizontal="right"/>
    </xf>
    <xf numFmtId="167" fontId="43" fillId="10" borderId="0" xfId="10" applyNumberFormat="1" applyFont="1" applyFill="1" applyAlignment="1">
      <alignment wrapText="1"/>
    </xf>
    <xf numFmtId="172" fontId="44" fillId="10" borderId="0" xfId="10" applyNumberFormat="1" applyFont="1" applyFill="1" applyBorder="1" applyAlignment="1">
      <alignment horizontal="center" vertical="center"/>
    </xf>
    <xf numFmtId="167" fontId="5" fillId="10" borderId="0" xfId="10" applyNumberFormat="1" applyFill="1"/>
    <xf numFmtId="167" fontId="0" fillId="0" borderId="0" xfId="10" applyNumberFormat="1" applyFont="1"/>
    <xf numFmtId="167" fontId="45" fillId="10" borderId="0" xfId="10" applyNumberFormat="1" applyFont="1" applyFill="1" applyAlignment="1">
      <alignment horizontal="center" wrapText="1"/>
    </xf>
    <xf numFmtId="167" fontId="46" fillId="10" borderId="0" xfId="10" applyNumberFormat="1" applyFont="1" applyFill="1" applyAlignment="1">
      <alignment horizontal="center"/>
    </xf>
    <xf numFmtId="9" fontId="25" fillId="9" borderId="16" xfId="12" applyNumberFormat="1" applyFont="1" applyFill="1" applyBorder="1" applyAlignment="1">
      <alignment horizontal="center"/>
    </xf>
    <xf numFmtId="0" fontId="5" fillId="0" borderId="16" xfId="13" applyBorder="1"/>
    <xf numFmtId="0" fontId="23" fillId="10" borderId="0" xfId="13" applyFont="1" applyFill="1" applyAlignment="1">
      <alignment horizontal="right" vertical="center"/>
    </xf>
    <xf numFmtId="167" fontId="17" fillId="10" borderId="0" xfId="10" applyNumberFormat="1" applyFont="1" applyFill="1" applyAlignment="1">
      <alignment wrapText="1"/>
    </xf>
    <xf numFmtId="167" fontId="46" fillId="10" borderId="0" xfId="10" applyNumberFormat="1" applyFont="1" applyFill="1" applyBorder="1"/>
    <xf numFmtId="9" fontId="25" fillId="9" borderId="16" xfId="12" applyFont="1" applyFill="1" applyBorder="1" applyAlignment="1">
      <alignment horizontal="center"/>
    </xf>
    <xf numFmtId="14" fontId="23" fillId="10" borderId="0" xfId="13" applyNumberFormat="1" applyFont="1" applyFill="1" applyBorder="1" applyAlignment="1">
      <alignment horizontal="center"/>
    </xf>
    <xf numFmtId="9" fontId="5" fillId="9" borderId="16" xfId="12" applyFill="1" applyBorder="1"/>
    <xf numFmtId="9" fontId="30" fillId="17" borderId="0" xfId="12" applyFont="1" applyFill="1" applyBorder="1" applyProtection="1"/>
    <xf numFmtId="167" fontId="30" fillId="17" borderId="0" xfId="10" applyNumberFormat="1" applyFont="1" applyFill="1"/>
    <xf numFmtId="167" fontId="5" fillId="10" borderId="0" xfId="10" applyNumberFormat="1" applyFont="1" applyFill="1"/>
    <xf numFmtId="167" fontId="5" fillId="10" borderId="0" xfId="13" applyNumberFormat="1" applyFont="1" applyFill="1"/>
    <xf numFmtId="167" fontId="17" fillId="10" borderId="22" xfId="10" applyNumberFormat="1" applyFont="1" applyFill="1" applyBorder="1"/>
    <xf numFmtId="167" fontId="17" fillId="10" borderId="22" xfId="13" applyNumberFormat="1" applyFont="1" applyFill="1" applyBorder="1"/>
    <xf numFmtId="167" fontId="17" fillId="10" borderId="0" xfId="10" applyNumberFormat="1" applyFont="1" applyFill="1" applyBorder="1"/>
    <xf numFmtId="167" fontId="17" fillId="10" borderId="0" xfId="13" applyNumberFormat="1" applyFont="1" applyFill="1" applyBorder="1"/>
    <xf numFmtId="167" fontId="46" fillId="10" borderId="0" xfId="13" applyNumberFormat="1" applyFont="1" applyFill="1"/>
    <xf numFmtId="0" fontId="5" fillId="10" borderId="0" xfId="13" applyFont="1" applyFill="1"/>
    <xf numFmtId="167" fontId="17" fillId="10" borderId="0" xfId="10" applyNumberFormat="1" applyFont="1" applyFill="1"/>
    <xf numFmtId="167" fontId="5" fillId="10" borderId="0" xfId="13" applyNumberFormat="1" applyFont="1" applyFill="1" applyBorder="1"/>
    <xf numFmtId="0" fontId="5" fillId="10" borderId="0" xfId="13" applyFont="1" applyFill="1" applyProtection="1"/>
    <xf numFmtId="167" fontId="17" fillId="10" borderId="35" xfId="10" applyNumberFormat="1" applyFont="1" applyFill="1" applyBorder="1"/>
    <xf numFmtId="0" fontId="30" fillId="22" borderId="0" xfId="13" applyFont="1" applyFill="1" applyAlignment="1">
      <alignment horizontal="left" indent="3"/>
    </xf>
    <xf numFmtId="167" fontId="30" fillId="22" borderId="0" xfId="10" applyNumberFormat="1" applyFont="1" applyFill="1"/>
    <xf numFmtId="0" fontId="30" fillId="17" borderId="0" xfId="13" applyFont="1" applyFill="1"/>
    <xf numFmtId="167" fontId="45" fillId="17" borderId="0" xfId="10" applyNumberFormat="1" applyFont="1" applyFill="1" applyBorder="1"/>
    <xf numFmtId="167" fontId="16" fillId="17" borderId="0" xfId="10" applyNumberFormat="1" applyFont="1" applyFill="1" applyAlignment="1">
      <alignment wrapText="1"/>
    </xf>
    <xf numFmtId="167" fontId="17" fillId="10" borderId="0" xfId="10" applyNumberFormat="1" applyFont="1" applyFill="1" applyBorder="1" applyAlignment="1">
      <alignment wrapText="1"/>
    </xf>
    <xf numFmtId="0" fontId="48" fillId="0" borderId="0" xfId="13" applyFont="1" applyFill="1" applyProtection="1"/>
    <xf numFmtId="0" fontId="16" fillId="23" borderId="0" xfId="13" applyFont="1" applyFill="1" applyAlignment="1">
      <alignment wrapText="1"/>
    </xf>
    <xf numFmtId="0" fontId="30" fillId="12" borderId="0" xfId="13" applyFont="1" applyFill="1"/>
    <xf numFmtId="167" fontId="5" fillId="9" borderId="16" xfId="10" applyNumberFormat="1" applyFont="1" applyFill="1" applyBorder="1" applyAlignment="1">
      <alignment horizontal="right"/>
    </xf>
    <xf numFmtId="9" fontId="46" fillId="9" borderId="16" xfId="12" applyFont="1" applyFill="1" applyBorder="1" applyAlignment="1">
      <alignment horizontal="right"/>
    </xf>
    <xf numFmtId="9" fontId="5" fillId="10" borderId="0" xfId="12" applyFont="1" applyFill="1" applyAlignment="1">
      <alignment horizontal="center"/>
    </xf>
    <xf numFmtId="0" fontId="16" fillId="23" borderId="0" xfId="13" applyFont="1" applyFill="1" applyBorder="1" applyAlignment="1">
      <alignment wrapText="1"/>
    </xf>
    <xf numFmtId="0" fontId="5" fillId="13" borderId="0" xfId="13" applyFont="1" applyFill="1"/>
    <xf numFmtId="0" fontId="5" fillId="13" borderId="0" xfId="13" applyFill="1"/>
    <xf numFmtId="167" fontId="5" fillId="13" borderId="0" xfId="10" applyNumberFormat="1" applyFont="1" applyFill="1"/>
    <xf numFmtId="167" fontId="5" fillId="0" borderId="0" xfId="13" applyNumberFormat="1"/>
    <xf numFmtId="167" fontId="49" fillId="9" borderId="16" xfId="10" applyNumberFormat="1" applyFont="1" applyFill="1" applyBorder="1" applyAlignment="1">
      <alignment horizontal="right"/>
    </xf>
    <xf numFmtId="167" fontId="5" fillId="13" borderId="0" xfId="10" applyNumberFormat="1" applyFont="1" applyFill="1" applyAlignment="1">
      <alignment horizontal="right"/>
    </xf>
    <xf numFmtId="167" fontId="49" fillId="9" borderId="16" xfId="10" applyNumberFormat="1" applyFont="1" applyFill="1" applyBorder="1" applyAlignment="1" applyProtection="1">
      <alignment horizontal="right"/>
    </xf>
    <xf numFmtId="0" fontId="22" fillId="13" borderId="0" xfId="13" applyFont="1" applyFill="1" applyAlignment="1">
      <alignment horizontal="right"/>
    </xf>
    <xf numFmtId="167" fontId="17" fillId="13" borderId="0" xfId="10" applyNumberFormat="1" applyFont="1" applyFill="1" applyAlignment="1">
      <alignment horizontal="right"/>
    </xf>
    <xf numFmtId="167" fontId="17" fillId="13" borderId="0" xfId="10" applyNumberFormat="1" applyFont="1" applyFill="1"/>
    <xf numFmtId="0" fontId="5" fillId="19" borderId="0" xfId="13" applyFill="1" applyAlignment="1">
      <alignment wrapText="1"/>
    </xf>
    <xf numFmtId="0" fontId="16" fillId="23" borderId="0" xfId="13" applyFont="1" applyFill="1" applyBorder="1" applyAlignment="1"/>
    <xf numFmtId="0" fontId="5" fillId="9" borderId="20" xfId="10" applyNumberFormat="1" applyFont="1" applyFill="1" applyBorder="1"/>
    <xf numFmtId="166" fontId="0" fillId="0" borderId="0" xfId="10" applyFont="1"/>
    <xf numFmtId="167" fontId="5" fillId="9" borderId="16" xfId="13" applyNumberFormat="1" applyFont="1" applyFill="1" applyBorder="1" applyAlignment="1" applyProtection="1">
      <alignment horizontal="left"/>
    </xf>
    <xf numFmtId="43" fontId="5" fillId="0" borderId="0" xfId="13" applyNumberFormat="1"/>
    <xf numFmtId="0" fontId="5" fillId="13" borderId="0" xfId="13" applyFont="1" applyFill="1" applyAlignment="1">
      <alignment horizontal="right"/>
    </xf>
    <xf numFmtId="167" fontId="46" fillId="9" borderId="16" xfId="10" applyNumberFormat="1" applyFont="1" applyFill="1" applyBorder="1" applyAlignment="1">
      <alignment horizontal="right"/>
    </xf>
    <xf numFmtId="167" fontId="46" fillId="9" borderId="16" xfId="10" applyNumberFormat="1" applyFont="1" applyFill="1" applyBorder="1"/>
    <xf numFmtId="0" fontId="5" fillId="13" borderId="0" xfId="13" applyFill="1" applyAlignment="1">
      <alignment horizontal="right"/>
    </xf>
    <xf numFmtId="0" fontId="50" fillId="0" borderId="0" xfId="13" applyFont="1" applyAlignment="1">
      <alignment horizontal="justify" vertical="center"/>
    </xf>
    <xf numFmtId="0" fontId="5" fillId="20" borderId="0" xfId="13" applyFill="1"/>
    <xf numFmtId="0" fontId="17" fillId="20" borderId="0" xfId="13" applyFont="1" applyFill="1"/>
    <xf numFmtId="0" fontId="17" fillId="20" borderId="0" xfId="13" applyFont="1" applyFill="1" applyAlignment="1">
      <alignment horizontal="center"/>
    </xf>
    <xf numFmtId="0" fontId="5" fillId="20" borderId="0" xfId="13" applyFill="1" applyAlignment="1">
      <alignment horizontal="right"/>
    </xf>
    <xf numFmtId="173" fontId="5" fillId="20" borderId="0" xfId="13" applyNumberFormat="1" applyFill="1"/>
    <xf numFmtId="0" fontId="5" fillId="20" borderId="0" xfId="13" applyFont="1" applyFill="1" applyAlignment="1">
      <alignment horizontal="right"/>
    </xf>
    <xf numFmtId="0" fontId="5" fillId="20" borderId="0" xfId="13" applyFont="1" applyFill="1" applyAlignment="1">
      <alignment horizontal="right" wrapText="1"/>
    </xf>
    <xf numFmtId="167" fontId="5" fillId="20" borderId="0" xfId="10" applyNumberFormat="1" applyFont="1" applyFill="1"/>
    <xf numFmtId="0" fontId="5" fillId="0" borderId="0" xfId="13" applyFont="1" applyAlignment="1">
      <alignment horizontal="center"/>
    </xf>
    <xf numFmtId="0" fontId="5" fillId="20" borderId="0" xfId="13" applyFont="1" applyFill="1"/>
    <xf numFmtId="174" fontId="5" fillId="20" borderId="0" xfId="13" applyNumberFormat="1" applyFill="1"/>
    <xf numFmtId="167" fontId="5" fillId="20" borderId="0" xfId="13" applyNumberFormat="1" applyFill="1"/>
    <xf numFmtId="0" fontId="5" fillId="0" borderId="0" xfId="13" applyFont="1" applyFill="1" applyAlignment="1">
      <alignment horizontal="right" wrapText="1"/>
    </xf>
    <xf numFmtId="0" fontId="51" fillId="15" borderId="0" xfId="13" applyFont="1" applyFill="1" applyAlignment="1">
      <alignment horizontal="center" vertical="center"/>
    </xf>
    <xf numFmtId="0" fontId="52" fillId="15" borderId="0" xfId="13" applyFont="1" applyFill="1" applyAlignment="1">
      <alignment wrapText="1"/>
    </xf>
    <xf numFmtId="0" fontId="51" fillId="15" borderId="0" xfId="13" applyFont="1" applyFill="1" applyAlignment="1">
      <alignment horizontal="center"/>
    </xf>
    <xf numFmtId="0" fontId="53" fillId="0" borderId="0" xfId="13" applyFont="1"/>
    <xf numFmtId="0" fontId="51" fillId="15" borderId="0" xfId="13" applyFont="1" applyFill="1" applyAlignment="1">
      <alignment wrapText="1"/>
    </xf>
    <xf numFmtId="0" fontId="51" fillId="15" borderId="0" xfId="13" applyFont="1" applyFill="1" applyAlignment="1">
      <alignment horizontal="center" wrapText="1"/>
    </xf>
    <xf numFmtId="0" fontId="53" fillId="24" borderId="0" xfId="13" applyFont="1" applyFill="1" applyAlignment="1">
      <alignment horizontal="center" vertical="center"/>
    </xf>
    <xf numFmtId="0" fontId="53" fillId="24" borderId="0" xfId="13" applyFont="1" applyFill="1" applyAlignment="1">
      <alignment wrapText="1"/>
    </xf>
    <xf numFmtId="167" fontId="53" fillId="10" borderId="0" xfId="10" applyNumberFormat="1" applyFont="1" applyFill="1" applyBorder="1" applyAlignment="1" applyProtection="1">
      <alignment horizontal="center" vertical="center"/>
    </xf>
    <xf numFmtId="9" fontId="53" fillId="9" borderId="16" xfId="12" applyNumberFormat="1" applyFont="1" applyFill="1" applyBorder="1" applyAlignment="1">
      <alignment horizontal="center"/>
    </xf>
    <xf numFmtId="9" fontId="53" fillId="9" borderId="16" xfId="12" applyNumberFormat="1" applyFont="1" applyFill="1" applyBorder="1" applyAlignment="1" applyProtection="1">
      <alignment horizontal="center"/>
    </xf>
    <xf numFmtId="0" fontId="53" fillId="24" borderId="0" xfId="13" applyFont="1" applyFill="1" applyAlignment="1">
      <alignment vertical="top" wrapText="1"/>
    </xf>
    <xf numFmtId="0" fontId="53" fillId="24" borderId="0" xfId="13" applyFont="1" applyFill="1" applyAlignment="1">
      <alignment vertical="center" wrapText="1"/>
    </xf>
    <xf numFmtId="0" fontId="53" fillId="10" borderId="0" xfId="13" applyFont="1" applyFill="1" applyAlignment="1">
      <alignment horizontal="center" vertical="center"/>
    </xf>
    <xf numFmtId="0" fontId="53" fillId="10" borderId="0" xfId="13" applyFont="1" applyFill="1" applyAlignment="1">
      <alignment wrapText="1"/>
    </xf>
    <xf numFmtId="0" fontId="53" fillId="25" borderId="0" xfId="13" applyFont="1" applyFill="1" applyAlignment="1">
      <alignment horizontal="center" vertical="center"/>
    </xf>
    <xf numFmtId="0" fontId="53" fillId="25" borderId="0" xfId="13" applyFont="1" applyFill="1" applyAlignment="1">
      <alignment wrapText="1"/>
    </xf>
    <xf numFmtId="1" fontId="53" fillId="25" borderId="0" xfId="13" applyNumberFormat="1" applyFont="1" applyFill="1" applyAlignment="1">
      <alignment horizontal="center"/>
    </xf>
    <xf numFmtId="0" fontId="53" fillId="25" borderId="0" xfId="13" applyFont="1" applyFill="1" applyAlignment="1">
      <alignment horizontal="center"/>
    </xf>
    <xf numFmtId="9" fontId="53" fillId="25" borderId="0" xfId="13" applyNumberFormat="1" applyFont="1" applyFill="1" applyAlignment="1">
      <alignment horizontal="center"/>
    </xf>
    <xf numFmtId="0" fontId="53" fillId="0" borderId="0" xfId="13" applyFont="1" applyAlignment="1">
      <alignment horizontal="center" vertical="center"/>
    </xf>
    <xf numFmtId="0" fontId="53" fillId="24" borderId="0" xfId="13" applyFont="1" applyFill="1" applyAlignment="1">
      <alignment horizontal="center"/>
    </xf>
    <xf numFmtId="9" fontId="53" fillId="24" borderId="0" xfId="12" applyFont="1" applyFill="1" applyAlignment="1">
      <alignment horizontal="center"/>
    </xf>
    <xf numFmtId="0" fontId="44" fillId="26" borderId="0" xfId="13" applyFont="1" applyFill="1" applyAlignment="1">
      <alignment horizontal="center" vertical="center"/>
    </xf>
    <xf numFmtId="0" fontId="56" fillId="26" borderId="0" xfId="13" applyFont="1" applyFill="1" applyAlignment="1">
      <alignment horizontal="right" wrapText="1"/>
    </xf>
    <xf numFmtId="0" fontId="56" fillId="26" borderId="0" xfId="13" applyFont="1" applyFill="1" applyAlignment="1">
      <alignment horizontal="center"/>
    </xf>
    <xf numFmtId="0" fontId="44" fillId="26" borderId="0" xfId="13" applyFont="1" applyFill="1" applyAlignment="1">
      <alignment horizontal="center"/>
    </xf>
    <xf numFmtId="0" fontId="53" fillId="0" borderId="0" xfId="13" applyFont="1" applyAlignment="1">
      <alignment horizontal="right" wrapText="1"/>
    </xf>
    <xf numFmtId="0" fontId="53" fillId="0" borderId="0" xfId="13" applyFont="1" applyAlignment="1">
      <alignment horizontal="center"/>
    </xf>
    <xf numFmtId="0" fontId="44" fillId="0" borderId="0" xfId="13" applyFont="1" applyAlignment="1">
      <alignment wrapText="1"/>
    </xf>
    <xf numFmtId="0" fontId="53" fillId="0" borderId="0" xfId="13" applyFont="1" applyAlignment="1">
      <alignment wrapText="1"/>
    </xf>
    <xf numFmtId="0" fontId="57" fillId="0" borderId="0" xfId="13" applyFont="1" applyAlignment="1">
      <alignment wrapText="1"/>
    </xf>
    <xf numFmtId="0" fontId="58" fillId="0" borderId="0" xfId="13" applyFont="1" applyAlignment="1">
      <alignment wrapText="1"/>
    </xf>
    <xf numFmtId="0" fontId="59" fillId="0" borderId="0" xfId="13" applyFont="1" applyAlignment="1">
      <alignment wrapText="1"/>
    </xf>
    <xf numFmtId="0" fontId="5" fillId="10" borderId="0" xfId="13" applyFont="1" applyFill="1" applyBorder="1" applyAlignment="1"/>
    <xf numFmtId="0" fontId="5" fillId="0" borderId="0" xfId="13" applyAlignment="1">
      <alignment vertical="center"/>
    </xf>
    <xf numFmtId="0" fontId="32" fillId="0" borderId="0" xfId="13" applyFont="1" applyAlignment="1">
      <alignment horizontal="left" vertical="center"/>
    </xf>
    <xf numFmtId="0" fontId="60" fillId="10" borderId="0" xfId="13" applyFont="1" applyFill="1" applyBorder="1" applyAlignment="1">
      <alignment horizontal="center" vertical="center"/>
    </xf>
    <xf numFmtId="0" fontId="5" fillId="10" borderId="0" xfId="13" applyFill="1" applyAlignment="1">
      <alignment vertical="center"/>
    </xf>
    <xf numFmtId="0" fontId="5" fillId="0" borderId="0" xfId="13" applyFont="1" applyAlignment="1">
      <alignment horizontal="right" vertical="center"/>
    </xf>
    <xf numFmtId="0" fontId="5" fillId="0" borderId="0" xfId="13" applyAlignment="1">
      <alignment horizontal="center" vertical="center"/>
    </xf>
    <xf numFmtId="3" fontId="5" fillId="10" borderId="0" xfId="13" applyNumberFormat="1" applyFont="1" applyFill="1" applyBorder="1" applyAlignment="1">
      <alignment vertical="center"/>
    </xf>
    <xf numFmtId="4" fontId="5" fillId="10" borderId="0" xfId="13" applyNumberFormat="1" applyFont="1" applyFill="1" applyBorder="1" applyAlignment="1">
      <alignment horizontal="center" vertical="center"/>
    </xf>
    <xf numFmtId="0" fontId="5" fillId="0" borderId="0" xfId="13" applyBorder="1" applyAlignment="1">
      <alignment vertical="center"/>
    </xf>
    <xf numFmtId="38" fontId="5" fillId="10" borderId="0" xfId="13" applyNumberFormat="1" applyFill="1" applyAlignment="1">
      <alignment vertical="center"/>
    </xf>
    <xf numFmtId="0" fontId="17" fillId="10" borderId="0" xfId="13" applyFont="1" applyFill="1" applyAlignment="1">
      <alignment vertical="center" wrapText="1"/>
    </xf>
    <xf numFmtId="0" fontId="5" fillId="10" borderId="0" xfId="13" applyFill="1" applyAlignment="1">
      <alignment vertical="center" wrapText="1"/>
    </xf>
    <xf numFmtId="0" fontId="5" fillId="0" borderId="0" xfId="13" applyAlignment="1">
      <alignment vertical="center" wrapText="1"/>
    </xf>
    <xf numFmtId="0" fontId="56" fillId="12" borderId="0" xfId="13" applyFont="1" applyFill="1" applyBorder="1" applyAlignment="1">
      <alignment vertical="center"/>
    </xf>
    <xf numFmtId="0" fontId="53" fillId="12" borderId="0" xfId="13" applyFont="1" applyFill="1"/>
    <xf numFmtId="0" fontId="62" fillId="12" borderId="0" xfId="13" applyFont="1" applyFill="1"/>
    <xf numFmtId="0" fontId="56" fillId="17" borderId="0" xfId="13" applyFont="1" applyFill="1" applyAlignment="1">
      <alignment horizontal="center"/>
    </xf>
    <xf numFmtId="0" fontId="56" fillId="16" borderId="0" xfId="13" applyFont="1" applyFill="1" applyBorder="1" applyAlignment="1">
      <alignment horizontal="left" vertical="center"/>
    </xf>
    <xf numFmtId="0" fontId="53" fillId="16" borderId="0" xfId="13" applyFont="1" applyFill="1"/>
    <xf numFmtId="0" fontId="63" fillId="16" borderId="0" xfId="13" applyFont="1" applyFill="1"/>
    <xf numFmtId="0" fontId="53" fillId="16" borderId="0" xfId="13" applyFont="1" applyFill="1" applyAlignment="1">
      <alignment horizontal="center" wrapText="1"/>
    </xf>
    <xf numFmtId="0" fontId="64" fillId="16" borderId="22" xfId="13" applyFont="1" applyFill="1" applyBorder="1" applyAlignment="1"/>
    <xf numFmtId="0" fontId="53" fillId="16" borderId="0" xfId="13" applyFont="1" applyFill="1" applyBorder="1" applyAlignment="1">
      <alignment horizontal="right" vertical="center"/>
    </xf>
    <xf numFmtId="170" fontId="65" fillId="16" borderId="0" xfId="10" applyNumberFormat="1" applyFont="1" applyFill="1" applyAlignment="1"/>
    <xf numFmtId="0" fontId="53" fillId="16" borderId="0" xfId="13" applyFont="1" applyFill="1" applyAlignment="1">
      <alignment horizontal="center"/>
    </xf>
    <xf numFmtId="0" fontId="66" fillId="16" borderId="0" xfId="13" applyFont="1" applyFill="1" applyAlignment="1">
      <alignment horizontal="right" vertical="center"/>
    </xf>
    <xf numFmtId="175" fontId="67" fillId="16" borderId="16" xfId="3" applyNumberFormat="1" applyFont="1" applyFill="1" applyBorder="1" applyAlignment="1" applyProtection="1">
      <alignment horizontal="center" vertical="center"/>
      <protection locked="0"/>
    </xf>
    <xf numFmtId="0" fontId="64" fillId="16" borderId="0" xfId="13" applyFont="1" applyFill="1"/>
    <xf numFmtId="0" fontId="68" fillId="16" borderId="0" xfId="13" applyFont="1" applyFill="1" applyBorder="1" applyAlignment="1" applyProtection="1">
      <alignment horizontal="left" vertical="center"/>
    </xf>
    <xf numFmtId="0" fontId="44" fillId="16" borderId="0" xfId="13" applyFont="1" applyFill="1" applyAlignment="1">
      <alignment horizontal="center"/>
    </xf>
    <xf numFmtId="3" fontId="67" fillId="16" borderId="16" xfId="3" applyNumberFormat="1" applyFont="1" applyFill="1" applyBorder="1" applyAlignment="1" applyProtection="1">
      <alignment horizontal="center" vertical="center"/>
      <protection locked="0"/>
    </xf>
    <xf numFmtId="0" fontId="53" fillId="16" borderId="0" xfId="13" applyFont="1" applyFill="1" applyBorder="1" applyAlignment="1" applyProtection="1">
      <alignment horizontal="right" vertical="center" wrapText="1"/>
    </xf>
    <xf numFmtId="0" fontId="68" fillId="16" borderId="0" xfId="13" applyFont="1" applyFill="1" applyAlignment="1" applyProtection="1">
      <alignment horizontal="left" vertical="center"/>
    </xf>
    <xf numFmtId="0" fontId="44" fillId="16" borderId="0" xfId="13" applyFont="1" applyFill="1"/>
    <xf numFmtId="10" fontId="67" fillId="16" borderId="16" xfId="3" applyNumberFormat="1" applyFont="1" applyFill="1" applyBorder="1" applyAlignment="1" applyProtection="1">
      <alignment horizontal="center" vertical="center"/>
      <protection locked="0"/>
    </xf>
    <xf numFmtId="38" fontId="53" fillId="16" borderId="0" xfId="13" applyNumberFormat="1" applyFont="1" applyFill="1"/>
    <xf numFmtId="0" fontId="69" fillId="16" borderId="0" xfId="13" applyFont="1" applyFill="1" applyAlignment="1">
      <alignment horizontal="right"/>
    </xf>
    <xf numFmtId="3" fontId="53" fillId="16" borderId="16" xfId="13" applyNumberFormat="1" applyFont="1" applyFill="1" applyBorder="1" applyAlignment="1">
      <alignment horizontal="center"/>
    </xf>
    <xf numFmtId="0" fontId="66" fillId="16" borderId="0" xfId="13" applyFont="1" applyFill="1" applyAlignment="1">
      <alignment horizontal="left"/>
    </xf>
    <xf numFmtId="0" fontId="68" fillId="16" borderId="0" xfId="13" applyFont="1" applyFill="1" applyAlignment="1" applyProtection="1">
      <alignment horizontal="right" vertical="center"/>
    </xf>
    <xf numFmtId="9" fontId="66" fillId="16" borderId="0" xfId="12" applyFont="1" applyFill="1" applyAlignment="1">
      <alignment horizontal="left"/>
    </xf>
    <xf numFmtId="0" fontId="44" fillId="16" borderId="35" xfId="13" applyFont="1" applyFill="1" applyBorder="1" applyAlignment="1" applyProtection="1">
      <alignment horizontal="left" vertical="center"/>
    </xf>
    <xf numFmtId="9" fontId="33" fillId="16" borderId="35" xfId="12" applyFont="1" applyFill="1" applyBorder="1"/>
    <xf numFmtId="0" fontId="33" fillId="16" borderId="35" xfId="13" applyFont="1" applyFill="1" applyBorder="1" applyAlignment="1">
      <alignment horizontal="left"/>
    </xf>
    <xf numFmtId="0" fontId="53" fillId="16" borderId="35" xfId="13" applyFont="1" applyFill="1" applyBorder="1"/>
    <xf numFmtId="0" fontId="70" fillId="16" borderId="35" xfId="13" applyFont="1" applyFill="1" applyBorder="1" applyAlignment="1">
      <alignment horizontal="center" vertical="center"/>
    </xf>
    <xf numFmtId="0" fontId="44" fillId="16" borderId="0" xfId="13" applyFont="1" applyFill="1" applyProtection="1"/>
    <xf numFmtId="9" fontId="71" fillId="16" borderId="0" xfId="12" applyFont="1" applyFill="1" applyBorder="1" applyAlignment="1" applyProtection="1">
      <alignment horizontal="center" vertical="center"/>
    </xf>
    <xf numFmtId="176" fontId="53" fillId="16" borderId="0" xfId="10" applyNumberFormat="1" applyFont="1" applyFill="1" applyAlignment="1" applyProtection="1">
      <alignment horizontal="right" vertical="center"/>
    </xf>
    <xf numFmtId="0" fontId="61" fillId="26" borderId="0" xfId="13" applyFont="1" applyFill="1" applyAlignment="1">
      <alignment horizontal="center"/>
    </xf>
    <xf numFmtId="0" fontId="75" fillId="16" borderId="0" xfId="13" applyFont="1" applyFill="1" applyProtection="1"/>
    <xf numFmtId="177" fontId="53" fillId="16" borderId="16" xfId="13" applyNumberFormat="1" applyFont="1" applyFill="1" applyBorder="1" applyAlignment="1">
      <alignment horizontal="center"/>
    </xf>
    <xf numFmtId="0" fontId="53" fillId="16" borderId="16" xfId="13" applyFont="1" applyFill="1" applyBorder="1"/>
    <xf numFmtId="0" fontId="61" fillId="28" borderId="0" xfId="13" applyFont="1" applyFill="1" applyAlignment="1">
      <alignment horizontal="center"/>
    </xf>
    <xf numFmtId="0" fontId="53" fillId="16" borderId="16" xfId="13" applyFont="1" applyFill="1" applyBorder="1" applyAlignment="1">
      <alignment horizontal="center"/>
    </xf>
    <xf numFmtId="0" fontId="75" fillId="16" borderId="0" xfId="13" applyFont="1" applyFill="1" applyAlignment="1" applyProtection="1">
      <alignment wrapText="1"/>
    </xf>
    <xf numFmtId="9" fontId="53" fillId="16" borderId="16" xfId="12" applyFont="1" applyFill="1" applyBorder="1" applyAlignment="1">
      <alignment horizontal="center"/>
    </xf>
    <xf numFmtId="9" fontId="53" fillId="16" borderId="16" xfId="13" applyNumberFormat="1" applyFont="1" applyFill="1" applyBorder="1" applyAlignment="1">
      <alignment horizontal="center"/>
    </xf>
    <xf numFmtId="0" fontId="63" fillId="16" borderId="35" xfId="13" applyFont="1" applyFill="1" applyBorder="1" applyProtection="1"/>
    <xf numFmtId="0" fontId="53" fillId="16" borderId="35" xfId="13" applyFont="1" applyFill="1" applyBorder="1" applyAlignment="1">
      <alignment horizontal="center"/>
    </xf>
    <xf numFmtId="0" fontId="53" fillId="0" borderId="35" xfId="13" applyFont="1" applyBorder="1"/>
    <xf numFmtId="9" fontId="53" fillId="16" borderId="0" xfId="12" applyFont="1" applyFill="1" applyAlignment="1" applyProtection="1">
      <alignment horizontal="left" vertical="center"/>
    </xf>
    <xf numFmtId="0" fontId="71" fillId="16" borderId="1" xfId="12" applyNumberFormat="1" applyFont="1" applyFill="1" applyBorder="1" applyAlignment="1" applyProtection="1">
      <alignment horizontal="center" vertical="center"/>
    </xf>
    <xf numFmtId="0" fontId="59" fillId="16" borderId="0" xfId="13" applyFont="1" applyFill="1"/>
    <xf numFmtId="49" fontId="71" fillId="16" borderId="1" xfId="12" applyNumberFormat="1" applyFont="1" applyFill="1" applyBorder="1" applyAlignment="1" applyProtection="1">
      <alignment horizontal="center" vertical="center"/>
    </xf>
    <xf numFmtId="2" fontId="71" fillId="16" borderId="1" xfId="10" applyNumberFormat="1" applyFont="1" applyFill="1" applyBorder="1" applyAlignment="1" applyProtection="1">
      <alignment horizontal="center" vertical="center"/>
    </xf>
    <xf numFmtId="0" fontId="68" fillId="16" borderId="0" xfId="13" applyFont="1" applyFill="1" applyProtection="1"/>
    <xf numFmtId="0" fontId="53" fillId="26" borderId="0" xfId="13" applyFont="1" applyFill="1" applyAlignment="1">
      <alignment horizontal="center"/>
    </xf>
    <xf numFmtId="2" fontId="76" fillId="26" borderId="1" xfId="10" applyNumberFormat="1" applyFont="1" applyFill="1" applyBorder="1" applyAlignment="1" applyProtection="1">
      <alignment horizontal="center" vertical="center"/>
    </xf>
    <xf numFmtId="0" fontId="53" fillId="16" borderId="0" xfId="13" applyFont="1" applyFill="1" applyBorder="1"/>
    <xf numFmtId="0" fontId="53" fillId="0" borderId="0" xfId="13" applyFont="1" applyAlignment="1" applyProtection="1">
      <alignment horizontal="left" vertical="center"/>
      <protection locked="0"/>
    </xf>
    <xf numFmtId="0" fontId="53" fillId="0" borderId="0" xfId="13" applyFont="1" applyAlignment="1">
      <alignment horizontal="left" indent="3"/>
    </xf>
    <xf numFmtId="3" fontId="78" fillId="16" borderId="16" xfId="2" applyNumberFormat="1" applyFont="1" applyFill="1" applyBorder="1" applyAlignment="1">
      <alignment vertical="center"/>
    </xf>
    <xf numFmtId="0" fontId="53" fillId="0" borderId="0" xfId="13" applyFont="1" applyAlignment="1">
      <alignment vertical="center" wrapText="1"/>
    </xf>
    <xf numFmtId="0" fontId="53" fillId="0" borderId="0" xfId="13" applyFont="1" applyAlignment="1">
      <alignment vertical="center"/>
    </xf>
    <xf numFmtId="0" fontId="53" fillId="0" borderId="0" xfId="13" applyFont="1" applyAlignment="1">
      <alignment horizontal="left" wrapText="1" indent="3"/>
    </xf>
    <xf numFmtId="3" fontId="53" fillId="0" borderId="0" xfId="13" applyNumberFormat="1" applyFont="1" applyFill="1" applyAlignment="1">
      <alignment vertical="center"/>
    </xf>
    <xf numFmtId="0" fontId="53" fillId="0" borderId="0" xfId="13" applyFont="1" applyBorder="1" applyAlignment="1" applyProtection="1">
      <alignment horizontal="center" vertical="center"/>
      <protection locked="0"/>
    </xf>
    <xf numFmtId="0" fontId="44" fillId="0" borderId="0" xfId="13" applyFont="1" applyFill="1" applyBorder="1" applyAlignment="1">
      <alignment horizontal="center" wrapText="1"/>
    </xf>
    <xf numFmtId="0" fontId="44" fillId="0" borderId="0" xfId="13" applyFont="1" applyFill="1" applyBorder="1" applyAlignment="1">
      <alignment horizontal="center"/>
    </xf>
    <xf numFmtId="0" fontId="53" fillId="0" borderId="16" xfId="13" applyFont="1" applyFill="1" applyBorder="1" applyAlignment="1">
      <alignment horizontal="center" vertical="center" wrapText="1"/>
    </xf>
    <xf numFmtId="3" fontId="33" fillId="0" borderId="0" xfId="13" applyNumberFormat="1" applyFont="1" applyFill="1" applyBorder="1" applyAlignment="1">
      <alignment horizontal="left" vertical="center"/>
    </xf>
    <xf numFmtId="9" fontId="44" fillId="0" borderId="0" xfId="12" applyFont="1" applyFill="1" applyBorder="1" applyAlignment="1">
      <alignment horizontal="center"/>
    </xf>
    <xf numFmtId="0" fontId="53" fillId="0" borderId="0" xfId="13" applyFont="1" applyFill="1" applyAlignment="1">
      <alignment horizontal="center" vertical="center" wrapText="1"/>
    </xf>
    <xf numFmtId="0" fontId="53" fillId="0" borderId="0" xfId="13" applyFont="1" applyFill="1" applyAlignment="1">
      <alignment horizontal="center" vertical="center"/>
    </xf>
    <xf numFmtId="3" fontId="53" fillId="0" borderId="0" xfId="13" applyNumberFormat="1" applyFont="1"/>
    <xf numFmtId="0" fontId="53" fillId="10" borderId="16" xfId="13" applyFont="1" applyFill="1" applyBorder="1" applyAlignment="1">
      <alignment horizontal="center" vertical="center"/>
    </xf>
    <xf numFmtId="9" fontId="53" fillId="10" borderId="16" xfId="12" applyFont="1" applyFill="1" applyBorder="1" applyAlignment="1">
      <alignment horizontal="center" vertical="center"/>
    </xf>
    <xf numFmtId="3" fontId="44" fillId="0" borderId="16" xfId="13" applyNumberFormat="1" applyFont="1" applyFill="1" applyBorder="1" applyAlignment="1">
      <alignment horizontal="right"/>
    </xf>
    <xf numFmtId="0" fontId="35" fillId="0" borderId="33" xfId="13" applyFont="1" applyBorder="1" applyAlignment="1">
      <alignment horizontal="center" vertical="center"/>
    </xf>
    <xf numFmtId="0" fontId="35" fillId="0" borderId="5" xfId="13" applyFont="1" applyFill="1" applyBorder="1" applyAlignment="1">
      <alignment horizontal="center" vertical="center"/>
    </xf>
    <xf numFmtId="0" fontId="53" fillId="0" borderId="0" xfId="13" applyFont="1" applyBorder="1"/>
    <xf numFmtId="0" fontId="53" fillId="0" borderId="33" xfId="13" applyFont="1" applyBorder="1" applyAlignment="1">
      <alignment vertical="center" wrapText="1"/>
    </xf>
    <xf numFmtId="9" fontId="53" fillId="0" borderId="33" xfId="12" applyFont="1" applyBorder="1" applyAlignment="1">
      <alignment horizontal="center" vertical="center"/>
    </xf>
    <xf numFmtId="9" fontId="53" fillId="0" borderId="16" xfId="12" applyFont="1" applyFill="1" applyBorder="1" applyAlignment="1">
      <alignment horizontal="center" vertical="center"/>
    </xf>
    <xf numFmtId="1" fontId="53" fillId="0" borderId="33" xfId="13" applyNumberFormat="1" applyFont="1" applyFill="1" applyBorder="1" applyAlignment="1">
      <alignment horizontal="center" vertical="center"/>
    </xf>
    <xf numFmtId="0" fontId="53" fillId="0" borderId="6" xfId="13" applyFont="1" applyBorder="1" applyAlignment="1">
      <alignment vertical="center" wrapText="1"/>
    </xf>
    <xf numFmtId="9" fontId="53" fillId="0" borderId="6" xfId="12" applyFont="1" applyFill="1" applyBorder="1" applyAlignment="1">
      <alignment horizontal="center" vertical="center"/>
    </xf>
    <xf numFmtId="9" fontId="53" fillId="0" borderId="21" xfId="12" applyFont="1" applyBorder="1" applyAlignment="1">
      <alignment horizontal="center" vertical="center"/>
    </xf>
    <xf numFmtId="9" fontId="53" fillId="0" borderId="6" xfId="12" applyFont="1" applyBorder="1" applyAlignment="1">
      <alignment horizontal="center" vertical="center"/>
    </xf>
    <xf numFmtId="9" fontId="53" fillId="0" borderId="16" xfId="12" applyFont="1" applyBorder="1" applyAlignment="1">
      <alignment horizontal="center" vertical="center"/>
    </xf>
    <xf numFmtId="0" fontId="59" fillId="0" borderId="0" xfId="13" applyFont="1"/>
    <xf numFmtId="0" fontId="53" fillId="0" borderId="21" xfId="13" applyFont="1" applyBorder="1" applyAlignment="1">
      <alignment vertical="center" wrapText="1"/>
    </xf>
    <xf numFmtId="1" fontId="53" fillId="0" borderId="16" xfId="13" applyNumberFormat="1" applyFont="1" applyFill="1" applyBorder="1" applyAlignment="1">
      <alignment horizontal="center" vertical="center"/>
    </xf>
    <xf numFmtId="0" fontId="53" fillId="0" borderId="0" xfId="13" applyFont="1" applyBorder="1" applyAlignment="1">
      <alignment horizontal="center" vertical="center"/>
    </xf>
    <xf numFmtId="167" fontId="53" fillId="0" borderId="0" xfId="10" applyNumberFormat="1" applyFont="1" applyBorder="1" applyAlignment="1">
      <alignment vertical="center"/>
    </xf>
    <xf numFmtId="0" fontId="35" fillId="0" borderId="0" xfId="13" applyFont="1" applyBorder="1" applyAlignment="1">
      <alignment horizontal="right" vertical="center"/>
    </xf>
    <xf numFmtId="0" fontId="44" fillId="0" borderId="0" xfId="13" applyFont="1" applyBorder="1" applyAlignment="1">
      <alignment horizontal="center" vertical="center"/>
    </xf>
    <xf numFmtId="0" fontId="44" fillId="0" borderId="0" xfId="13" applyFont="1" applyAlignment="1">
      <alignment vertical="center"/>
    </xf>
    <xf numFmtId="0" fontId="53" fillId="27" borderId="0" xfId="13" applyFont="1" applyFill="1"/>
    <xf numFmtId="0" fontId="53" fillId="27" borderId="0" xfId="13" applyFont="1" applyFill="1" applyAlignment="1">
      <alignment horizontal="center"/>
    </xf>
    <xf numFmtId="0" fontId="53" fillId="27" borderId="0" xfId="13" applyFont="1" applyFill="1" applyAlignment="1">
      <alignment horizontal="center" vertical="center"/>
    </xf>
    <xf numFmtId="0" fontId="53" fillId="30" borderId="0" xfId="13" applyFont="1" applyFill="1"/>
    <xf numFmtId="0" fontId="80" fillId="27" borderId="0" xfId="13" applyFont="1" applyFill="1"/>
    <xf numFmtId="0" fontId="62" fillId="27" borderId="0" xfId="13" applyFont="1" applyFill="1"/>
    <xf numFmtId="0" fontId="53" fillId="0" borderId="0" xfId="13" applyFont="1" applyFill="1"/>
    <xf numFmtId="0" fontId="33" fillId="27" borderId="0" xfId="13" applyFont="1" applyFill="1" applyAlignment="1">
      <alignment vertical="center"/>
    </xf>
    <xf numFmtId="0" fontId="53" fillId="27" borderId="0" xfId="13" applyFont="1" applyFill="1" applyAlignment="1" applyProtection="1">
      <alignment horizontal="left" vertical="center"/>
      <protection locked="0"/>
    </xf>
    <xf numFmtId="0" fontId="80" fillId="27" borderId="0" xfId="13" applyFont="1" applyFill="1" applyAlignment="1">
      <alignment vertical="center"/>
    </xf>
    <xf numFmtId="0" fontId="82" fillId="27" borderId="7" xfId="13" applyFont="1" applyFill="1" applyBorder="1" applyAlignment="1">
      <alignment horizontal="left" vertical="center" wrapText="1"/>
    </xf>
    <xf numFmtId="0" fontId="53" fillId="27" borderId="0" xfId="13" applyFont="1" applyFill="1" applyBorder="1" applyAlignment="1">
      <alignment horizontal="center"/>
    </xf>
    <xf numFmtId="0" fontId="35" fillId="27" borderId="0" xfId="13" applyFont="1" applyFill="1" applyAlignment="1">
      <alignment vertical="center"/>
    </xf>
    <xf numFmtId="0" fontId="44" fillId="0" borderId="16" xfId="13" applyFont="1" applyFill="1" applyBorder="1" applyAlignment="1" applyProtection="1">
      <alignment horizontal="center" vertical="center"/>
      <protection locked="0"/>
    </xf>
    <xf numFmtId="0" fontId="35" fillId="27" borderId="0" xfId="13" applyFont="1" applyFill="1"/>
    <xf numFmtId="0" fontId="44" fillId="27" borderId="0" xfId="13" applyFont="1" applyFill="1"/>
    <xf numFmtId="0" fontId="53" fillId="0" borderId="16" xfId="13" applyFont="1" applyFill="1" applyBorder="1"/>
    <xf numFmtId="0" fontId="53" fillId="0" borderId="16" xfId="13" applyFont="1" applyFill="1" applyBorder="1" applyAlignment="1" applyProtection="1">
      <alignment horizontal="center" vertical="center"/>
      <protection locked="0"/>
    </xf>
    <xf numFmtId="0" fontId="53" fillId="0" borderId="22" xfId="13" applyFont="1" applyFill="1" applyBorder="1"/>
    <xf numFmtId="0" fontId="5" fillId="0" borderId="0" xfId="13" applyAlignment="1">
      <alignment horizontal="center"/>
    </xf>
    <xf numFmtId="0" fontId="5" fillId="0" borderId="0" xfId="13" applyAlignment="1">
      <alignment horizontal="centerContinuous"/>
    </xf>
    <xf numFmtId="0" fontId="5" fillId="0" borderId="0" xfId="13" applyAlignment="1">
      <alignment horizontal="right"/>
    </xf>
    <xf numFmtId="39" fontId="5" fillId="31" borderId="16" xfId="13" applyNumberFormat="1" applyFill="1" applyBorder="1"/>
    <xf numFmtId="10" fontId="5" fillId="31" borderId="16" xfId="13" applyNumberFormat="1" applyFill="1" applyBorder="1"/>
    <xf numFmtId="10" fontId="0" fillId="0" borderId="0" xfId="12" applyNumberFormat="1" applyFont="1"/>
    <xf numFmtId="178" fontId="0" fillId="0" borderId="0" xfId="12" applyNumberFormat="1" applyFont="1"/>
    <xf numFmtId="10" fontId="79" fillId="32" borderId="39" xfId="12" applyNumberFormat="1" applyFont="1" applyFill="1" applyBorder="1" applyAlignment="1" applyProtection="1">
      <alignment horizontal="center" vertical="center"/>
    </xf>
    <xf numFmtId="1" fontId="5" fillId="31" borderId="16" xfId="13" applyNumberFormat="1" applyFill="1" applyBorder="1"/>
    <xf numFmtId="8" fontId="5" fillId="0" borderId="0" xfId="13" applyNumberFormat="1"/>
    <xf numFmtId="0" fontId="5" fillId="31" borderId="16" xfId="13" applyFill="1" applyBorder="1"/>
    <xf numFmtId="0" fontId="83" fillId="0" borderId="0" xfId="13" applyFont="1" applyFill="1"/>
    <xf numFmtId="0" fontId="5" fillId="0" borderId="0" xfId="13" applyBorder="1" applyAlignment="1">
      <alignment horizontal="center"/>
    </xf>
    <xf numFmtId="17" fontId="5" fillId="31" borderId="16" xfId="13" applyNumberFormat="1" applyFill="1" applyBorder="1"/>
    <xf numFmtId="0" fontId="5" fillId="0" borderId="0" xfId="13" applyFill="1" applyBorder="1" applyAlignment="1">
      <alignment horizontal="center"/>
    </xf>
    <xf numFmtId="0" fontId="5" fillId="0" borderId="0" xfId="13" applyFill="1" applyBorder="1"/>
    <xf numFmtId="0" fontId="5" fillId="0" borderId="0" xfId="13" applyFill="1" applyBorder="1" applyAlignment="1">
      <alignment horizontal="right"/>
    </xf>
    <xf numFmtId="17" fontId="5" fillId="0" borderId="0" xfId="13" applyNumberFormat="1" applyFill="1" applyBorder="1"/>
    <xf numFmtId="0" fontId="5" fillId="0" borderId="24" xfId="13" applyBorder="1" applyAlignment="1">
      <alignment horizontal="center"/>
    </xf>
    <xf numFmtId="0" fontId="5" fillId="0" borderId="40" xfId="13" applyBorder="1" applyAlignment="1">
      <alignment horizontal="center"/>
    </xf>
    <xf numFmtId="0" fontId="5" fillId="0" borderId="41" xfId="13" applyBorder="1" applyAlignment="1">
      <alignment horizontal="center"/>
    </xf>
    <xf numFmtId="0" fontId="5" fillId="0" borderId="42" xfId="13" applyBorder="1" applyAlignment="1">
      <alignment horizontal="center"/>
    </xf>
    <xf numFmtId="167" fontId="53" fillId="0" borderId="21" xfId="10" applyNumberFormat="1" applyFont="1" applyBorder="1" applyAlignment="1">
      <alignment horizontal="center"/>
    </xf>
    <xf numFmtId="167" fontId="53" fillId="0" borderId="21" xfId="10" applyNumberFormat="1" applyFont="1" applyBorder="1"/>
    <xf numFmtId="39" fontId="5" fillId="0" borderId="0" xfId="13" applyNumberFormat="1"/>
    <xf numFmtId="179" fontId="5" fillId="0" borderId="0" xfId="13" applyNumberFormat="1"/>
    <xf numFmtId="167" fontId="53" fillId="0" borderId="16" xfId="10" applyNumberFormat="1" applyFont="1" applyBorder="1" applyAlignment="1">
      <alignment horizontal="center"/>
    </xf>
    <xf numFmtId="167" fontId="53" fillId="0" borderId="16" xfId="10" applyNumberFormat="1" applyFont="1" applyBorder="1"/>
    <xf numFmtId="7" fontId="5" fillId="0" borderId="0" xfId="13" applyNumberFormat="1"/>
    <xf numFmtId="167" fontId="53" fillId="0" borderId="0" xfId="10" applyNumberFormat="1" applyFont="1"/>
    <xf numFmtId="167" fontId="44" fillId="0" borderId="0" xfId="10" applyNumberFormat="1" applyFont="1"/>
    <xf numFmtId="40" fontId="5" fillId="0" borderId="0" xfId="13" applyNumberFormat="1"/>
    <xf numFmtId="3" fontId="84" fillId="32" borderId="39" xfId="2" applyNumberFormat="1" applyFont="1" applyFill="1" applyBorder="1" applyAlignment="1" applyProtection="1">
      <alignment horizontal="center" vertical="center"/>
    </xf>
    <xf numFmtId="3" fontId="84" fillId="32" borderId="43" xfId="2" applyNumberFormat="1" applyFont="1" applyFill="1" applyBorder="1" applyAlignment="1" applyProtection="1">
      <alignment horizontal="center" vertical="center"/>
    </xf>
    <xf numFmtId="0" fontId="85" fillId="0" borderId="0" xfId="13" applyFont="1" applyFill="1" applyBorder="1" applyAlignment="1">
      <alignment horizontal="center" vertical="center"/>
    </xf>
    <xf numFmtId="8" fontId="5" fillId="0" borderId="0" xfId="13" applyNumberFormat="1" applyFont="1" applyFill="1" applyBorder="1" applyAlignment="1">
      <alignment vertical="center"/>
    </xf>
    <xf numFmtId="4" fontId="5" fillId="0" borderId="16" xfId="13" applyNumberFormat="1" applyBorder="1"/>
    <xf numFmtId="0" fontId="5" fillId="0" borderId="0" xfId="13" applyProtection="1"/>
    <xf numFmtId="0" fontId="17" fillId="0" borderId="0" xfId="13" applyFont="1" applyFill="1" applyBorder="1" applyAlignment="1" applyProtection="1">
      <alignment horizontal="center" vertical="center"/>
    </xf>
    <xf numFmtId="3" fontId="5" fillId="0" borderId="16" xfId="13" applyNumberFormat="1" applyFont="1" applyFill="1" applyBorder="1"/>
    <xf numFmtId="0" fontId="5" fillId="0" borderId="45" xfId="13" applyFont="1" applyFill="1" applyBorder="1" applyAlignment="1" applyProtection="1">
      <alignment vertical="center"/>
    </xf>
    <xf numFmtId="167" fontId="79" fillId="32" borderId="46" xfId="10" applyNumberFormat="1" applyFont="1" applyFill="1" applyBorder="1" applyAlignment="1" applyProtection="1">
      <alignment vertical="center"/>
    </xf>
    <xf numFmtId="4" fontId="86" fillId="0" borderId="48" xfId="13" applyNumberFormat="1" applyFont="1" applyFill="1" applyBorder="1" applyAlignment="1" applyProtection="1">
      <alignment horizontal="center" vertical="center"/>
    </xf>
    <xf numFmtId="4" fontId="86" fillId="0" borderId="6" xfId="13" applyNumberFormat="1" applyFont="1" applyFill="1" applyBorder="1" applyAlignment="1" applyProtection="1">
      <alignment horizontal="center" vertical="center"/>
    </xf>
    <xf numFmtId="0" fontId="87" fillId="0" borderId="49" xfId="13" applyFont="1" applyFill="1" applyBorder="1" applyAlignment="1" applyProtection="1">
      <alignment horizontal="center" vertical="center"/>
    </xf>
    <xf numFmtId="0" fontId="87" fillId="0" borderId="0" xfId="13" applyFont="1" applyFill="1" applyBorder="1" applyAlignment="1" applyProtection="1">
      <alignment horizontal="center" vertical="center"/>
    </xf>
    <xf numFmtId="0" fontId="5" fillId="0" borderId="50" xfId="13" applyFont="1" applyFill="1" applyBorder="1" applyAlignment="1" applyProtection="1">
      <alignment vertical="center"/>
    </xf>
    <xf numFmtId="9" fontId="79" fillId="32" borderId="39" xfId="12" applyFont="1" applyFill="1" applyBorder="1" applyAlignment="1" applyProtection="1">
      <alignment horizontal="center" vertical="center"/>
    </xf>
    <xf numFmtId="43" fontId="5" fillId="0" borderId="0" xfId="13" applyNumberFormat="1" applyProtection="1"/>
    <xf numFmtId="0" fontId="5" fillId="0" borderId="51" xfId="13" applyFont="1" applyFill="1" applyBorder="1" applyAlignment="1" applyProtection="1">
      <alignment horizontal="center" vertical="center"/>
    </xf>
    <xf numFmtId="4" fontId="86" fillId="33" borderId="52" xfId="13" applyNumberFormat="1" applyFont="1" applyFill="1" applyBorder="1" applyAlignment="1" applyProtection="1">
      <alignment horizontal="center" vertical="center"/>
    </xf>
    <xf numFmtId="4" fontId="86" fillId="33" borderId="16" xfId="13" applyNumberFormat="1" applyFont="1" applyFill="1" applyBorder="1" applyAlignment="1" applyProtection="1">
      <alignment horizontal="center" vertical="center"/>
    </xf>
    <xf numFmtId="4" fontId="87" fillId="0" borderId="53" xfId="13" applyNumberFormat="1" applyFont="1" applyFill="1" applyBorder="1" applyAlignment="1" applyProtection="1">
      <alignment horizontal="right" vertical="center"/>
    </xf>
    <xf numFmtId="4" fontId="87" fillId="0" borderId="0" xfId="13" applyNumberFormat="1" applyFont="1" applyFill="1" applyBorder="1" applyAlignment="1" applyProtection="1">
      <alignment horizontal="right" vertical="center"/>
    </xf>
    <xf numFmtId="0" fontId="5" fillId="0" borderId="50" xfId="13" applyFont="1" applyBorder="1"/>
    <xf numFmtId="4" fontId="5" fillId="0" borderId="52" xfId="13" applyNumberFormat="1" applyFont="1" applyFill="1" applyBorder="1" applyAlignment="1" applyProtection="1">
      <alignment vertical="center"/>
    </xf>
    <xf numFmtId="4" fontId="5" fillId="0" borderId="16" xfId="13" applyNumberFormat="1" applyFont="1" applyFill="1" applyBorder="1" applyAlignment="1" applyProtection="1">
      <alignment vertical="center"/>
    </xf>
    <xf numFmtId="4" fontId="5" fillId="0" borderId="53" xfId="13" applyNumberFormat="1" applyFont="1" applyFill="1" applyBorder="1" applyAlignment="1" applyProtection="1">
      <alignment vertical="center"/>
    </xf>
    <xf numFmtId="4" fontId="5" fillId="0" borderId="0" xfId="13" applyNumberFormat="1" applyFont="1" applyFill="1" applyBorder="1" applyAlignment="1" applyProtection="1">
      <alignment vertical="center"/>
    </xf>
    <xf numFmtId="167" fontId="79" fillId="32" borderId="39" xfId="10" applyNumberFormat="1" applyFont="1" applyFill="1" applyBorder="1" applyAlignment="1" applyProtection="1">
      <alignment horizontal="center" vertical="center"/>
    </xf>
    <xf numFmtId="0" fontId="5" fillId="0" borderId="54" xfId="13" applyFont="1" applyFill="1" applyBorder="1" applyAlignment="1" applyProtection="1">
      <alignment vertical="center"/>
    </xf>
    <xf numFmtId="167" fontId="79" fillId="32" borderId="55" xfId="10" applyNumberFormat="1" applyFont="1" applyFill="1" applyBorder="1" applyAlignment="1" applyProtection="1">
      <alignment horizontal="center" vertical="center"/>
    </xf>
    <xf numFmtId="0" fontId="5" fillId="0" borderId="0" xfId="13" applyFont="1" applyFill="1" applyBorder="1" applyAlignment="1" applyProtection="1">
      <alignment vertical="center"/>
    </xf>
    <xf numFmtId="167" fontId="53" fillId="0" borderId="0" xfId="10" applyNumberFormat="1" applyFont="1" applyFill="1" applyBorder="1" applyAlignment="1" applyProtection="1">
      <alignment vertical="center"/>
    </xf>
    <xf numFmtId="0" fontId="5" fillId="0" borderId="56" xfId="13" applyFont="1" applyFill="1" applyBorder="1" applyAlignment="1" applyProtection="1">
      <alignment vertical="center"/>
    </xf>
    <xf numFmtId="167" fontId="88" fillId="34" borderId="57" xfId="10" applyNumberFormat="1" applyFont="1" applyFill="1" applyBorder="1" applyAlignment="1" applyProtection="1">
      <alignment horizontal="center" vertical="center"/>
    </xf>
    <xf numFmtId="0" fontId="5" fillId="0" borderId="58" xfId="13" applyFont="1" applyFill="1" applyBorder="1" applyAlignment="1" applyProtection="1">
      <alignment vertical="center"/>
    </xf>
    <xf numFmtId="167" fontId="88" fillId="34" borderId="59" xfId="10" applyNumberFormat="1" applyFont="1" applyFill="1" applyBorder="1" applyAlignment="1" applyProtection="1">
      <alignment horizontal="center" vertical="center"/>
    </xf>
    <xf numFmtId="0" fontId="5" fillId="0" borderId="24" xfId="13" applyFont="1" applyFill="1" applyBorder="1" applyAlignment="1" applyProtection="1">
      <alignment vertical="center"/>
    </xf>
    <xf numFmtId="167" fontId="88" fillId="34" borderId="60" xfId="10" applyNumberFormat="1" applyFont="1" applyFill="1" applyBorder="1" applyAlignment="1" applyProtection="1">
      <alignment vertical="center"/>
    </xf>
    <xf numFmtId="0" fontId="5" fillId="0" borderId="0" xfId="13" applyFont="1"/>
    <xf numFmtId="8" fontId="5" fillId="0" borderId="0" xfId="13" applyNumberFormat="1" applyProtection="1"/>
    <xf numFmtId="167" fontId="88" fillId="34" borderId="61" xfId="10" applyNumberFormat="1" applyFont="1" applyFill="1" applyBorder="1" applyAlignment="1" applyProtection="1">
      <alignment vertical="center"/>
    </xf>
    <xf numFmtId="167" fontId="88" fillId="34" borderId="62" xfId="10" applyNumberFormat="1" applyFont="1" applyFill="1" applyBorder="1" applyAlignment="1" applyProtection="1">
      <alignment vertical="center"/>
    </xf>
    <xf numFmtId="0" fontId="5" fillId="0" borderId="37" xfId="13" applyFont="1" applyFill="1" applyBorder="1" applyAlignment="1" applyProtection="1">
      <alignment vertical="center"/>
    </xf>
    <xf numFmtId="167" fontId="88" fillId="34" borderId="0" xfId="10" applyNumberFormat="1" applyFont="1" applyFill="1" applyBorder="1" applyAlignment="1" applyProtection="1">
      <alignment vertical="center"/>
    </xf>
    <xf numFmtId="167" fontId="88" fillId="34" borderId="63" xfId="10" applyNumberFormat="1" applyFont="1" applyFill="1" applyBorder="1" applyAlignment="1" applyProtection="1">
      <alignment vertical="center"/>
    </xf>
    <xf numFmtId="0" fontId="5" fillId="0" borderId="58" xfId="13" applyFont="1" applyFill="1" applyBorder="1" applyAlignment="1" applyProtection="1">
      <alignment horizontal="left" vertical="center"/>
    </xf>
    <xf numFmtId="167" fontId="88" fillId="34" borderId="35" xfId="10" applyNumberFormat="1" applyFont="1" applyFill="1" applyBorder="1" applyAlignment="1" applyProtection="1">
      <alignment horizontal="right" vertical="center"/>
    </xf>
    <xf numFmtId="167" fontId="88" fillId="34" borderId="38" xfId="10" applyNumberFormat="1" applyFont="1" applyFill="1" applyBorder="1" applyAlignment="1" applyProtection="1">
      <alignment vertical="center"/>
    </xf>
    <xf numFmtId="0" fontId="5" fillId="0" borderId="0" xfId="13" applyFont="1" applyFill="1" applyBorder="1" applyAlignment="1" applyProtection="1">
      <alignment horizontal="center" vertical="center"/>
    </xf>
    <xf numFmtId="4" fontId="86" fillId="0" borderId="0" xfId="13" applyNumberFormat="1" applyFont="1" applyFill="1" applyBorder="1" applyAlignment="1" applyProtection="1">
      <alignment vertical="center"/>
    </xf>
    <xf numFmtId="177" fontId="61" fillId="17" borderId="0" xfId="13" applyNumberFormat="1" applyFont="1" applyFill="1" applyBorder="1" applyAlignment="1">
      <alignment horizontal="center"/>
    </xf>
    <xf numFmtId="0" fontId="61" fillId="17" borderId="0" xfId="13" applyFont="1" applyFill="1" applyAlignment="1">
      <alignment horizontal="center"/>
    </xf>
    <xf numFmtId="180" fontId="5" fillId="10" borderId="0" xfId="1" applyNumberFormat="1" applyFont="1" applyFill="1"/>
    <xf numFmtId="180" fontId="30" fillId="22" borderId="0" xfId="1" applyNumberFormat="1" applyFont="1" applyFill="1"/>
    <xf numFmtId="180" fontId="16" fillId="17" borderId="35" xfId="1" applyNumberFormat="1" applyFont="1" applyFill="1" applyBorder="1"/>
    <xf numFmtId="180" fontId="5" fillId="10" borderId="0" xfId="1" applyNumberFormat="1" applyFont="1" applyFill="1" applyBorder="1" applyAlignment="1"/>
    <xf numFmtId="180" fontId="16" fillId="17" borderId="0" xfId="1" applyNumberFormat="1" applyFont="1" applyFill="1" applyBorder="1"/>
    <xf numFmtId="0" fontId="5" fillId="10" borderId="0" xfId="13" applyFill="1" applyAlignment="1">
      <alignment horizontal="left" indent="3"/>
    </xf>
    <xf numFmtId="0" fontId="5" fillId="10" borderId="0" xfId="13" applyFont="1" applyFill="1" applyAlignment="1" applyProtection="1">
      <alignment horizontal="left" indent="3"/>
    </xf>
    <xf numFmtId="0" fontId="17" fillId="10" borderId="0" xfId="13" applyFont="1" applyFill="1" applyProtection="1"/>
    <xf numFmtId="180" fontId="17" fillId="36" borderId="0" xfId="1" applyNumberFormat="1" applyFont="1" applyFill="1" applyBorder="1" applyAlignment="1" applyProtection="1">
      <alignment vertical="center"/>
      <protection locked="0"/>
    </xf>
    <xf numFmtId="0" fontId="20" fillId="17" borderId="0" xfId="9" applyFont="1" applyFill="1" applyAlignment="1" applyProtection="1">
      <alignment vertical="center"/>
    </xf>
    <xf numFmtId="0" fontId="21" fillId="17" borderId="0" xfId="9" applyFont="1" applyFill="1" applyAlignment="1" applyProtection="1">
      <alignment vertical="center"/>
    </xf>
    <xf numFmtId="0" fontId="21" fillId="17" borderId="0" xfId="9" applyFont="1" applyFill="1" applyAlignment="1" applyProtection="1">
      <alignment vertical="center"/>
      <protection locked="0"/>
    </xf>
    <xf numFmtId="0" fontId="21" fillId="17" borderId="0" xfId="9" applyFont="1" applyFill="1" applyAlignment="1">
      <alignment vertical="center"/>
    </xf>
    <xf numFmtId="0" fontId="17" fillId="10" borderId="0" xfId="9" applyFont="1" applyFill="1" applyBorder="1" applyAlignment="1" applyProtection="1">
      <alignment horizontal="left" vertical="center"/>
      <protection locked="0"/>
    </xf>
    <xf numFmtId="0" fontId="21" fillId="35" borderId="0" xfId="9" applyFont="1" applyFill="1" applyAlignment="1" applyProtection="1">
      <alignment horizontal="center" vertical="center"/>
      <protection locked="0"/>
    </xf>
    <xf numFmtId="0" fontId="5" fillId="35" borderId="0" xfId="9" applyFill="1"/>
    <xf numFmtId="0" fontId="56" fillId="17" borderId="0" xfId="13" applyFont="1" applyFill="1" applyAlignment="1">
      <alignment horizontal="center"/>
    </xf>
    <xf numFmtId="2" fontId="71" fillId="16" borderId="1" xfId="10" applyNumberFormat="1" applyFont="1" applyFill="1" applyBorder="1" applyAlignment="1" applyProtection="1">
      <alignment horizontal="center" vertical="center" wrapText="1"/>
    </xf>
    <xf numFmtId="0" fontId="5" fillId="20" borderId="21" xfId="9" applyFont="1" applyFill="1" applyBorder="1" applyAlignment="1" applyProtection="1">
      <alignment vertical="center"/>
      <protection locked="0"/>
    </xf>
    <xf numFmtId="0" fontId="5" fillId="20" borderId="16" xfId="11" applyFont="1" applyFill="1" applyBorder="1" applyAlignment="1" applyProtection="1">
      <alignment horizontal="center" vertical="center"/>
      <protection locked="0"/>
    </xf>
    <xf numFmtId="0" fontId="5" fillId="20" borderId="16" xfId="9" applyFont="1" applyFill="1" applyBorder="1"/>
    <xf numFmtId="15" fontId="5" fillId="20" borderId="16" xfId="9" applyNumberFormat="1" applyFill="1" applyBorder="1"/>
    <xf numFmtId="49" fontId="5" fillId="20" borderId="21" xfId="9" applyNumberFormat="1" applyFont="1" applyFill="1" applyBorder="1" applyAlignment="1" applyProtection="1">
      <alignment vertical="center"/>
      <protection locked="0"/>
    </xf>
    <xf numFmtId="1" fontId="5" fillId="20" borderId="21" xfId="9" applyNumberFormat="1" applyFont="1" applyFill="1" applyBorder="1" applyAlignment="1" applyProtection="1">
      <alignment horizontal="center" vertical="center"/>
      <protection locked="0"/>
    </xf>
    <xf numFmtId="0" fontId="5" fillId="20" borderId="16" xfId="9" applyFont="1" applyFill="1" applyBorder="1" applyAlignment="1" applyProtection="1">
      <alignment vertical="center"/>
      <protection locked="0"/>
    </xf>
    <xf numFmtId="0" fontId="5" fillId="10" borderId="0" xfId="9" applyFont="1" applyFill="1" applyBorder="1" applyAlignment="1">
      <alignment vertical="center" wrapText="1"/>
    </xf>
    <xf numFmtId="17" fontId="5" fillId="20" borderId="16" xfId="9" applyNumberFormat="1" applyFont="1" applyFill="1" applyBorder="1" applyAlignment="1" applyProtection="1">
      <alignment horizontal="center" vertical="center"/>
      <protection locked="0"/>
    </xf>
    <xf numFmtId="0" fontId="5" fillId="20" borderId="16" xfId="11" applyFont="1" applyFill="1" applyBorder="1" applyAlignment="1" applyProtection="1">
      <alignment horizontal="center"/>
      <protection locked="0"/>
    </xf>
    <xf numFmtId="0" fontId="5" fillId="20" borderId="16" xfId="9" applyFont="1" applyFill="1" applyBorder="1" applyAlignment="1">
      <alignment vertical="center"/>
    </xf>
    <xf numFmtId="3" fontId="5" fillId="20" borderId="16" xfId="10" applyNumberFormat="1" applyFont="1" applyFill="1" applyBorder="1" applyAlignment="1" applyProtection="1">
      <alignment horizontal="center" vertical="center"/>
      <protection locked="0"/>
    </xf>
    <xf numFmtId="3" fontId="5" fillId="20" borderId="16" xfId="9" applyNumberFormat="1" applyFont="1" applyFill="1" applyBorder="1" applyAlignment="1" applyProtection="1">
      <alignment horizontal="center" vertical="center"/>
      <protection locked="0"/>
    </xf>
    <xf numFmtId="0" fontId="5" fillId="20" borderId="16" xfId="9" applyFill="1" applyBorder="1" applyAlignment="1">
      <alignment horizontal="center" vertical="top"/>
    </xf>
    <xf numFmtId="38" fontId="30" fillId="26" borderId="16" xfId="2" applyNumberFormat="1" applyFont="1" applyFill="1" applyBorder="1" applyAlignment="1" applyProtection="1">
      <alignment horizontal="center" vertical="center"/>
    </xf>
    <xf numFmtId="1" fontId="30" fillId="26" borderId="16" xfId="2" applyNumberFormat="1" applyFont="1" applyFill="1" applyBorder="1" applyAlignment="1" applyProtection="1">
      <alignment horizontal="center" vertical="center"/>
    </xf>
    <xf numFmtId="9" fontId="30" fillId="26" borderId="16" xfId="12" applyFont="1" applyFill="1" applyBorder="1" applyAlignment="1" applyProtection="1">
      <alignment horizontal="center" vertical="center" wrapText="1"/>
    </xf>
    <xf numFmtId="10" fontId="5" fillId="20" borderId="16" xfId="12" applyNumberFormat="1" applyFont="1" applyFill="1" applyBorder="1" applyAlignment="1" applyProtection="1">
      <alignment horizontal="center" vertical="center"/>
      <protection locked="0"/>
    </xf>
    <xf numFmtId="0" fontId="5" fillId="20" borderId="16" xfId="9" applyFont="1" applyFill="1" applyBorder="1" applyAlignment="1">
      <alignment horizontal="left"/>
    </xf>
    <xf numFmtId="167" fontId="5" fillId="20" borderId="16" xfId="10" applyNumberFormat="1" applyFont="1" applyFill="1" applyBorder="1"/>
    <xf numFmtId="0" fontId="5" fillId="20" borderId="16" xfId="9" applyFill="1" applyBorder="1"/>
    <xf numFmtId="0" fontId="5" fillId="20" borderId="16" xfId="9" applyFont="1" applyFill="1" applyBorder="1" applyAlignment="1" applyProtection="1">
      <alignment horizontal="left"/>
    </xf>
    <xf numFmtId="3" fontId="5" fillId="20" borderId="16" xfId="9" applyNumberFormat="1" applyFill="1" applyBorder="1"/>
    <xf numFmtId="0" fontId="5" fillId="20" borderId="16" xfId="13" applyFill="1" applyBorder="1"/>
    <xf numFmtId="17" fontId="5" fillId="20" borderId="16" xfId="13" applyNumberFormat="1" applyFill="1" applyBorder="1"/>
    <xf numFmtId="0" fontId="5" fillId="20" borderId="16" xfId="13" applyFont="1" applyFill="1" applyBorder="1" applyAlignment="1" applyProtection="1">
      <alignment horizontal="left"/>
    </xf>
    <xf numFmtId="17" fontId="5" fillId="20" borderId="16" xfId="13" applyNumberFormat="1" applyFont="1" applyFill="1" applyBorder="1" applyProtection="1"/>
    <xf numFmtId="0" fontId="5" fillId="20" borderId="16" xfId="13" applyFont="1" applyFill="1" applyBorder="1" applyProtection="1"/>
    <xf numFmtId="3" fontId="5" fillId="20" borderId="16" xfId="13" applyNumberFormat="1" applyFill="1" applyBorder="1"/>
    <xf numFmtId="0" fontId="20" fillId="17" borderId="0" xfId="13" applyFont="1" applyFill="1" applyAlignment="1" applyProtection="1">
      <alignment vertical="center"/>
    </xf>
    <xf numFmtId="0" fontId="21" fillId="17" borderId="0" xfId="13" applyFont="1" applyFill="1" applyAlignment="1" applyProtection="1">
      <alignment vertical="center"/>
      <protection locked="0"/>
    </xf>
    <xf numFmtId="0" fontId="21" fillId="17" borderId="0" xfId="13" applyFont="1" applyFill="1" applyAlignment="1">
      <alignment vertical="center"/>
    </xf>
    <xf numFmtId="49" fontId="5" fillId="20" borderId="16" xfId="11" applyNumberFormat="1" applyFont="1" applyFill="1" applyBorder="1" applyAlignment="1" applyProtection="1">
      <alignment horizontal="center" vertical="center"/>
      <protection locked="0"/>
    </xf>
    <xf numFmtId="0" fontId="5" fillId="10" borderId="0" xfId="9" applyFont="1" applyFill="1" applyBorder="1" applyAlignment="1">
      <alignment horizontal="left" vertical="center" indent="9"/>
    </xf>
    <xf numFmtId="0" fontId="32" fillId="10" borderId="0" xfId="13" applyFont="1" applyFill="1" applyAlignment="1" applyProtection="1">
      <alignment vertical="top"/>
    </xf>
    <xf numFmtId="0" fontId="23" fillId="10" borderId="0" xfId="13" applyFont="1" applyFill="1" applyAlignment="1" applyProtection="1">
      <alignment vertical="center" wrapText="1"/>
    </xf>
    <xf numFmtId="0" fontId="33" fillId="10" borderId="0" xfId="13" applyFont="1" applyFill="1" applyAlignment="1" applyProtection="1">
      <alignment horizontal="left" vertical="center" wrapText="1"/>
    </xf>
    <xf numFmtId="0" fontId="33" fillId="10" borderId="0" xfId="13" applyFont="1" applyFill="1" applyBorder="1" applyAlignment="1" applyProtection="1">
      <alignment horizontal="left" vertical="center" wrapText="1"/>
    </xf>
    <xf numFmtId="0" fontId="5" fillId="10" borderId="0" xfId="13" applyFont="1" applyFill="1" applyBorder="1" applyAlignment="1" applyProtection="1">
      <alignment horizontal="left" vertical="top" wrapText="1"/>
      <protection locked="0"/>
    </xf>
    <xf numFmtId="0" fontId="32" fillId="10" borderId="0" xfId="13" applyFont="1" applyFill="1" applyAlignment="1" applyProtection="1">
      <alignment vertical="top" wrapText="1"/>
    </xf>
    <xf numFmtId="0" fontId="5" fillId="10" borderId="0" xfId="13" applyFont="1" applyFill="1" applyAlignment="1" applyProtection="1">
      <alignment vertical="center"/>
    </xf>
    <xf numFmtId="0" fontId="34" fillId="10" borderId="0" xfId="13" applyFont="1" applyFill="1" applyBorder="1" applyAlignment="1" applyProtection="1">
      <alignment horizontal="center" vertical="top"/>
    </xf>
    <xf numFmtId="0" fontId="32" fillId="10" borderId="0" xfId="13" applyFont="1" applyFill="1" applyBorder="1" applyAlignment="1" applyProtection="1">
      <alignment horizontal="center" vertical="top"/>
    </xf>
    <xf numFmtId="0" fontId="43" fillId="10" borderId="0" xfId="13" applyFont="1" applyFill="1" applyAlignment="1" applyProtection="1">
      <alignment horizontal="right" vertical="center" wrapText="1"/>
    </xf>
    <xf numFmtId="0" fontId="16" fillId="15" borderId="0" xfId="13" applyFont="1" applyFill="1"/>
    <xf numFmtId="170" fontId="37" fillId="0" borderId="0" xfId="10" applyNumberFormat="1" applyFont="1" applyFill="1" applyAlignment="1">
      <alignment vertical="top"/>
    </xf>
    <xf numFmtId="167" fontId="0" fillId="10" borderId="0" xfId="10" applyNumberFormat="1" applyFont="1" applyFill="1"/>
    <xf numFmtId="0" fontId="5" fillId="10" borderId="0" xfId="13" applyFill="1" applyAlignment="1">
      <alignment wrapText="1"/>
    </xf>
    <xf numFmtId="180" fontId="5" fillId="20" borderId="16" xfId="1" applyNumberFormat="1" applyFont="1" applyFill="1" applyBorder="1" applyAlignment="1" applyProtection="1">
      <alignment vertical="center"/>
      <protection locked="0"/>
    </xf>
    <xf numFmtId="167" fontId="5" fillId="20" borderId="0" xfId="13" applyNumberFormat="1" applyFont="1" applyFill="1"/>
    <xf numFmtId="180" fontId="5" fillId="20" borderId="33" xfId="1" applyNumberFormat="1" applyFont="1" applyFill="1" applyBorder="1" applyAlignment="1" applyProtection="1">
      <alignment vertical="center"/>
      <protection locked="0"/>
    </xf>
    <xf numFmtId="167" fontId="46" fillId="26" borderId="0" xfId="10" applyNumberFormat="1" applyFont="1" applyFill="1" applyBorder="1"/>
    <xf numFmtId="167" fontId="30" fillId="26" borderId="0" xfId="10" applyNumberFormat="1" applyFont="1" applyFill="1" applyAlignment="1">
      <alignment horizontal="center"/>
    </xf>
    <xf numFmtId="167" fontId="90" fillId="26" borderId="0" xfId="10" applyNumberFormat="1" applyFont="1" applyFill="1" applyAlignment="1">
      <alignment horizontal="center"/>
    </xf>
    <xf numFmtId="167" fontId="45" fillId="26" borderId="0" xfId="10" applyNumberFormat="1" applyFont="1" applyFill="1" applyBorder="1"/>
    <xf numFmtId="167" fontId="30" fillId="26" borderId="0" xfId="10" applyNumberFormat="1" applyFont="1" applyFill="1"/>
    <xf numFmtId="180" fontId="45" fillId="26" borderId="0" xfId="1" applyNumberFormat="1" applyFont="1" applyFill="1" applyBorder="1"/>
    <xf numFmtId="180" fontId="90" fillId="22" borderId="0" xfId="1" applyNumberFormat="1" applyFont="1" applyFill="1" applyBorder="1"/>
    <xf numFmtId="167" fontId="90" fillId="17" borderId="0" xfId="10" applyNumberFormat="1" applyFont="1" applyFill="1" applyBorder="1"/>
    <xf numFmtId="3" fontId="5" fillId="20" borderId="16" xfId="9" applyNumberFormat="1" applyFill="1" applyBorder="1" applyProtection="1"/>
    <xf numFmtId="3" fontId="5" fillId="20" borderId="34" xfId="13" applyNumberFormat="1" applyFill="1" applyBorder="1"/>
    <xf numFmtId="0" fontId="60" fillId="17" borderId="0" xfId="13" applyFont="1" applyFill="1"/>
    <xf numFmtId="0" fontId="60" fillId="17" borderId="0" xfId="13" applyFont="1" applyFill="1" applyAlignment="1">
      <alignment wrapText="1"/>
    </xf>
    <xf numFmtId="3" fontId="17" fillId="10" borderId="16" xfId="13" applyNumberFormat="1" applyFont="1" applyFill="1" applyBorder="1" applyAlignment="1">
      <alignment vertical="center"/>
    </xf>
    <xf numFmtId="9" fontId="17" fillId="10" borderId="0" xfId="14" applyFont="1" applyFill="1" applyAlignment="1">
      <alignment vertical="center"/>
    </xf>
    <xf numFmtId="43" fontId="5" fillId="10" borderId="0" xfId="1" applyFont="1" applyFill="1" applyAlignment="1">
      <alignment vertical="center"/>
    </xf>
    <xf numFmtId="43" fontId="5" fillId="20" borderId="16" xfId="1" applyFont="1" applyFill="1" applyBorder="1" applyAlignment="1" applyProtection="1">
      <alignment horizontal="left"/>
    </xf>
    <xf numFmtId="180" fontId="5" fillId="20" borderId="16" xfId="1" applyNumberFormat="1" applyFont="1" applyFill="1" applyBorder="1" applyAlignment="1" applyProtection="1">
      <alignment horizontal="left"/>
    </xf>
    <xf numFmtId="43" fontId="5" fillId="20" borderId="33" xfId="1" applyFont="1" applyFill="1" applyBorder="1" applyAlignment="1" applyProtection="1">
      <alignment horizontal="left"/>
    </xf>
    <xf numFmtId="0" fontId="30" fillId="29" borderId="36" xfId="13" applyFont="1" applyFill="1" applyBorder="1" applyAlignment="1">
      <alignment horizontal="left"/>
    </xf>
    <xf numFmtId="3" fontId="16" fillId="29" borderId="36" xfId="13" applyNumberFormat="1" applyFont="1" applyFill="1" applyBorder="1" applyAlignment="1">
      <alignment horizontal="right"/>
    </xf>
    <xf numFmtId="9" fontId="16" fillId="29" borderId="36" xfId="14" applyNumberFormat="1" applyFont="1" applyFill="1" applyBorder="1" applyAlignment="1">
      <alignment horizontal="right"/>
    </xf>
    <xf numFmtId="0" fontId="53" fillId="13" borderId="0" xfId="13" applyFont="1" applyFill="1"/>
    <xf numFmtId="0" fontId="72" fillId="17" borderId="0" xfId="13" applyFont="1" applyFill="1" applyAlignment="1" applyProtection="1">
      <alignment horizontal="center"/>
    </xf>
    <xf numFmtId="0" fontId="73" fillId="17" borderId="0" xfId="13" applyFont="1" applyFill="1" applyAlignment="1">
      <alignment horizontal="center"/>
    </xf>
    <xf numFmtId="0" fontId="61" fillId="17" borderId="16" xfId="13" applyFont="1" applyFill="1" applyBorder="1"/>
    <xf numFmtId="0" fontId="74" fillId="17" borderId="0" xfId="13" applyFont="1" applyFill="1" applyAlignment="1">
      <alignment horizontal="center"/>
    </xf>
    <xf numFmtId="0" fontId="53" fillId="17" borderId="0" xfId="13" applyFont="1" applyFill="1"/>
    <xf numFmtId="0" fontId="77" fillId="17" borderId="0" xfId="13" applyFont="1" applyFill="1" applyAlignment="1" applyProtection="1">
      <alignment horizontal="center"/>
    </xf>
    <xf numFmtId="0" fontId="44" fillId="17" borderId="35" xfId="13" applyFont="1" applyFill="1" applyBorder="1" applyAlignment="1">
      <alignment horizontal="center"/>
    </xf>
    <xf numFmtId="2" fontId="76" fillId="17" borderId="35" xfId="10" applyNumberFormat="1" applyFont="1" applyFill="1" applyBorder="1" applyAlignment="1" applyProtection="1">
      <alignment horizontal="center" vertical="center"/>
    </xf>
    <xf numFmtId="0" fontId="56" fillId="17" borderId="35" xfId="13" applyFont="1" applyFill="1" applyBorder="1" applyAlignment="1">
      <alignment horizontal="center"/>
    </xf>
    <xf numFmtId="166" fontId="56" fillId="17" borderId="35" xfId="10" applyFont="1" applyFill="1" applyBorder="1" applyAlignment="1">
      <alignment horizontal="center"/>
    </xf>
    <xf numFmtId="0" fontId="56" fillId="17" borderId="0" xfId="13" applyFont="1" applyFill="1"/>
    <xf numFmtId="0" fontId="56" fillId="17" borderId="0" xfId="13" applyFont="1" applyFill="1" applyProtection="1"/>
    <xf numFmtId="0" fontId="53" fillId="17" borderId="0" xfId="13" applyFont="1" applyFill="1" applyAlignment="1">
      <alignment horizontal="center"/>
    </xf>
    <xf numFmtId="49" fontId="71" fillId="17" borderId="0" xfId="12" applyNumberFormat="1" applyFont="1" applyFill="1" applyBorder="1" applyAlignment="1" applyProtection="1">
      <alignment horizontal="center" vertical="center"/>
    </xf>
    <xf numFmtId="176" fontId="53" fillId="17" borderId="0" xfId="10" applyNumberFormat="1" applyFont="1" applyFill="1" applyAlignment="1" applyProtection="1">
      <alignment horizontal="right" vertical="center"/>
    </xf>
    <xf numFmtId="0" fontId="56" fillId="17" borderId="0" xfId="13" applyFont="1" applyFill="1" applyAlignment="1">
      <alignment horizontal="left" vertical="center" indent="13"/>
    </xf>
    <xf numFmtId="0" fontId="56" fillId="17" borderId="0" xfId="13" applyFont="1" applyFill="1" applyAlignment="1">
      <alignment vertical="center"/>
    </xf>
    <xf numFmtId="0" fontId="91" fillId="0" borderId="16" xfId="13" applyFont="1" applyFill="1" applyBorder="1" applyAlignment="1">
      <alignment horizontal="center" vertical="center"/>
    </xf>
    <xf numFmtId="9" fontId="25" fillId="10" borderId="16" xfId="12" applyNumberFormat="1" applyFont="1" applyFill="1" applyBorder="1" applyAlignment="1">
      <alignment horizontal="center"/>
    </xf>
    <xf numFmtId="3" fontId="78" fillId="16" borderId="20" xfId="2" applyNumberFormat="1" applyFont="1" applyFill="1" applyBorder="1" applyAlignment="1">
      <alignment vertical="center"/>
    </xf>
    <xf numFmtId="181" fontId="22" fillId="10" borderId="0" xfId="9" applyNumberFormat="1" applyFont="1" applyFill="1" applyBorder="1" applyAlignment="1">
      <alignment horizontal="center" vertical="center"/>
    </xf>
    <xf numFmtId="0" fontId="42" fillId="14" borderId="0" xfId="13" applyFont="1" applyFill="1"/>
    <xf numFmtId="0" fontId="5" fillId="14" borderId="0" xfId="13" applyFill="1" applyAlignment="1">
      <alignment horizontal="center"/>
    </xf>
    <xf numFmtId="0" fontId="5" fillId="20" borderId="16" xfId="9" applyFont="1" applyFill="1" applyBorder="1" applyAlignment="1" applyProtection="1">
      <alignment horizontal="center" vertical="center"/>
      <protection locked="0"/>
    </xf>
    <xf numFmtId="167" fontId="16" fillId="23" borderId="0" xfId="13" applyNumberFormat="1" applyFont="1" applyFill="1" applyBorder="1" applyAlignment="1">
      <alignment wrapText="1"/>
    </xf>
    <xf numFmtId="167" fontId="16" fillId="17" borderId="16" xfId="10" applyNumberFormat="1" applyFont="1" applyFill="1" applyBorder="1"/>
    <xf numFmtId="167" fontId="16" fillId="17" borderId="64" xfId="10" applyNumberFormat="1" applyFont="1" applyFill="1" applyBorder="1"/>
    <xf numFmtId="167" fontId="5" fillId="10" borderId="64" xfId="10" applyNumberFormat="1" applyFill="1" applyBorder="1"/>
    <xf numFmtId="0" fontId="5" fillId="10" borderId="64" xfId="13" applyFont="1" applyFill="1" applyBorder="1"/>
    <xf numFmtId="0" fontId="5" fillId="10" borderId="64" xfId="13" applyFill="1" applyBorder="1"/>
    <xf numFmtId="0" fontId="5" fillId="10" borderId="65" xfId="13" applyFont="1" applyFill="1" applyBorder="1"/>
    <xf numFmtId="9" fontId="25" fillId="10" borderId="66" xfId="12" applyNumberFormat="1" applyFont="1" applyFill="1" applyBorder="1" applyAlignment="1">
      <alignment horizontal="center"/>
    </xf>
    <xf numFmtId="180" fontId="17" fillId="10" borderId="0" xfId="1" applyNumberFormat="1" applyFont="1" applyFill="1" applyAlignment="1">
      <alignment vertical="center"/>
    </xf>
    <xf numFmtId="0" fontId="30" fillId="29" borderId="0" xfId="9" applyFont="1" applyFill="1" applyBorder="1" applyAlignment="1">
      <alignment horizontal="left" vertical="top"/>
    </xf>
    <xf numFmtId="180" fontId="5" fillId="20" borderId="16" xfId="1" applyNumberFormat="1" applyFont="1" applyFill="1" applyBorder="1" applyAlignment="1">
      <alignment horizontal="center" vertical="top"/>
    </xf>
    <xf numFmtId="9" fontId="30" fillId="29" borderId="0" xfId="12" applyFont="1" applyFill="1" applyBorder="1" applyAlignment="1">
      <alignment horizontal="left" vertical="top"/>
    </xf>
    <xf numFmtId="43" fontId="5" fillId="10" borderId="0" xfId="1" applyFont="1" applyFill="1"/>
    <xf numFmtId="0" fontId="0" fillId="0" borderId="16" xfId="0" applyBorder="1" applyAlignment="1">
      <alignment wrapText="1"/>
    </xf>
    <xf numFmtId="0" fontId="92" fillId="0" borderId="16" xfId="0" applyFont="1" applyBorder="1" applyAlignment="1">
      <alignment wrapText="1"/>
    </xf>
    <xf numFmtId="0" fontId="92" fillId="0" borderId="16" xfId="0" applyFont="1" applyBorder="1" applyAlignment="1">
      <alignment vertical="center" wrapText="1"/>
    </xf>
    <xf numFmtId="0" fontId="93" fillId="0" borderId="0" xfId="13" applyFont="1" applyAlignment="1">
      <alignment wrapText="1"/>
    </xf>
    <xf numFmtId="0" fontId="94" fillId="15" borderId="0" xfId="13" applyFont="1" applyFill="1" applyAlignment="1">
      <alignment horizontal="center" wrapText="1"/>
    </xf>
    <xf numFmtId="9" fontId="93" fillId="0" borderId="0" xfId="13" applyNumberFormat="1" applyFont="1" applyAlignment="1">
      <alignment wrapText="1"/>
    </xf>
    <xf numFmtId="167" fontId="49" fillId="9" borderId="16" xfId="10" applyNumberFormat="1" applyFont="1" applyFill="1" applyBorder="1" applyAlignment="1" applyProtection="1">
      <alignment horizontal="left" wrapText="1"/>
    </xf>
    <xf numFmtId="43" fontId="5" fillId="20" borderId="16" xfId="13" applyNumberFormat="1" applyFill="1" applyBorder="1"/>
    <xf numFmtId="43" fontId="5" fillId="20" borderId="16" xfId="13" applyNumberFormat="1" applyFill="1" applyBorder="1" applyProtection="1">
      <protection locked="0"/>
    </xf>
    <xf numFmtId="0" fontId="17" fillId="21" borderId="0" xfId="13" applyFont="1" applyFill="1"/>
    <xf numFmtId="167" fontId="17" fillId="21" borderId="0" xfId="10" applyNumberFormat="1" applyFont="1" applyFill="1"/>
    <xf numFmtId="0" fontId="5" fillId="21" borderId="0" xfId="13" applyFont="1" applyFill="1"/>
    <xf numFmtId="167" fontId="5" fillId="21" borderId="0" xfId="10" applyNumberFormat="1" applyFont="1" applyFill="1"/>
    <xf numFmtId="167" fontId="95" fillId="21" borderId="0" xfId="10" applyNumberFormat="1" applyFont="1" applyFill="1" applyBorder="1"/>
    <xf numFmtId="9" fontId="5" fillId="10" borderId="0" xfId="14" applyFont="1" applyFill="1" applyAlignment="1">
      <alignment horizontal="center"/>
    </xf>
    <xf numFmtId="4" fontId="53" fillId="16" borderId="16" xfId="13" applyNumberFormat="1" applyFont="1" applyFill="1" applyBorder="1" applyAlignment="1">
      <alignment horizontal="center"/>
    </xf>
    <xf numFmtId="0" fontId="27" fillId="17" borderId="0" xfId="13" applyFont="1" applyFill="1" applyAlignment="1">
      <alignment vertical="center"/>
    </xf>
    <xf numFmtId="0" fontId="46" fillId="0" borderId="0" xfId="9" applyFont="1"/>
    <xf numFmtId="0" fontId="95" fillId="0" borderId="0" xfId="9" applyFont="1"/>
    <xf numFmtId="0" fontId="95" fillId="8" borderId="0" xfId="9" applyFont="1" applyFill="1" applyAlignment="1">
      <alignment wrapText="1"/>
    </xf>
    <xf numFmtId="0" fontId="95" fillId="0" borderId="0" xfId="9" applyFont="1" applyAlignment="1">
      <alignment wrapText="1"/>
    </xf>
    <xf numFmtId="0" fontId="18" fillId="10" borderId="0" xfId="9" applyFont="1" applyFill="1" applyBorder="1" applyAlignment="1">
      <alignment horizontal="center" vertical="center"/>
    </xf>
    <xf numFmtId="0" fontId="95" fillId="11" borderId="0" xfId="9" applyFont="1" applyFill="1"/>
    <xf numFmtId="0" fontId="95" fillId="8" borderId="0" xfId="9" applyFont="1" applyFill="1"/>
    <xf numFmtId="167" fontId="95" fillId="10" borderId="0" xfId="10" applyNumberFormat="1" applyFont="1" applyFill="1" applyAlignment="1">
      <alignment horizontal="right" wrapText="1"/>
    </xf>
    <xf numFmtId="0" fontId="5" fillId="10" borderId="0" xfId="13" applyFill="1" applyAlignment="1">
      <alignment horizontal="left" indent="1"/>
    </xf>
    <xf numFmtId="0" fontId="17" fillId="10" borderId="0" xfId="13" applyFont="1" applyFill="1" applyAlignment="1">
      <alignment horizontal="left" indent="9"/>
    </xf>
    <xf numFmtId="0" fontId="5" fillId="10" borderId="0" xfId="13" applyFill="1" applyAlignment="1">
      <alignment horizontal="left" indent="9"/>
    </xf>
    <xf numFmtId="0" fontId="5" fillId="18" borderId="0" xfId="13" applyFill="1"/>
    <xf numFmtId="0" fontId="17" fillId="18" borderId="0" xfId="13" applyFont="1" applyFill="1" applyAlignment="1">
      <alignment horizontal="center"/>
    </xf>
    <xf numFmtId="9" fontId="0" fillId="18" borderId="0" xfId="12" applyFont="1" applyFill="1"/>
    <xf numFmtId="3" fontId="5" fillId="18" borderId="34" xfId="13" applyNumberFormat="1" applyFill="1" applyBorder="1"/>
    <xf numFmtId="9" fontId="5" fillId="18" borderId="34" xfId="12" applyFill="1" applyBorder="1"/>
    <xf numFmtId="3" fontId="5" fillId="18" borderId="0" xfId="13" applyNumberFormat="1" applyFill="1"/>
    <xf numFmtId="0" fontId="5" fillId="10" borderId="0" xfId="13" applyFill="1" applyAlignment="1">
      <alignment horizontal="left" wrapText="1" indent="1"/>
    </xf>
    <xf numFmtId="0" fontId="17" fillId="8" borderId="0" xfId="13" applyFont="1" applyFill="1" applyAlignment="1">
      <alignment horizontal="center" vertical="center" textRotation="90" wrapText="1"/>
    </xf>
    <xf numFmtId="9" fontId="5" fillId="16" borderId="16" xfId="9" applyNumberFormat="1" applyFont="1" applyFill="1" applyBorder="1" applyAlignment="1" applyProtection="1">
      <alignment vertical="center"/>
      <protection locked="0"/>
    </xf>
    <xf numFmtId="49" fontId="5" fillId="20" borderId="16" xfId="11" applyNumberFormat="1" applyFont="1" applyFill="1" applyBorder="1" applyAlignment="1" applyProtection="1">
      <alignment horizontal="left" vertical="center" wrapText="1"/>
      <protection locked="0"/>
    </xf>
    <xf numFmtId="49" fontId="5" fillId="20" borderId="16" xfId="11" applyNumberFormat="1" applyFont="1" applyFill="1" applyBorder="1" applyAlignment="1" applyProtection="1">
      <alignment horizontal="center" vertical="center" wrapText="1"/>
      <protection locked="0"/>
    </xf>
    <xf numFmtId="0" fontId="17" fillId="8" borderId="0" xfId="13" applyFont="1" applyFill="1" applyAlignment="1">
      <alignment vertical="center" textRotation="90" wrapText="1"/>
    </xf>
    <xf numFmtId="2" fontId="5" fillId="20" borderId="16" xfId="11" applyNumberFormat="1" applyFont="1" applyFill="1" applyBorder="1" applyAlignment="1" applyProtection="1">
      <alignment horizontal="center" vertical="center" wrapText="1"/>
      <protection locked="0"/>
    </xf>
    <xf numFmtId="0" fontId="5" fillId="29" borderId="0" xfId="13" applyFill="1"/>
    <xf numFmtId="0" fontId="60" fillId="37" borderId="0" xfId="13" applyFont="1" applyFill="1" applyBorder="1" applyAlignment="1">
      <alignment horizontal="center" vertical="center"/>
    </xf>
    <xf numFmtId="0" fontId="5" fillId="20" borderId="0" xfId="13" applyFill="1" applyAlignment="1">
      <alignment vertical="center"/>
    </xf>
    <xf numFmtId="9" fontId="5" fillId="36" borderId="0" xfId="13" applyNumberFormat="1" applyFill="1" applyAlignment="1">
      <alignment vertical="center"/>
    </xf>
    <xf numFmtId="0" fontId="5" fillId="10" borderId="0" xfId="13" applyFill="1" applyBorder="1" applyAlignment="1">
      <alignment vertical="center"/>
    </xf>
    <xf numFmtId="0" fontId="5" fillId="20" borderId="19" xfId="9" applyFont="1" applyFill="1" applyBorder="1" applyAlignment="1" applyProtection="1">
      <alignment horizontal="center"/>
    </xf>
    <xf numFmtId="0" fontId="5" fillId="20" borderId="20" xfId="9" applyFont="1" applyFill="1" applyBorder="1" applyAlignment="1" applyProtection="1">
      <alignment horizontal="center"/>
    </xf>
    <xf numFmtId="43" fontId="5" fillId="10" borderId="16" xfId="13" applyNumberFormat="1" applyFill="1" applyBorder="1" applyAlignment="1">
      <alignment vertical="center"/>
    </xf>
    <xf numFmtId="0" fontId="97" fillId="0" borderId="0" xfId="13" applyFont="1"/>
    <xf numFmtId="9" fontId="25" fillId="9" borderId="16" xfId="12" applyFont="1" applyFill="1" applyBorder="1" applyAlignment="1" applyProtection="1">
      <alignment horizontal="center"/>
    </xf>
    <xf numFmtId="0" fontId="59" fillId="36" borderId="0" xfId="13" applyFont="1" applyFill="1" applyAlignment="1"/>
    <xf numFmtId="0" fontId="5" fillId="10" borderId="0" xfId="9" applyFont="1" applyFill="1" applyBorder="1" applyAlignment="1" applyProtection="1">
      <alignment vertical="center" wrapText="1"/>
    </xf>
    <xf numFmtId="0" fontId="99" fillId="10" borderId="0" xfId="13" applyFont="1" applyFill="1"/>
    <xf numFmtId="0" fontId="16" fillId="13" borderId="0" xfId="13" applyFont="1" applyFill="1"/>
    <xf numFmtId="0" fontId="96" fillId="11" borderId="0" xfId="0" applyFont="1" applyFill="1" applyAlignment="1">
      <alignment horizontal="left" wrapText="1"/>
    </xf>
    <xf numFmtId="0" fontId="90" fillId="7" borderId="0" xfId="9" applyFont="1" applyFill="1" applyAlignment="1">
      <alignment horizontal="center"/>
    </xf>
    <xf numFmtId="0" fontId="96" fillId="8" borderId="0" xfId="9" applyFont="1" applyFill="1" applyAlignment="1">
      <alignment horizontal="left" wrapText="1"/>
    </xf>
    <xf numFmtId="0" fontId="96" fillId="8" borderId="5" xfId="9" applyFont="1" applyFill="1" applyBorder="1" applyAlignment="1">
      <alignment horizontal="left" wrapText="1"/>
    </xf>
    <xf numFmtId="0" fontId="96" fillId="8" borderId="0" xfId="9" applyFont="1" applyFill="1" applyBorder="1" applyAlignment="1">
      <alignment horizontal="left" wrapText="1"/>
    </xf>
    <xf numFmtId="0" fontId="96" fillId="8" borderId="0" xfId="0" applyFont="1" applyFill="1" applyAlignment="1">
      <alignment horizontal="left" wrapText="1"/>
    </xf>
    <xf numFmtId="0" fontId="96" fillId="11" borderId="0" xfId="9" applyFont="1" applyFill="1" applyAlignment="1">
      <alignment horizontal="left" vertical="top" wrapText="1"/>
    </xf>
    <xf numFmtId="0" fontId="96" fillId="11" borderId="0" xfId="9" applyFont="1" applyFill="1" applyAlignment="1">
      <alignment horizontal="left" wrapText="1"/>
    </xf>
    <xf numFmtId="0" fontId="19" fillId="29" borderId="0" xfId="9" applyFont="1" applyFill="1" applyAlignment="1" applyProtection="1">
      <alignment horizontal="center" vertical="center"/>
    </xf>
    <xf numFmtId="0" fontId="5" fillId="20" borderId="17" xfId="9" applyFont="1" applyFill="1" applyBorder="1" applyAlignment="1">
      <alignment horizontal="center"/>
    </xf>
    <xf numFmtId="0" fontId="5" fillId="20" borderId="18" xfId="9" applyFill="1" applyBorder="1" applyAlignment="1">
      <alignment horizontal="center"/>
    </xf>
    <xf numFmtId="0" fontId="5" fillId="20" borderId="19" xfId="9" applyFont="1" applyFill="1" applyBorder="1" applyAlignment="1">
      <alignment horizontal="center"/>
    </xf>
    <xf numFmtId="0" fontId="5" fillId="20" borderId="20" xfId="9" applyFill="1" applyBorder="1" applyAlignment="1">
      <alignment horizontal="center"/>
    </xf>
    <xf numFmtId="0" fontId="5" fillId="20" borderId="19" xfId="9" applyFill="1" applyBorder="1" applyAlignment="1">
      <alignment horizontal="center"/>
    </xf>
    <xf numFmtId="0" fontId="5" fillId="20" borderId="17" xfId="9" applyFont="1" applyFill="1" applyBorder="1" applyAlignment="1" applyProtection="1">
      <alignment horizontal="center" vertical="center"/>
      <protection locked="0"/>
    </xf>
    <xf numFmtId="0" fontId="5" fillId="20" borderId="18" xfId="9" applyFont="1" applyFill="1" applyBorder="1" applyAlignment="1" applyProtection="1">
      <alignment horizontal="center" vertical="center"/>
      <protection locked="0"/>
    </xf>
    <xf numFmtId="0" fontId="21" fillId="35" borderId="0" xfId="9" applyFont="1" applyFill="1" applyAlignment="1" applyProtection="1">
      <alignment horizontal="center" vertical="center"/>
      <protection locked="0"/>
    </xf>
    <xf numFmtId="0" fontId="26" fillId="10" borderId="0" xfId="9" applyFont="1" applyFill="1" applyAlignment="1">
      <alignment horizontal="center" vertical="center"/>
    </xf>
    <xf numFmtId="0" fontId="5" fillId="10" borderId="5" xfId="9" applyFont="1" applyFill="1" applyBorder="1" applyAlignment="1">
      <alignment horizontal="left" vertical="center" wrapText="1"/>
    </xf>
    <xf numFmtId="0" fontId="5" fillId="10" borderId="0" xfId="9" applyFont="1" applyFill="1" applyBorder="1" applyAlignment="1">
      <alignment horizontal="left" vertical="center" wrapText="1"/>
    </xf>
    <xf numFmtId="0" fontId="5" fillId="20" borderId="17" xfId="9" applyFont="1" applyFill="1" applyBorder="1" applyAlignment="1" applyProtection="1">
      <alignment horizontal="left" vertical="center"/>
      <protection locked="0"/>
    </xf>
    <xf numFmtId="0" fontId="5" fillId="20" borderId="22" xfId="9" applyFont="1" applyFill="1" applyBorder="1" applyAlignment="1" applyProtection="1">
      <alignment horizontal="left" vertical="center"/>
      <protection locked="0"/>
    </xf>
    <xf numFmtId="0" fontId="5" fillId="20" borderId="18" xfId="9" applyFont="1" applyFill="1" applyBorder="1" applyAlignment="1" applyProtection="1">
      <alignment horizontal="left" vertical="center"/>
      <protection locked="0"/>
    </xf>
    <xf numFmtId="0" fontId="5" fillId="20" borderId="16" xfId="9" applyFont="1" applyFill="1" applyBorder="1" applyAlignment="1" applyProtection="1">
      <alignment horizontal="center" vertical="center"/>
      <protection locked="0"/>
    </xf>
    <xf numFmtId="0" fontId="5" fillId="20" borderId="27" xfId="9" applyFont="1" applyFill="1" applyBorder="1" applyAlignment="1">
      <alignment horizontal="center" vertical="top" wrapText="1"/>
    </xf>
    <xf numFmtId="0" fontId="5" fillId="20" borderId="28" xfId="9" applyFont="1" applyFill="1" applyBorder="1" applyAlignment="1">
      <alignment horizontal="center" vertical="top" wrapText="1"/>
    </xf>
    <xf numFmtId="0" fontId="5" fillId="20" borderId="29" xfId="9" applyFont="1" applyFill="1" applyBorder="1" applyAlignment="1">
      <alignment horizontal="center" vertical="top" wrapText="1"/>
    </xf>
    <xf numFmtId="0" fontId="5" fillId="20" borderId="5" xfId="9" applyFont="1" applyFill="1" applyBorder="1" applyAlignment="1">
      <alignment horizontal="center" vertical="top" wrapText="1"/>
    </xf>
    <xf numFmtId="0" fontId="5" fillId="20" borderId="0" xfId="9" applyFont="1" applyFill="1" applyBorder="1" applyAlignment="1">
      <alignment horizontal="center" vertical="top" wrapText="1"/>
    </xf>
    <xf numFmtId="0" fontId="5" fillId="20" borderId="7" xfId="9" applyFont="1" applyFill="1" applyBorder="1" applyAlignment="1">
      <alignment horizontal="center" vertical="top" wrapText="1"/>
    </xf>
    <xf numFmtId="0" fontId="5" fillId="20" borderId="17" xfId="9" applyFont="1" applyFill="1" applyBorder="1" applyAlignment="1">
      <alignment horizontal="center" vertical="top" wrapText="1"/>
    </xf>
    <xf numFmtId="0" fontId="5" fillId="20" borderId="22" xfId="9" applyFont="1" applyFill="1" applyBorder="1" applyAlignment="1">
      <alignment horizontal="center" vertical="top" wrapText="1"/>
    </xf>
    <xf numFmtId="0" fontId="5" fillId="20" borderId="18" xfId="9" applyFont="1" applyFill="1" applyBorder="1" applyAlignment="1">
      <alignment horizontal="center" vertical="top" wrapText="1"/>
    </xf>
    <xf numFmtId="0" fontId="5" fillId="20" borderId="19" xfId="9" applyFont="1" applyFill="1" applyBorder="1" applyAlignment="1" applyProtection="1">
      <alignment horizontal="center" vertical="center"/>
      <protection locked="0"/>
    </xf>
    <xf numFmtId="0" fontId="5" fillId="20" borderId="20" xfId="9" applyFont="1" applyFill="1" applyBorder="1" applyAlignment="1" applyProtection="1">
      <alignment horizontal="center" vertical="center"/>
      <protection locked="0"/>
    </xf>
    <xf numFmtId="0" fontId="5" fillId="20" borderId="27" xfId="9" applyFont="1" applyFill="1" applyBorder="1" applyAlignment="1" applyProtection="1">
      <alignment horizontal="center" vertical="center"/>
      <protection locked="0"/>
    </xf>
    <xf numFmtId="0" fontId="5" fillId="20" borderId="28" xfId="9" applyFont="1" applyFill="1" applyBorder="1" applyAlignment="1" applyProtection="1">
      <alignment horizontal="center" vertical="center"/>
      <protection locked="0"/>
    </xf>
    <xf numFmtId="0" fontId="5" fillId="10" borderId="5" xfId="9" applyFont="1" applyFill="1" applyBorder="1" applyAlignment="1">
      <alignment horizontal="left" vertical="center" indent="6"/>
    </xf>
    <xf numFmtId="0" fontId="5" fillId="10" borderId="7" xfId="9" applyFont="1" applyFill="1" applyBorder="1" applyAlignment="1">
      <alignment horizontal="left" vertical="center" indent="6"/>
    </xf>
    <xf numFmtId="0" fontId="5" fillId="10" borderId="5" xfId="9" applyFont="1" applyFill="1" applyBorder="1" applyAlignment="1">
      <alignment horizontal="right" vertical="center"/>
    </xf>
    <xf numFmtId="0" fontId="5" fillId="10" borderId="7" xfId="9" applyFont="1" applyFill="1" applyBorder="1" applyAlignment="1">
      <alignment horizontal="right" vertical="center"/>
    </xf>
    <xf numFmtId="0" fontId="33" fillId="16" borderId="0" xfId="13" applyFont="1" applyFill="1" applyBorder="1" applyAlignment="1" applyProtection="1">
      <alignment horizontal="left" vertical="center" wrapText="1"/>
    </xf>
    <xf numFmtId="0" fontId="33" fillId="16" borderId="7" xfId="13" applyFont="1" applyFill="1" applyBorder="1" applyAlignment="1" applyProtection="1">
      <alignment horizontal="left" vertical="center" wrapText="1"/>
    </xf>
    <xf numFmtId="0" fontId="5" fillId="0" borderId="16" xfId="13" applyFont="1" applyBorder="1" applyAlignment="1" applyProtection="1">
      <alignment horizontal="left" vertical="top" wrapText="1"/>
      <protection locked="0"/>
    </xf>
    <xf numFmtId="0" fontId="33" fillId="16" borderId="0" xfId="13" applyFont="1" applyFill="1" applyAlignment="1" applyProtection="1">
      <alignment horizontal="left" vertical="center" wrapText="1"/>
    </xf>
    <xf numFmtId="0" fontId="5" fillId="0" borderId="33" xfId="13" applyFont="1" applyBorder="1" applyAlignment="1">
      <alignment horizontal="center" vertical="center"/>
    </xf>
    <xf numFmtId="0" fontId="5" fillId="0" borderId="6" xfId="13" applyFont="1" applyBorder="1" applyAlignment="1">
      <alignment horizontal="center" vertical="center"/>
    </xf>
    <xf numFmtId="0" fontId="5" fillId="0" borderId="21" xfId="13" applyFont="1" applyBorder="1" applyAlignment="1">
      <alignment horizontal="center" vertical="center"/>
    </xf>
    <xf numFmtId="170" fontId="98" fillId="10" borderId="0" xfId="10" applyNumberFormat="1" applyFont="1" applyFill="1" applyAlignment="1">
      <alignment vertical="top" wrapText="1"/>
    </xf>
    <xf numFmtId="0" fontId="5" fillId="0" borderId="27" xfId="13" applyFont="1" applyBorder="1" applyAlignment="1" applyProtection="1">
      <alignment horizontal="left" vertical="top" wrapText="1"/>
      <protection locked="0"/>
    </xf>
    <xf numFmtId="0" fontId="5" fillId="0" borderId="28" xfId="13" applyFont="1" applyBorder="1" applyAlignment="1" applyProtection="1">
      <alignment horizontal="left" vertical="top" wrapText="1"/>
      <protection locked="0"/>
    </xf>
    <xf numFmtId="0" fontId="5" fillId="0" borderId="29" xfId="13" applyFont="1" applyBorder="1" applyAlignment="1" applyProtection="1">
      <alignment horizontal="left" vertical="top" wrapText="1"/>
      <protection locked="0"/>
    </xf>
    <xf numFmtId="0" fontId="5" fillId="0" borderId="17" xfId="13" applyFont="1" applyBorder="1" applyAlignment="1" applyProtection="1">
      <alignment horizontal="left" vertical="top" wrapText="1"/>
      <protection locked="0"/>
    </xf>
    <xf numFmtId="0" fontId="5" fillId="0" borderId="22" xfId="13" applyFont="1" applyBorder="1" applyAlignment="1" applyProtection="1">
      <alignment horizontal="left" vertical="top" wrapText="1"/>
      <protection locked="0"/>
    </xf>
    <xf numFmtId="0" fontId="5" fillId="0" borderId="18" xfId="13" applyFont="1" applyBorder="1" applyAlignment="1" applyProtection="1">
      <alignment horizontal="left" vertical="top" wrapText="1"/>
      <protection locked="0"/>
    </xf>
    <xf numFmtId="0" fontId="5" fillId="0" borderId="27" xfId="13" applyFont="1" applyBorder="1" applyAlignment="1">
      <alignment horizontal="left" vertical="top" wrapText="1"/>
    </xf>
    <xf numFmtId="0" fontId="5" fillId="0" borderId="28" xfId="13" applyFont="1" applyBorder="1" applyAlignment="1">
      <alignment horizontal="left" vertical="top" wrapText="1"/>
    </xf>
    <xf numFmtId="0" fontId="5" fillId="0" borderId="29" xfId="13" applyFont="1" applyBorder="1" applyAlignment="1">
      <alignment horizontal="left" vertical="top" wrapText="1"/>
    </xf>
    <xf numFmtId="0" fontId="5" fillId="0" borderId="5" xfId="13" applyFont="1" applyBorder="1" applyAlignment="1">
      <alignment horizontal="left" vertical="top" wrapText="1"/>
    </xf>
    <xf numFmtId="0" fontId="5" fillId="0" borderId="0" xfId="13" applyFont="1" applyBorder="1" applyAlignment="1">
      <alignment horizontal="left" vertical="top" wrapText="1"/>
    </xf>
    <xf numFmtId="0" fontId="5" fillId="0" borderId="7" xfId="13" applyFont="1" applyBorder="1" applyAlignment="1">
      <alignment horizontal="left" vertical="top" wrapText="1"/>
    </xf>
    <xf numFmtId="0" fontId="5" fillId="0" borderId="30" xfId="13" applyFont="1" applyBorder="1" applyAlignment="1">
      <alignment horizontal="left" vertical="top" wrapText="1"/>
    </xf>
    <xf numFmtId="0" fontId="5" fillId="0" borderId="31" xfId="13" applyFont="1" applyBorder="1" applyAlignment="1">
      <alignment horizontal="left" vertical="top" wrapText="1"/>
    </xf>
    <xf numFmtId="0" fontId="5" fillId="0" borderId="32" xfId="13" applyFont="1" applyBorder="1" applyAlignment="1">
      <alignment horizontal="left" vertical="top" wrapText="1"/>
    </xf>
    <xf numFmtId="0" fontId="20" fillId="17" borderId="0" xfId="13" applyFont="1" applyFill="1" applyAlignment="1" applyProtection="1">
      <alignment horizontal="center" vertical="center"/>
    </xf>
    <xf numFmtId="0" fontId="16" fillId="17" borderId="19" xfId="13" applyFont="1" applyFill="1" applyBorder="1" applyAlignment="1">
      <alignment horizontal="center"/>
    </xf>
    <xf numFmtId="0" fontId="16" fillId="17" borderId="23" xfId="13" applyFont="1" applyFill="1" applyBorder="1" applyAlignment="1">
      <alignment horizontal="center"/>
    </xf>
    <xf numFmtId="0" fontId="16" fillId="17" borderId="68" xfId="13" applyFont="1" applyFill="1" applyBorder="1" applyAlignment="1">
      <alignment horizontal="center"/>
    </xf>
    <xf numFmtId="0" fontId="17" fillId="10" borderId="0" xfId="13" applyFont="1" applyFill="1" applyAlignment="1">
      <alignment horizontal="center"/>
    </xf>
    <xf numFmtId="0" fontId="17" fillId="10" borderId="7" xfId="13" applyFont="1" applyFill="1" applyBorder="1" applyAlignment="1">
      <alignment horizontal="center"/>
    </xf>
    <xf numFmtId="0" fontId="5" fillId="0" borderId="19" xfId="13" applyBorder="1" applyAlignment="1">
      <alignment horizontal="center"/>
    </xf>
    <xf numFmtId="0" fontId="5" fillId="0" borderId="23" xfId="13" applyBorder="1" applyAlignment="1">
      <alignment horizontal="center"/>
    </xf>
    <xf numFmtId="0" fontId="5" fillId="0" borderId="68" xfId="13" applyBorder="1" applyAlignment="1">
      <alignment horizontal="center"/>
    </xf>
    <xf numFmtId="0" fontId="5" fillId="0" borderId="0" xfId="13" applyFont="1" applyAlignment="1">
      <alignment horizontal="center"/>
    </xf>
    <xf numFmtId="0" fontId="60" fillId="17" borderId="0" xfId="13" applyFont="1" applyFill="1" applyAlignment="1">
      <alignment horizontal="center"/>
    </xf>
    <xf numFmtId="0" fontId="47" fillId="17" borderId="0" xfId="13" applyFont="1" applyFill="1" applyAlignment="1">
      <alignment horizontal="center"/>
    </xf>
    <xf numFmtId="0" fontId="17" fillId="20" borderId="0" xfId="13" applyFont="1" applyFill="1" applyAlignment="1">
      <alignment horizontal="center"/>
    </xf>
    <xf numFmtId="0" fontId="41" fillId="17" borderId="0" xfId="13" applyFont="1" applyFill="1" applyAlignment="1">
      <alignment horizontal="center" wrapText="1"/>
    </xf>
    <xf numFmtId="167" fontId="16" fillId="17" borderId="0" xfId="10" applyNumberFormat="1" applyFont="1" applyFill="1" applyAlignment="1">
      <alignment horizontal="left" wrapText="1"/>
    </xf>
    <xf numFmtId="0" fontId="17" fillId="10" borderId="0" xfId="13" applyFont="1" applyFill="1" applyAlignment="1">
      <alignment horizontal="left" wrapText="1"/>
    </xf>
    <xf numFmtId="0" fontId="41" fillId="17" borderId="0" xfId="13" applyFont="1" applyFill="1" applyBorder="1" applyAlignment="1">
      <alignment horizontal="left"/>
    </xf>
    <xf numFmtId="0" fontId="41" fillId="17" borderId="67" xfId="13" applyFont="1" applyFill="1" applyBorder="1" applyAlignment="1">
      <alignment horizontal="left"/>
    </xf>
    <xf numFmtId="0" fontId="55" fillId="0" borderId="0" xfId="13" applyFont="1" applyAlignment="1">
      <alignment horizontal="left" vertical="center" wrapText="1"/>
    </xf>
    <xf numFmtId="0" fontId="5" fillId="20" borderId="0" xfId="9" applyFont="1" applyFill="1" applyBorder="1" applyAlignment="1" applyProtection="1">
      <alignment horizontal="center"/>
    </xf>
    <xf numFmtId="0" fontId="5" fillId="20" borderId="19" xfId="9" applyFont="1" applyFill="1" applyBorder="1" applyAlignment="1" applyProtection="1">
      <alignment horizontal="left"/>
    </xf>
    <xf numFmtId="0" fontId="5" fillId="20" borderId="20" xfId="9" applyFont="1" applyFill="1" applyBorder="1" applyAlignment="1" applyProtection="1">
      <alignment horizontal="left"/>
    </xf>
    <xf numFmtId="0" fontId="5" fillId="20" borderId="19" xfId="9" applyFont="1" applyFill="1" applyBorder="1" applyAlignment="1" applyProtection="1">
      <alignment horizontal="center"/>
    </xf>
    <xf numFmtId="0" fontId="5" fillId="20" borderId="20" xfId="9" applyFont="1" applyFill="1" applyBorder="1" applyAlignment="1" applyProtection="1">
      <alignment horizontal="center"/>
    </xf>
    <xf numFmtId="0" fontId="56" fillId="37" borderId="0" xfId="13" applyFont="1" applyFill="1" applyAlignment="1">
      <alignment horizontal="left"/>
    </xf>
    <xf numFmtId="0" fontId="53" fillId="0" borderId="22" xfId="13" applyFont="1" applyFill="1" applyBorder="1" applyAlignment="1">
      <alignment horizontal="center"/>
    </xf>
    <xf numFmtId="0" fontId="56" fillId="7" borderId="37" xfId="13" applyFont="1" applyFill="1" applyBorder="1" applyAlignment="1">
      <alignment horizontal="center" vertical="center"/>
    </xf>
    <xf numFmtId="0" fontId="56" fillId="7" borderId="0" xfId="13" applyFont="1" applyFill="1" applyBorder="1" applyAlignment="1">
      <alignment horizontal="center" vertical="center"/>
    </xf>
    <xf numFmtId="0" fontId="33" fillId="27" borderId="0" xfId="13" applyFont="1" applyFill="1" applyAlignment="1">
      <alignment horizontal="center" vertical="center"/>
    </xf>
    <xf numFmtId="0" fontId="53" fillId="0" borderId="33" xfId="13" applyFont="1" applyFill="1" applyBorder="1" applyAlignment="1" applyProtection="1">
      <alignment horizontal="left" vertical="top" wrapText="1"/>
      <protection locked="0"/>
    </xf>
    <xf numFmtId="0" fontId="53" fillId="0" borderId="19" xfId="13" applyFont="1" applyFill="1" applyBorder="1" applyAlignment="1" applyProtection="1">
      <alignment horizontal="center" vertical="top" wrapText="1"/>
      <protection locked="0"/>
    </xf>
    <xf numFmtId="0" fontId="53" fillId="0" borderId="23" xfId="13" applyFont="1" applyFill="1" applyBorder="1" applyAlignment="1" applyProtection="1">
      <alignment horizontal="center" vertical="top" wrapText="1"/>
      <protection locked="0"/>
    </xf>
    <xf numFmtId="0" fontId="53" fillId="0" borderId="20" xfId="13" applyFont="1" applyFill="1" applyBorder="1" applyAlignment="1" applyProtection="1">
      <alignment horizontal="center" vertical="top" wrapText="1"/>
      <protection locked="0"/>
    </xf>
    <xf numFmtId="0" fontId="53" fillId="0" borderId="19" xfId="13" applyFont="1" applyFill="1" applyBorder="1" applyAlignment="1" applyProtection="1">
      <alignment horizontal="left" vertical="top" wrapText="1"/>
      <protection locked="0"/>
    </xf>
    <xf numFmtId="0" fontId="53" fillId="0" borderId="23" xfId="13" applyFont="1" applyFill="1" applyBorder="1" applyAlignment="1" applyProtection="1">
      <alignment horizontal="left" vertical="top" wrapText="1"/>
      <protection locked="0"/>
    </xf>
    <xf numFmtId="0" fontId="53" fillId="0" borderId="20" xfId="13" applyFont="1" applyFill="1" applyBorder="1" applyAlignment="1" applyProtection="1">
      <alignment horizontal="left" vertical="top" wrapText="1"/>
      <protection locked="0"/>
    </xf>
    <xf numFmtId="0" fontId="53" fillId="0" borderId="27" xfId="13" applyFont="1" applyFill="1" applyBorder="1" applyAlignment="1">
      <alignment horizontal="center"/>
    </xf>
    <xf numFmtId="0" fontId="53" fillId="0" borderId="28" xfId="13" applyFont="1" applyFill="1" applyBorder="1" applyAlignment="1">
      <alignment horizontal="center"/>
    </xf>
    <xf numFmtId="0" fontId="53" fillId="0" borderId="29" xfId="13" applyFont="1" applyFill="1" applyBorder="1" applyAlignment="1">
      <alignment horizontal="center"/>
    </xf>
    <xf numFmtId="0" fontId="53" fillId="0" borderId="17" xfId="13" applyFont="1" applyFill="1" applyBorder="1" applyAlignment="1">
      <alignment horizontal="center"/>
    </xf>
    <xf numFmtId="0" fontId="53" fillId="0" borderId="18" xfId="13" applyFont="1" applyFill="1" applyBorder="1" applyAlignment="1">
      <alignment horizontal="center"/>
    </xf>
    <xf numFmtId="175" fontId="44" fillId="0" borderId="19" xfId="10" applyNumberFormat="1" applyFont="1" applyFill="1" applyBorder="1" applyAlignment="1" applyProtection="1">
      <alignment horizontal="center" vertical="center"/>
      <protection locked="0"/>
    </xf>
    <xf numFmtId="175" fontId="44" fillId="0" borderId="20" xfId="10" applyNumberFormat="1" applyFont="1" applyFill="1" applyBorder="1" applyAlignment="1" applyProtection="1">
      <alignment horizontal="center" vertical="center"/>
      <protection locked="0"/>
    </xf>
    <xf numFmtId="9" fontId="53" fillId="16" borderId="61" xfId="12" applyFont="1" applyFill="1" applyBorder="1" applyAlignment="1" applyProtection="1">
      <alignment horizontal="center" vertical="center"/>
    </xf>
    <xf numFmtId="0" fontId="53" fillId="0" borderId="0" xfId="13" applyFont="1" applyFill="1" applyBorder="1" applyAlignment="1">
      <alignment horizontal="center" vertical="center" wrapText="1"/>
    </xf>
    <xf numFmtId="0" fontId="53" fillId="0" borderId="0" xfId="13" applyFont="1" applyFill="1" applyBorder="1" applyAlignment="1">
      <alignment horizontal="center" wrapText="1"/>
    </xf>
    <xf numFmtId="0" fontId="53" fillId="0" borderId="7" xfId="13" applyFont="1" applyFill="1" applyBorder="1" applyAlignment="1">
      <alignment horizontal="center" wrapText="1"/>
    </xf>
    <xf numFmtId="0" fontId="56" fillId="17" borderId="37" xfId="13" applyFont="1" applyFill="1" applyBorder="1" applyAlignment="1">
      <alignment horizontal="left" vertical="center"/>
    </xf>
    <xf numFmtId="0" fontId="56" fillId="17" borderId="0" xfId="13" applyFont="1" applyFill="1" applyBorder="1" applyAlignment="1">
      <alignment horizontal="left" vertical="center"/>
    </xf>
    <xf numFmtId="0" fontId="56" fillId="17" borderId="24" xfId="13" applyFont="1" applyFill="1" applyBorder="1" applyAlignment="1">
      <alignment horizontal="center" vertical="center"/>
    </xf>
    <xf numFmtId="0" fontId="56" fillId="17" borderId="25" xfId="13" applyFont="1" applyFill="1" applyBorder="1" applyAlignment="1">
      <alignment horizontal="center" vertical="center"/>
    </xf>
    <xf numFmtId="0" fontId="56" fillId="17" borderId="35" xfId="13" applyFont="1" applyFill="1" applyBorder="1" applyAlignment="1">
      <alignment horizontal="center" vertical="center"/>
    </xf>
    <xf numFmtId="0" fontId="56" fillId="17" borderId="38" xfId="13" applyFont="1" applyFill="1" applyBorder="1" applyAlignment="1">
      <alignment horizontal="center" vertical="center"/>
    </xf>
    <xf numFmtId="0" fontId="61" fillId="17" borderId="19" xfId="13" applyFont="1" applyFill="1" applyBorder="1" applyAlignment="1">
      <alignment horizontal="center"/>
    </xf>
    <xf numFmtId="0" fontId="61" fillId="17" borderId="20" xfId="13" applyFont="1" applyFill="1" applyBorder="1" applyAlignment="1">
      <alignment horizontal="center"/>
    </xf>
    <xf numFmtId="0" fontId="61" fillId="29" borderId="0" xfId="13" applyFont="1" applyFill="1" applyBorder="1" applyAlignment="1">
      <alignment horizontal="center"/>
    </xf>
    <xf numFmtId="0" fontId="61" fillId="29" borderId="7" xfId="13" applyFont="1" applyFill="1" applyBorder="1" applyAlignment="1">
      <alignment horizontal="center"/>
    </xf>
    <xf numFmtId="0" fontId="56" fillId="21" borderId="0" xfId="13" applyFont="1" applyFill="1" applyAlignment="1">
      <alignment horizontal="left"/>
    </xf>
    <xf numFmtId="0" fontId="27" fillId="29" borderId="0" xfId="13" applyFont="1" applyFill="1" applyBorder="1" applyAlignment="1">
      <alignment horizontal="center" vertical="center"/>
    </xf>
    <xf numFmtId="0" fontId="43" fillId="0" borderId="24" xfId="13" applyFont="1" applyFill="1" applyBorder="1" applyAlignment="1" applyProtection="1">
      <alignment horizontal="center" vertical="center"/>
    </xf>
    <xf numFmtId="0" fontId="43" fillId="0" borderId="26" xfId="13" applyFont="1" applyFill="1" applyBorder="1" applyAlignment="1" applyProtection="1">
      <alignment horizontal="center" vertical="center"/>
    </xf>
    <xf numFmtId="0" fontId="17" fillId="0" borderId="44" xfId="13" applyFont="1" applyFill="1" applyBorder="1" applyAlignment="1" applyProtection="1">
      <alignment horizontal="center" vertical="center" wrapText="1"/>
    </xf>
    <xf numFmtId="0" fontId="17" fillId="0" borderId="47" xfId="13" applyFont="1" applyFill="1" applyBorder="1" applyAlignment="1" applyProtection="1">
      <alignment horizontal="center" vertical="center" wrapText="1"/>
    </xf>
    <xf numFmtId="0" fontId="17" fillId="0" borderId="24" xfId="13" applyFont="1" applyFill="1" applyBorder="1" applyAlignment="1" applyProtection="1">
      <alignment horizontal="center" vertical="center"/>
    </xf>
    <xf numFmtId="0" fontId="17" fillId="0" borderId="25" xfId="13" applyFont="1" applyFill="1" applyBorder="1" applyAlignment="1" applyProtection="1">
      <alignment horizontal="center" vertical="center"/>
    </xf>
    <xf numFmtId="0" fontId="17" fillId="0" borderId="26" xfId="13" applyFont="1" applyFill="1" applyBorder="1" applyAlignment="1" applyProtection="1">
      <alignment horizontal="center" vertical="center"/>
    </xf>
    <xf numFmtId="0" fontId="4" fillId="5" borderId="10" xfId="4" applyFont="1" applyFill="1" applyBorder="1" applyAlignment="1" applyProtection="1">
      <alignment horizontal="left"/>
      <protection locked="0"/>
    </xf>
    <xf numFmtId="0" fontId="4" fillId="5" borderId="9" xfId="4" applyFont="1" applyFill="1" applyBorder="1" applyAlignment="1" applyProtection="1">
      <alignment horizontal="left"/>
      <protection locked="0"/>
    </xf>
    <xf numFmtId="0" fontId="9" fillId="6" borderId="15" xfId="6" applyFont="1" applyBorder="1" applyAlignment="1">
      <alignment horizontal="right"/>
    </xf>
    <xf numFmtId="0" fontId="9" fillId="6" borderId="14" xfId="6" applyFont="1" applyBorder="1" applyAlignment="1">
      <alignment horizontal="right"/>
    </xf>
    <xf numFmtId="0" fontId="9" fillId="6" borderId="13" xfId="6" applyFont="1" applyBorder="1" applyAlignment="1">
      <alignment horizontal="right"/>
    </xf>
  </cellXfs>
  <cellStyles count="15">
    <cellStyle name="20% - Accent3 2" xfId="6"/>
    <cellStyle name="Calculation 2" xfId="8"/>
    <cellStyle name="Comma" xfId="1" builtinId="3"/>
    <cellStyle name="Comma 2" xfId="10"/>
    <cellStyle name="Currency 2" xfId="5"/>
    <cellStyle name="Input" xfId="2" builtinId="20"/>
    <cellStyle name="Input 2" xfId="7"/>
    <cellStyle name="Normal" xfId="0" builtinId="0"/>
    <cellStyle name="Normal 2" xfId="4"/>
    <cellStyle name="Normal 2 2" xfId="13"/>
    <cellStyle name="Normal 3" xfId="9"/>
    <cellStyle name="Note 2" xfId="11"/>
    <cellStyle name="Output" xfId="3" builtinId="21"/>
    <cellStyle name="Percent" xfId="14" builtinId="5"/>
    <cellStyle name="Percent 2" xfId="12"/>
  </cellStyles>
  <dxfs count="10">
    <dxf>
      <fill>
        <patternFill patternType="solid">
          <fgColor indexed="64"/>
          <bgColor indexed="26"/>
        </patternFill>
      </fill>
    </dxf>
    <dxf>
      <fill>
        <patternFill patternType="solid">
          <fgColor indexed="64"/>
          <bgColor indexed="26"/>
        </patternFill>
      </fill>
      <border diagonalUp="0" diagonalDown="0">
        <left/>
        <right/>
        <top/>
        <bottom style="thin">
          <color indexed="22"/>
        </bottom>
      </border>
    </dxf>
    <dxf>
      <font>
        <color indexed="9"/>
      </font>
      <fill>
        <patternFill patternType="solid">
          <fgColor indexed="64"/>
          <bgColor indexed="9"/>
        </patternFill>
      </fill>
    </dxf>
    <dxf>
      <fill>
        <patternFill patternType="solid">
          <fgColor indexed="64"/>
          <bgColor indexed="26"/>
        </patternFill>
      </fill>
    </dxf>
    <dxf>
      <fill>
        <patternFill patternType="solid">
          <fgColor indexed="64"/>
          <bgColor indexed="26"/>
        </patternFill>
      </fill>
      <border diagonalUp="0" diagonalDown="0">
        <left/>
        <right/>
        <top/>
        <bottom style="thin">
          <color indexed="22"/>
        </bottom>
      </border>
    </dxf>
    <dxf>
      <font>
        <color indexed="9"/>
      </font>
      <fill>
        <patternFill patternType="solid">
          <fgColor indexed="64"/>
          <bgColor indexed="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drawing1.xml><?xml version="1.0" encoding="utf-8"?>
<xdr:wsDr xmlns:xdr="http://schemas.openxmlformats.org/drawingml/2006/spreadsheetDrawing" xmlns:a="http://schemas.openxmlformats.org/drawingml/2006/main">
  <xdr:twoCellAnchor editAs="oneCell">
    <xdr:from>
      <xdr:col>6</xdr:col>
      <xdr:colOff>571500</xdr:colOff>
      <xdr:row>38</xdr:row>
      <xdr:rowOff>146050</xdr:rowOff>
    </xdr:from>
    <xdr:to>
      <xdr:col>6</xdr:col>
      <xdr:colOff>571500</xdr:colOff>
      <xdr:row>40</xdr:row>
      <xdr:rowOff>37042</xdr:rowOff>
    </xdr:to>
    <xdr:sp macro="" textlink="">
      <xdr:nvSpPr>
        <xdr:cNvPr id="2" name="TextBox 1"/>
        <xdr:cNvSpPr txBox="1">
          <a:spLocks noChangeArrowheads="1"/>
        </xdr:cNvSpPr>
      </xdr:nvSpPr>
      <xdr:spPr bwMode="auto">
        <a:xfrm>
          <a:off x="12382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38</xdr:row>
      <xdr:rowOff>146050</xdr:rowOff>
    </xdr:from>
    <xdr:to>
      <xdr:col>6</xdr:col>
      <xdr:colOff>571500</xdr:colOff>
      <xdr:row>40</xdr:row>
      <xdr:rowOff>37042</xdr:rowOff>
    </xdr:to>
    <xdr:sp macro="" textlink="">
      <xdr:nvSpPr>
        <xdr:cNvPr id="3" name="TextBox 2"/>
        <xdr:cNvSpPr txBox="1">
          <a:spLocks noChangeArrowheads="1"/>
        </xdr:cNvSpPr>
      </xdr:nvSpPr>
      <xdr:spPr bwMode="auto">
        <a:xfrm>
          <a:off x="12382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39</xdr:row>
      <xdr:rowOff>152400</xdr:rowOff>
    </xdr:from>
    <xdr:to>
      <xdr:col>6</xdr:col>
      <xdr:colOff>571500</xdr:colOff>
      <xdr:row>40</xdr:row>
      <xdr:rowOff>189442</xdr:rowOff>
    </xdr:to>
    <xdr:sp macro="" textlink="">
      <xdr:nvSpPr>
        <xdr:cNvPr id="4" name="TextBox 3"/>
        <xdr:cNvSpPr txBox="1">
          <a:spLocks noChangeArrowheads="1"/>
        </xdr:cNvSpPr>
      </xdr:nvSpPr>
      <xdr:spPr bwMode="auto">
        <a:xfrm>
          <a:off x="12382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39</xdr:row>
      <xdr:rowOff>152400</xdr:rowOff>
    </xdr:from>
    <xdr:to>
      <xdr:col>6</xdr:col>
      <xdr:colOff>571500</xdr:colOff>
      <xdr:row>40</xdr:row>
      <xdr:rowOff>189442</xdr:rowOff>
    </xdr:to>
    <xdr:sp macro="" textlink="">
      <xdr:nvSpPr>
        <xdr:cNvPr id="5" name="TextBox 4"/>
        <xdr:cNvSpPr txBox="1">
          <a:spLocks noChangeArrowheads="1"/>
        </xdr:cNvSpPr>
      </xdr:nvSpPr>
      <xdr:spPr bwMode="auto">
        <a:xfrm>
          <a:off x="12382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40</xdr:row>
      <xdr:rowOff>152400</xdr:rowOff>
    </xdr:from>
    <xdr:to>
      <xdr:col>6</xdr:col>
      <xdr:colOff>571500</xdr:colOff>
      <xdr:row>41</xdr:row>
      <xdr:rowOff>23283</xdr:rowOff>
    </xdr:to>
    <xdr:sp macro="" textlink="">
      <xdr:nvSpPr>
        <xdr:cNvPr id="6" name="TextBox 5"/>
        <xdr:cNvSpPr txBox="1">
          <a:spLocks noChangeArrowheads="1"/>
        </xdr:cNvSpPr>
      </xdr:nvSpPr>
      <xdr:spPr bwMode="auto">
        <a:xfrm>
          <a:off x="12382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40</xdr:row>
      <xdr:rowOff>152400</xdr:rowOff>
    </xdr:from>
    <xdr:to>
      <xdr:col>6</xdr:col>
      <xdr:colOff>571500</xdr:colOff>
      <xdr:row>41</xdr:row>
      <xdr:rowOff>23283</xdr:rowOff>
    </xdr:to>
    <xdr:sp macro="" textlink="">
      <xdr:nvSpPr>
        <xdr:cNvPr id="7" name="TextBox 6"/>
        <xdr:cNvSpPr txBox="1">
          <a:spLocks noChangeArrowheads="1"/>
        </xdr:cNvSpPr>
      </xdr:nvSpPr>
      <xdr:spPr bwMode="auto">
        <a:xfrm>
          <a:off x="12382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8" name="TextBox 7"/>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9" name="TextBox 8"/>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10" name="TextBox 9"/>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11" name="TextBox 10"/>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12" name="TextBox 11"/>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13" name="TextBox 12"/>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38</xdr:row>
      <xdr:rowOff>146050</xdr:rowOff>
    </xdr:from>
    <xdr:to>
      <xdr:col>6</xdr:col>
      <xdr:colOff>571500</xdr:colOff>
      <xdr:row>40</xdr:row>
      <xdr:rowOff>37042</xdr:rowOff>
    </xdr:to>
    <xdr:sp macro="" textlink="">
      <xdr:nvSpPr>
        <xdr:cNvPr id="14" name="TextBox 13"/>
        <xdr:cNvSpPr txBox="1">
          <a:spLocks noChangeArrowheads="1"/>
        </xdr:cNvSpPr>
      </xdr:nvSpPr>
      <xdr:spPr bwMode="auto">
        <a:xfrm>
          <a:off x="12382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38</xdr:row>
      <xdr:rowOff>146050</xdr:rowOff>
    </xdr:from>
    <xdr:to>
      <xdr:col>6</xdr:col>
      <xdr:colOff>571500</xdr:colOff>
      <xdr:row>40</xdr:row>
      <xdr:rowOff>37042</xdr:rowOff>
    </xdr:to>
    <xdr:sp macro="" textlink="">
      <xdr:nvSpPr>
        <xdr:cNvPr id="15" name="TextBox 14"/>
        <xdr:cNvSpPr txBox="1">
          <a:spLocks noChangeArrowheads="1"/>
        </xdr:cNvSpPr>
      </xdr:nvSpPr>
      <xdr:spPr bwMode="auto">
        <a:xfrm>
          <a:off x="12382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38</xdr:row>
      <xdr:rowOff>146050</xdr:rowOff>
    </xdr:from>
    <xdr:to>
      <xdr:col>6</xdr:col>
      <xdr:colOff>571500</xdr:colOff>
      <xdr:row>40</xdr:row>
      <xdr:rowOff>37042</xdr:rowOff>
    </xdr:to>
    <xdr:sp macro="" textlink="">
      <xdr:nvSpPr>
        <xdr:cNvPr id="16" name="TextBox 15"/>
        <xdr:cNvSpPr txBox="1">
          <a:spLocks noChangeArrowheads="1"/>
        </xdr:cNvSpPr>
      </xdr:nvSpPr>
      <xdr:spPr bwMode="auto">
        <a:xfrm>
          <a:off x="12382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39</xdr:row>
      <xdr:rowOff>152400</xdr:rowOff>
    </xdr:from>
    <xdr:to>
      <xdr:col>6</xdr:col>
      <xdr:colOff>571500</xdr:colOff>
      <xdr:row>40</xdr:row>
      <xdr:rowOff>189442</xdr:rowOff>
    </xdr:to>
    <xdr:sp macro="" textlink="">
      <xdr:nvSpPr>
        <xdr:cNvPr id="17" name="TextBox 16"/>
        <xdr:cNvSpPr txBox="1">
          <a:spLocks noChangeArrowheads="1"/>
        </xdr:cNvSpPr>
      </xdr:nvSpPr>
      <xdr:spPr bwMode="auto">
        <a:xfrm>
          <a:off x="12382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39</xdr:row>
      <xdr:rowOff>152400</xdr:rowOff>
    </xdr:from>
    <xdr:to>
      <xdr:col>6</xdr:col>
      <xdr:colOff>571500</xdr:colOff>
      <xdr:row>40</xdr:row>
      <xdr:rowOff>189442</xdr:rowOff>
    </xdr:to>
    <xdr:sp macro="" textlink="">
      <xdr:nvSpPr>
        <xdr:cNvPr id="18" name="TextBox 17"/>
        <xdr:cNvSpPr txBox="1">
          <a:spLocks noChangeArrowheads="1"/>
        </xdr:cNvSpPr>
      </xdr:nvSpPr>
      <xdr:spPr bwMode="auto">
        <a:xfrm>
          <a:off x="12382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39</xdr:row>
      <xdr:rowOff>152400</xdr:rowOff>
    </xdr:from>
    <xdr:to>
      <xdr:col>6</xdr:col>
      <xdr:colOff>571500</xdr:colOff>
      <xdr:row>40</xdr:row>
      <xdr:rowOff>189442</xdr:rowOff>
    </xdr:to>
    <xdr:sp macro="" textlink="">
      <xdr:nvSpPr>
        <xdr:cNvPr id="19" name="TextBox 18"/>
        <xdr:cNvSpPr txBox="1">
          <a:spLocks noChangeArrowheads="1"/>
        </xdr:cNvSpPr>
      </xdr:nvSpPr>
      <xdr:spPr bwMode="auto">
        <a:xfrm>
          <a:off x="12382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40</xdr:row>
      <xdr:rowOff>152400</xdr:rowOff>
    </xdr:from>
    <xdr:to>
      <xdr:col>6</xdr:col>
      <xdr:colOff>571500</xdr:colOff>
      <xdr:row>41</xdr:row>
      <xdr:rowOff>23283</xdr:rowOff>
    </xdr:to>
    <xdr:sp macro="" textlink="">
      <xdr:nvSpPr>
        <xdr:cNvPr id="20" name="TextBox 19"/>
        <xdr:cNvSpPr txBox="1">
          <a:spLocks noChangeArrowheads="1"/>
        </xdr:cNvSpPr>
      </xdr:nvSpPr>
      <xdr:spPr bwMode="auto">
        <a:xfrm>
          <a:off x="12382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40</xdr:row>
      <xdr:rowOff>152400</xdr:rowOff>
    </xdr:from>
    <xdr:to>
      <xdr:col>6</xdr:col>
      <xdr:colOff>571500</xdr:colOff>
      <xdr:row>41</xdr:row>
      <xdr:rowOff>23283</xdr:rowOff>
    </xdr:to>
    <xdr:sp macro="" textlink="">
      <xdr:nvSpPr>
        <xdr:cNvPr id="21" name="TextBox 20"/>
        <xdr:cNvSpPr txBox="1">
          <a:spLocks noChangeArrowheads="1"/>
        </xdr:cNvSpPr>
      </xdr:nvSpPr>
      <xdr:spPr bwMode="auto">
        <a:xfrm>
          <a:off x="12382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40</xdr:row>
      <xdr:rowOff>152400</xdr:rowOff>
    </xdr:from>
    <xdr:to>
      <xdr:col>6</xdr:col>
      <xdr:colOff>571500</xdr:colOff>
      <xdr:row>41</xdr:row>
      <xdr:rowOff>23283</xdr:rowOff>
    </xdr:to>
    <xdr:sp macro="" textlink="">
      <xdr:nvSpPr>
        <xdr:cNvPr id="22" name="TextBox 21"/>
        <xdr:cNvSpPr txBox="1">
          <a:spLocks noChangeArrowheads="1"/>
        </xdr:cNvSpPr>
      </xdr:nvSpPr>
      <xdr:spPr bwMode="auto">
        <a:xfrm>
          <a:off x="12382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23" name="TextBox 22"/>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24" name="TextBox 23"/>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25" name="TextBox 24"/>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26" name="TextBox 25"/>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27" name="TextBox 26"/>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28" name="TextBox 27"/>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29" name="TextBox 28"/>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30" name="TextBox 29"/>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31" name="TextBox 30"/>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38</xdr:row>
      <xdr:rowOff>146050</xdr:rowOff>
    </xdr:from>
    <xdr:to>
      <xdr:col>7</xdr:col>
      <xdr:colOff>0</xdr:colOff>
      <xdr:row>40</xdr:row>
      <xdr:rowOff>37042</xdr:rowOff>
    </xdr:to>
    <xdr:sp macro="" textlink="">
      <xdr:nvSpPr>
        <xdr:cNvPr id="32" name="TextBox 31"/>
        <xdr:cNvSpPr txBox="1">
          <a:spLocks noChangeArrowheads="1"/>
        </xdr:cNvSpPr>
      </xdr:nvSpPr>
      <xdr:spPr bwMode="auto">
        <a:xfrm>
          <a:off x="23304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38</xdr:row>
      <xdr:rowOff>146050</xdr:rowOff>
    </xdr:from>
    <xdr:to>
      <xdr:col>7</xdr:col>
      <xdr:colOff>0</xdr:colOff>
      <xdr:row>40</xdr:row>
      <xdr:rowOff>37042</xdr:rowOff>
    </xdr:to>
    <xdr:sp macro="" textlink="">
      <xdr:nvSpPr>
        <xdr:cNvPr id="33" name="TextBox 32"/>
        <xdr:cNvSpPr txBox="1">
          <a:spLocks noChangeArrowheads="1"/>
        </xdr:cNvSpPr>
      </xdr:nvSpPr>
      <xdr:spPr bwMode="auto">
        <a:xfrm>
          <a:off x="23304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39</xdr:row>
      <xdr:rowOff>152400</xdr:rowOff>
    </xdr:from>
    <xdr:to>
      <xdr:col>7</xdr:col>
      <xdr:colOff>0</xdr:colOff>
      <xdr:row>40</xdr:row>
      <xdr:rowOff>189442</xdr:rowOff>
    </xdr:to>
    <xdr:sp macro="" textlink="">
      <xdr:nvSpPr>
        <xdr:cNvPr id="34" name="TextBox 33"/>
        <xdr:cNvSpPr txBox="1">
          <a:spLocks noChangeArrowheads="1"/>
        </xdr:cNvSpPr>
      </xdr:nvSpPr>
      <xdr:spPr bwMode="auto">
        <a:xfrm>
          <a:off x="23304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39</xdr:row>
      <xdr:rowOff>152400</xdr:rowOff>
    </xdr:from>
    <xdr:to>
      <xdr:col>7</xdr:col>
      <xdr:colOff>0</xdr:colOff>
      <xdr:row>40</xdr:row>
      <xdr:rowOff>189442</xdr:rowOff>
    </xdr:to>
    <xdr:sp macro="" textlink="">
      <xdr:nvSpPr>
        <xdr:cNvPr id="35" name="TextBox 34"/>
        <xdr:cNvSpPr txBox="1">
          <a:spLocks noChangeArrowheads="1"/>
        </xdr:cNvSpPr>
      </xdr:nvSpPr>
      <xdr:spPr bwMode="auto">
        <a:xfrm>
          <a:off x="23304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40</xdr:row>
      <xdr:rowOff>152400</xdr:rowOff>
    </xdr:from>
    <xdr:to>
      <xdr:col>7</xdr:col>
      <xdr:colOff>0</xdr:colOff>
      <xdr:row>41</xdr:row>
      <xdr:rowOff>23283</xdr:rowOff>
    </xdr:to>
    <xdr:sp macro="" textlink="">
      <xdr:nvSpPr>
        <xdr:cNvPr id="36" name="TextBox 35"/>
        <xdr:cNvSpPr txBox="1">
          <a:spLocks noChangeArrowheads="1"/>
        </xdr:cNvSpPr>
      </xdr:nvSpPr>
      <xdr:spPr bwMode="auto">
        <a:xfrm>
          <a:off x="23304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40</xdr:row>
      <xdr:rowOff>152400</xdr:rowOff>
    </xdr:from>
    <xdr:to>
      <xdr:col>7</xdr:col>
      <xdr:colOff>0</xdr:colOff>
      <xdr:row>41</xdr:row>
      <xdr:rowOff>23283</xdr:rowOff>
    </xdr:to>
    <xdr:sp macro="" textlink="">
      <xdr:nvSpPr>
        <xdr:cNvPr id="37" name="TextBox 36"/>
        <xdr:cNvSpPr txBox="1">
          <a:spLocks noChangeArrowheads="1"/>
        </xdr:cNvSpPr>
      </xdr:nvSpPr>
      <xdr:spPr bwMode="auto">
        <a:xfrm>
          <a:off x="23304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38" name="TextBox 37"/>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39" name="TextBox 38"/>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40" name="TextBox 39"/>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41" name="TextBox 40"/>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42" name="TextBox 41"/>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43" name="TextBox 42"/>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38</xdr:row>
      <xdr:rowOff>146050</xdr:rowOff>
    </xdr:from>
    <xdr:to>
      <xdr:col>7</xdr:col>
      <xdr:colOff>0</xdr:colOff>
      <xdr:row>40</xdr:row>
      <xdr:rowOff>37042</xdr:rowOff>
    </xdr:to>
    <xdr:sp macro="" textlink="">
      <xdr:nvSpPr>
        <xdr:cNvPr id="44" name="TextBox 43"/>
        <xdr:cNvSpPr txBox="1">
          <a:spLocks noChangeArrowheads="1"/>
        </xdr:cNvSpPr>
      </xdr:nvSpPr>
      <xdr:spPr bwMode="auto">
        <a:xfrm>
          <a:off x="23304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38</xdr:row>
      <xdr:rowOff>146050</xdr:rowOff>
    </xdr:from>
    <xdr:to>
      <xdr:col>7</xdr:col>
      <xdr:colOff>0</xdr:colOff>
      <xdr:row>40</xdr:row>
      <xdr:rowOff>37042</xdr:rowOff>
    </xdr:to>
    <xdr:sp macro="" textlink="">
      <xdr:nvSpPr>
        <xdr:cNvPr id="45" name="TextBox 44"/>
        <xdr:cNvSpPr txBox="1">
          <a:spLocks noChangeArrowheads="1"/>
        </xdr:cNvSpPr>
      </xdr:nvSpPr>
      <xdr:spPr bwMode="auto">
        <a:xfrm>
          <a:off x="23304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38</xdr:row>
      <xdr:rowOff>146050</xdr:rowOff>
    </xdr:from>
    <xdr:to>
      <xdr:col>7</xdr:col>
      <xdr:colOff>0</xdr:colOff>
      <xdr:row>40</xdr:row>
      <xdr:rowOff>37042</xdr:rowOff>
    </xdr:to>
    <xdr:sp macro="" textlink="">
      <xdr:nvSpPr>
        <xdr:cNvPr id="46" name="TextBox 45"/>
        <xdr:cNvSpPr txBox="1">
          <a:spLocks noChangeArrowheads="1"/>
        </xdr:cNvSpPr>
      </xdr:nvSpPr>
      <xdr:spPr bwMode="auto">
        <a:xfrm>
          <a:off x="23304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39</xdr:row>
      <xdr:rowOff>152400</xdr:rowOff>
    </xdr:from>
    <xdr:to>
      <xdr:col>7</xdr:col>
      <xdr:colOff>0</xdr:colOff>
      <xdr:row>40</xdr:row>
      <xdr:rowOff>189442</xdr:rowOff>
    </xdr:to>
    <xdr:sp macro="" textlink="">
      <xdr:nvSpPr>
        <xdr:cNvPr id="47" name="TextBox 46"/>
        <xdr:cNvSpPr txBox="1">
          <a:spLocks noChangeArrowheads="1"/>
        </xdr:cNvSpPr>
      </xdr:nvSpPr>
      <xdr:spPr bwMode="auto">
        <a:xfrm>
          <a:off x="23304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39</xdr:row>
      <xdr:rowOff>152400</xdr:rowOff>
    </xdr:from>
    <xdr:to>
      <xdr:col>7</xdr:col>
      <xdr:colOff>0</xdr:colOff>
      <xdr:row>40</xdr:row>
      <xdr:rowOff>189442</xdr:rowOff>
    </xdr:to>
    <xdr:sp macro="" textlink="">
      <xdr:nvSpPr>
        <xdr:cNvPr id="48" name="TextBox 47"/>
        <xdr:cNvSpPr txBox="1">
          <a:spLocks noChangeArrowheads="1"/>
        </xdr:cNvSpPr>
      </xdr:nvSpPr>
      <xdr:spPr bwMode="auto">
        <a:xfrm>
          <a:off x="23304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39</xdr:row>
      <xdr:rowOff>152400</xdr:rowOff>
    </xdr:from>
    <xdr:to>
      <xdr:col>7</xdr:col>
      <xdr:colOff>0</xdr:colOff>
      <xdr:row>40</xdr:row>
      <xdr:rowOff>189442</xdr:rowOff>
    </xdr:to>
    <xdr:sp macro="" textlink="">
      <xdr:nvSpPr>
        <xdr:cNvPr id="49" name="TextBox 48"/>
        <xdr:cNvSpPr txBox="1">
          <a:spLocks noChangeArrowheads="1"/>
        </xdr:cNvSpPr>
      </xdr:nvSpPr>
      <xdr:spPr bwMode="auto">
        <a:xfrm>
          <a:off x="23304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40</xdr:row>
      <xdr:rowOff>152400</xdr:rowOff>
    </xdr:from>
    <xdr:to>
      <xdr:col>7</xdr:col>
      <xdr:colOff>0</xdr:colOff>
      <xdr:row>41</xdr:row>
      <xdr:rowOff>23283</xdr:rowOff>
    </xdr:to>
    <xdr:sp macro="" textlink="">
      <xdr:nvSpPr>
        <xdr:cNvPr id="50" name="TextBox 49"/>
        <xdr:cNvSpPr txBox="1">
          <a:spLocks noChangeArrowheads="1"/>
        </xdr:cNvSpPr>
      </xdr:nvSpPr>
      <xdr:spPr bwMode="auto">
        <a:xfrm>
          <a:off x="23304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40</xdr:row>
      <xdr:rowOff>152400</xdr:rowOff>
    </xdr:from>
    <xdr:to>
      <xdr:col>7</xdr:col>
      <xdr:colOff>0</xdr:colOff>
      <xdr:row>41</xdr:row>
      <xdr:rowOff>23283</xdr:rowOff>
    </xdr:to>
    <xdr:sp macro="" textlink="">
      <xdr:nvSpPr>
        <xdr:cNvPr id="51" name="TextBox 50"/>
        <xdr:cNvSpPr txBox="1">
          <a:spLocks noChangeArrowheads="1"/>
        </xdr:cNvSpPr>
      </xdr:nvSpPr>
      <xdr:spPr bwMode="auto">
        <a:xfrm>
          <a:off x="23304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40</xdr:row>
      <xdr:rowOff>152400</xdr:rowOff>
    </xdr:from>
    <xdr:to>
      <xdr:col>7</xdr:col>
      <xdr:colOff>0</xdr:colOff>
      <xdr:row>41</xdr:row>
      <xdr:rowOff>23283</xdr:rowOff>
    </xdr:to>
    <xdr:sp macro="" textlink="">
      <xdr:nvSpPr>
        <xdr:cNvPr id="52" name="TextBox 51"/>
        <xdr:cNvSpPr txBox="1">
          <a:spLocks noChangeArrowheads="1"/>
        </xdr:cNvSpPr>
      </xdr:nvSpPr>
      <xdr:spPr bwMode="auto">
        <a:xfrm>
          <a:off x="23304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53" name="TextBox 52"/>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54" name="TextBox 53"/>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55" name="TextBox 54"/>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56" name="TextBox 55"/>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57" name="TextBox 56"/>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58" name="TextBox 57"/>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59" name="TextBox 58"/>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60" name="TextBox 59"/>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61" name="TextBox 60"/>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62" name="TextBox 61"/>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63" name="TextBox 62"/>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64" name="TextBox 63"/>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65" name="TextBox 64"/>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6</xdr:col>
      <xdr:colOff>571500</xdr:colOff>
      <xdr:row>41</xdr:row>
      <xdr:rowOff>146050</xdr:rowOff>
    </xdr:from>
    <xdr:to>
      <xdr:col>6</xdr:col>
      <xdr:colOff>571500</xdr:colOff>
      <xdr:row>42</xdr:row>
      <xdr:rowOff>130175</xdr:rowOff>
    </xdr:to>
    <xdr:sp macro="" textlink="">
      <xdr:nvSpPr>
        <xdr:cNvPr id="66" name="TextBox 65"/>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67" name="TextBox 66"/>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68" name="TextBox 67"/>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69" name="TextBox 68"/>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70" name="TextBox 69"/>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7</xdr:col>
      <xdr:colOff>0</xdr:colOff>
      <xdr:row>41</xdr:row>
      <xdr:rowOff>146050</xdr:rowOff>
    </xdr:from>
    <xdr:to>
      <xdr:col>7</xdr:col>
      <xdr:colOff>0</xdr:colOff>
      <xdr:row>42</xdr:row>
      <xdr:rowOff>130175</xdr:rowOff>
    </xdr:to>
    <xdr:sp macro="" textlink="">
      <xdr:nvSpPr>
        <xdr:cNvPr id="71" name="TextBox 70"/>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571500</xdr:colOff>
      <xdr:row>82</xdr:row>
      <xdr:rowOff>152400</xdr:rowOff>
    </xdr:from>
    <xdr:to>
      <xdr:col>1</xdr:col>
      <xdr:colOff>571500</xdr:colOff>
      <xdr:row>84</xdr:row>
      <xdr:rowOff>6350</xdr:rowOff>
    </xdr:to>
    <xdr:sp macro="" textlink="">
      <xdr:nvSpPr>
        <xdr:cNvPr id="2" name="TextBox 1"/>
        <xdr:cNvSpPr txBox="1">
          <a:spLocks noChangeArrowheads="1"/>
        </xdr:cNvSpPr>
      </xdr:nvSpPr>
      <xdr:spPr bwMode="auto">
        <a:xfrm>
          <a:off x="1238250" y="16954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83</xdr:row>
      <xdr:rowOff>152400</xdr:rowOff>
    </xdr:from>
    <xdr:to>
      <xdr:col>1</xdr:col>
      <xdr:colOff>571500</xdr:colOff>
      <xdr:row>85</xdr:row>
      <xdr:rowOff>0</xdr:rowOff>
    </xdr:to>
    <xdr:sp macro="" textlink="">
      <xdr:nvSpPr>
        <xdr:cNvPr id="3" name="TextBox 2"/>
        <xdr:cNvSpPr txBox="1">
          <a:spLocks noChangeArrowheads="1"/>
        </xdr:cNvSpPr>
      </xdr:nvSpPr>
      <xdr:spPr bwMode="auto">
        <a:xfrm>
          <a:off x="1238250" y="1854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84</xdr:row>
      <xdr:rowOff>146050</xdr:rowOff>
    </xdr:from>
    <xdr:to>
      <xdr:col>1</xdr:col>
      <xdr:colOff>571500</xdr:colOff>
      <xdr:row>85</xdr:row>
      <xdr:rowOff>158750</xdr:rowOff>
    </xdr:to>
    <xdr:sp macro="" textlink="">
      <xdr:nvSpPr>
        <xdr:cNvPr id="4" name="TextBox 3"/>
        <xdr:cNvSpPr txBox="1">
          <a:spLocks noChangeArrowheads="1"/>
        </xdr:cNvSpPr>
      </xdr:nvSpPr>
      <xdr:spPr bwMode="auto">
        <a:xfrm>
          <a:off x="1238250" y="20129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85</xdr:row>
      <xdr:rowOff>146050</xdr:rowOff>
    </xdr:from>
    <xdr:to>
      <xdr:col>1</xdr:col>
      <xdr:colOff>571500</xdr:colOff>
      <xdr:row>87</xdr:row>
      <xdr:rowOff>0</xdr:rowOff>
    </xdr:to>
    <xdr:sp macro="" textlink="">
      <xdr:nvSpPr>
        <xdr:cNvPr id="5" name="TextBox 4"/>
        <xdr:cNvSpPr txBox="1">
          <a:spLocks noChangeArrowheads="1"/>
        </xdr:cNvSpPr>
      </xdr:nvSpPr>
      <xdr:spPr bwMode="auto">
        <a:xfrm>
          <a:off x="1238250" y="21780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85</xdr:row>
      <xdr:rowOff>146050</xdr:rowOff>
    </xdr:from>
    <xdr:to>
      <xdr:col>1</xdr:col>
      <xdr:colOff>571500</xdr:colOff>
      <xdr:row>87</xdr:row>
      <xdr:rowOff>0</xdr:rowOff>
    </xdr:to>
    <xdr:sp macro="" textlink="">
      <xdr:nvSpPr>
        <xdr:cNvPr id="6" name="TextBox 5"/>
        <xdr:cNvSpPr txBox="1">
          <a:spLocks noChangeArrowheads="1"/>
        </xdr:cNvSpPr>
      </xdr:nvSpPr>
      <xdr:spPr bwMode="auto">
        <a:xfrm>
          <a:off x="1238250" y="21780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86</xdr:row>
      <xdr:rowOff>152400</xdr:rowOff>
    </xdr:from>
    <xdr:to>
      <xdr:col>1</xdr:col>
      <xdr:colOff>571500</xdr:colOff>
      <xdr:row>88</xdr:row>
      <xdr:rowOff>0</xdr:rowOff>
    </xdr:to>
    <xdr:sp macro="" textlink="">
      <xdr:nvSpPr>
        <xdr:cNvPr id="7" name="TextBox 6"/>
        <xdr:cNvSpPr txBox="1">
          <a:spLocks noChangeArrowheads="1"/>
        </xdr:cNvSpPr>
      </xdr:nvSpPr>
      <xdr:spPr bwMode="auto">
        <a:xfrm>
          <a:off x="1238250" y="23495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86</xdr:row>
      <xdr:rowOff>152400</xdr:rowOff>
    </xdr:from>
    <xdr:to>
      <xdr:col>1</xdr:col>
      <xdr:colOff>571500</xdr:colOff>
      <xdr:row>88</xdr:row>
      <xdr:rowOff>0</xdr:rowOff>
    </xdr:to>
    <xdr:sp macro="" textlink="">
      <xdr:nvSpPr>
        <xdr:cNvPr id="8" name="TextBox 7"/>
        <xdr:cNvSpPr txBox="1">
          <a:spLocks noChangeArrowheads="1"/>
        </xdr:cNvSpPr>
      </xdr:nvSpPr>
      <xdr:spPr bwMode="auto">
        <a:xfrm>
          <a:off x="1238250" y="23495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87</xdr:row>
      <xdr:rowOff>146050</xdr:rowOff>
    </xdr:from>
    <xdr:to>
      <xdr:col>1</xdr:col>
      <xdr:colOff>571500</xdr:colOff>
      <xdr:row>88</xdr:row>
      <xdr:rowOff>158750</xdr:rowOff>
    </xdr:to>
    <xdr:sp macro="" textlink="">
      <xdr:nvSpPr>
        <xdr:cNvPr id="9" name="TextBox 8"/>
        <xdr:cNvSpPr txBox="1">
          <a:spLocks noChangeArrowheads="1"/>
        </xdr:cNvSpPr>
      </xdr:nvSpPr>
      <xdr:spPr bwMode="auto">
        <a:xfrm>
          <a:off x="12382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87</xdr:row>
      <xdr:rowOff>146050</xdr:rowOff>
    </xdr:from>
    <xdr:to>
      <xdr:col>1</xdr:col>
      <xdr:colOff>571500</xdr:colOff>
      <xdr:row>88</xdr:row>
      <xdr:rowOff>158750</xdr:rowOff>
    </xdr:to>
    <xdr:sp macro="" textlink="">
      <xdr:nvSpPr>
        <xdr:cNvPr id="10" name="TextBox 9"/>
        <xdr:cNvSpPr txBox="1">
          <a:spLocks noChangeArrowheads="1"/>
        </xdr:cNvSpPr>
      </xdr:nvSpPr>
      <xdr:spPr bwMode="auto">
        <a:xfrm>
          <a:off x="12382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90</xdr:row>
      <xdr:rowOff>146050</xdr:rowOff>
    </xdr:from>
    <xdr:to>
      <xdr:col>1</xdr:col>
      <xdr:colOff>571500</xdr:colOff>
      <xdr:row>91</xdr:row>
      <xdr:rowOff>158750</xdr:rowOff>
    </xdr:to>
    <xdr:sp macro="" textlink="">
      <xdr:nvSpPr>
        <xdr:cNvPr id="11" name="TextBox 10"/>
        <xdr:cNvSpPr txBox="1">
          <a:spLocks noChangeArrowheads="1"/>
        </xdr:cNvSpPr>
      </xdr:nvSpPr>
      <xdr:spPr bwMode="auto">
        <a:xfrm>
          <a:off x="1238250" y="2997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90</xdr:row>
      <xdr:rowOff>146050</xdr:rowOff>
    </xdr:from>
    <xdr:to>
      <xdr:col>1</xdr:col>
      <xdr:colOff>571500</xdr:colOff>
      <xdr:row>91</xdr:row>
      <xdr:rowOff>158750</xdr:rowOff>
    </xdr:to>
    <xdr:sp macro="" textlink="">
      <xdr:nvSpPr>
        <xdr:cNvPr id="12" name="TextBox 11"/>
        <xdr:cNvSpPr txBox="1">
          <a:spLocks noChangeArrowheads="1"/>
        </xdr:cNvSpPr>
      </xdr:nvSpPr>
      <xdr:spPr bwMode="auto">
        <a:xfrm>
          <a:off x="1238250" y="2997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13" name="TextBox 12"/>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14" name="TextBox 13"/>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15" name="TextBox 14"/>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16" name="TextBox 15"/>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17" name="TextBox 16"/>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18" name="TextBox 17"/>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92</xdr:row>
      <xdr:rowOff>146050</xdr:rowOff>
    </xdr:from>
    <xdr:to>
      <xdr:col>1</xdr:col>
      <xdr:colOff>571500</xdr:colOff>
      <xdr:row>93</xdr:row>
      <xdr:rowOff>158750</xdr:rowOff>
    </xdr:to>
    <xdr:sp macro="" textlink="">
      <xdr:nvSpPr>
        <xdr:cNvPr id="19" name="TextBox 18"/>
        <xdr:cNvSpPr txBox="1">
          <a:spLocks noChangeArrowheads="1"/>
        </xdr:cNvSpPr>
      </xdr:nvSpPr>
      <xdr:spPr bwMode="auto">
        <a:xfrm>
          <a:off x="12382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92</xdr:row>
      <xdr:rowOff>146050</xdr:rowOff>
    </xdr:from>
    <xdr:to>
      <xdr:col>1</xdr:col>
      <xdr:colOff>571500</xdr:colOff>
      <xdr:row>93</xdr:row>
      <xdr:rowOff>158750</xdr:rowOff>
    </xdr:to>
    <xdr:sp macro="" textlink="">
      <xdr:nvSpPr>
        <xdr:cNvPr id="20" name="TextBox 19"/>
        <xdr:cNvSpPr txBox="1">
          <a:spLocks noChangeArrowheads="1"/>
        </xdr:cNvSpPr>
      </xdr:nvSpPr>
      <xdr:spPr bwMode="auto">
        <a:xfrm>
          <a:off x="12382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93</xdr:row>
      <xdr:rowOff>146050</xdr:rowOff>
    </xdr:from>
    <xdr:to>
      <xdr:col>1</xdr:col>
      <xdr:colOff>571500</xdr:colOff>
      <xdr:row>95</xdr:row>
      <xdr:rowOff>0</xdr:rowOff>
    </xdr:to>
    <xdr:sp macro="" textlink="">
      <xdr:nvSpPr>
        <xdr:cNvPr id="21" name="TextBox 20"/>
        <xdr:cNvSpPr txBox="1">
          <a:spLocks noChangeArrowheads="1"/>
        </xdr:cNvSpPr>
      </xdr:nvSpPr>
      <xdr:spPr bwMode="auto">
        <a:xfrm>
          <a:off x="12382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93</xdr:row>
      <xdr:rowOff>146050</xdr:rowOff>
    </xdr:from>
    <xdr:to>
      <xdr:col>1</xdr:col>
      <xdr:colOff>571500</xdr:colOff>
      <xdr:row>95</xdr:row>
      <xdr:rowOff>0</xdr:rowOff>
    </xdr:to>
    <xdr:sp macro="" textlink="">
      <xdr:nvSpPr>
        <xdr:cNvPr id="22" name="TextBox 21"/>
        <xdr:cNvSpPr txBox="1">
          <a:spLocks noChangeArrowheads="1"/>
        </xdr:cNvSpPr>
      </xdr:nvSpPr>
      <xdr:spPr bwMode="auto">
        <a:xfrm>
          <a:off x="12382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94</xdr:row>
      <xdr:rowOff>152400</xdr:rowOff>
    </xdr:from>
    <xdr:to>
      <xdr:col>1</xdr:col>
      <xdr:colOff>571500</xdr:colOff>
      <xdr:row>96</xdr:row>
      <xdr:rowOff>6350</xdr:rowOff>
    </xdr:to>
    <xdr:sp macro="" textlink="">
      <xdr:nvSpPr>
        <xdr:cNvPr id="23" name="TextBox 22"/>
        <xdr:cNvSpPr txBox="1">
          <a:spLocks noChangeArrowheads="1"/>
        </xdr:cNvSpPr>
      </xdr:nvSpPr>
      <xdr:spPr bwMode="auto">
        <a:xfrm>
          <a:off x="12382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94</xdr:row>
      <xdr:rowOff>152400</xdr:rowOff>
    </xdr:from>
    <xdr:to>
      <xdr:col>1</xdr:col>
      <xdr:colOff>571500</xdr:colOff>
      <xdr:row>96</xdr:row>
      <xdr:rowOff>6350</xdr:rowOff>
    </xdr:to>
    <xdr:sp macro="" textlink="">
      <xdr:nvSpPr>
        <xdr:cNvPr id="24" name="TextBox 23"/>
        <xdr:cNvSpPr txBox="1">
          <a:spLocks noChangeArrowheads="1"/>
        </xdr:cNvSpPr>
      </xdr:nvSpPr>
      <xdr:spPr bwMode="auto">
        <a:xfrm>
          <a:off x="12382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95</xdr:row>
      <xdr:rowOff>152400</xdr:rowOff>
    </xdr:from>
    <xdr:to>
      <xdr:col>1</xdr:col>
      <xdr:colOff>571500</xdr:colOff>
      <xdr:row>97</xdr:row>
      <xdr:rowOff>0</xdr:rowOff>
    </xdr:to>
    <xdr:sp macro="" textlink="">
      <xdr:nvSpPr>
        <xdr:cNvPr id="25" name="TextBox 24"/>
        <xdr:cNvSpPr txBox="1">
          <a:spLocks noChangeArrowheads="1"/>
        </xdr:cNvSpPr>
      </xdr:nvSpPr>
      <xdr:spPr bwMode="auto">
        <a:xfrm>
          <a:off x="12382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95</xdr:row>
      <xdr:rowOff>152400</xdr:rowOff>
    </xdr:from>
    <xdr:to>
      <xdr:col>1</xdr:col>
      <xdr:colOff>571500</xdr:colOff>
      <xdr:row>97</xdr:row>
      <xdr:rowOff>0</xdr:rowOff>
    </xdr:to>
    <xdr:sp macro="" textlink="">
      <xdr:nvSpPr>
        <xdr:cNvPr id="26" name="TextBox 25"/>
        <xdr:cNvSpPr txBox="1">
          <a:spLocks noChangeArrowheads="1"/>
        </xdr:cNvSpPr>
      </xdr:nvSpPr>
      <xdr:spPr bwMode="auto">
        <a:xfrm>
          <a:off x="12382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27" name="TextBox 26"/>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28" name="TextBox 27"/>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29" name="TextBox 28"/>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30" name="TextBox 29"/>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31" name="TextBox 30"/>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32" name="TextBox 31"/>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33" name="TextBox 32"/>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34" name="TextBox 33"/>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98</xdr:row>
      <xdr:rowOff>152400</xdr:rowOff>
    </xdr:from>
    <xdr:to>
      <xdr:col>1</xdr:col>
      <xdr:colOff>571500</xdr:colOff>
      <xdr:row>100</xdr:row>
      <xdr:rowOff>6350</xdr:rowOff>
    </xdr:to>
    <xdr:sp macro="" textlink="">
      <xdr:nvSpPr>
        <xdr:cNvPr id="35" name="TextBox 34"/>
        <xdr:cNvSpPr txBox="1">
          <a:spLocks noChangeArrowheads="1"/>
        </xdr:cNvSpPr>
      </xdr:nvSpPr>
      <xdr:spPr bwMode="auto">
        <a:xfrm>
          <a:off x="1238250" y="4305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98</xdr:row>
      <xdr:rowOff>152400</xdr:rowOff>
    </xdr:from>
    <xdr:to>
      <xdr:col>1</xdr:col>
      <xdr:colOff>571500</xdr:colOff>
      <xdr:row>100</xdr:row>
      <xdr:rowOff>6350</xdr:rowOff>
    </xdr:to>
    <xdr:sp macro="" textlink="">
      <xdr:nvSpPr>
        <xdr:cNvPr id="36" name="TextBox 35"/>
        <xdr:cNvSpPr txBox="1">
          <a:spLocks noChangeArrowheads="1"/>
        </xdr:cNvSpPr>
      </xdr:nvSpPr>
      <xdr:spPr bwMode="auto">
        <a:xfrm>
          <a:off x="1238250" y="4305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103</xdr:row>
      <xdr:rowOff>152400</xdr:rowOff>
    </xdr:from>
    <xdr:to>
      <xdr:col>1</xdr:col>
      <xdr:colOff>571500</xdr:colOff>
      <xdr:row>105</xdr:row>
      <xdr:rowOff>6350</xdr:rowOff>
    </xdr:to>
    <xdr:sp macro="" textlink="">
      <xdr:nvSpPr>
        <xdr:cNvPr id="37" name="TextBox 36"/>
        <xdr:cNvSpPr txBox="1">
          <a:spLocks noChangeArrowheads="1"/>
        </xdr:cNvSpPr>
      </xdr:nvSpPr>
      <xdr:spPr bwMode="auto">
        <a:xfrm>
          <a:off x="1238250" y="510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103</xdr:row>
      <xdr:rowOff>152400</xdr:rowOff>
    </xdr:from>
    <xdr:to>
      <xdr:col>1</xdr:col>
      <xdr:colOff>571500</xdr:colOff>
      <xdr:row>105</xdr:row>
      <xdr:rowOff>6350</xdr:rowOff>
    </xdr:to>
    <xdr:sp macro="" textlink="">
      <xdr:nvSpPr>
        <xdr:cNvPr id="38" name="TextBox 37"/>
        <xdr:cNvSpPr txBox="1">
          <a:spLocks noChangeArrowheads="1"/>
        </xdr:cNvSpPr>
      </xdr:nvSpPr>
      <xdr:spPr bwMode="auto">
        <a:xfrm>
          <a:off x="1238250" y="510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104</xdr:row>
      <xdr:rowOff>152400</xdr:rowOff>
    </xdr:from>
    <xdr:to>
      <xdr:col>1</xdr:col>
      <xdr:colOff>571500</xdr:colOff>
      <xdr:row>106</xdr:row>
      <xdr:rowOff>6350</xdr:rowOff>
    </xdr:to>
    <xdr:sp macro="" textlink="">
      <xdr:nvSpPr>
        <xdr:cNvPr id="39" name="TextBox 38"/>
        <xdr:cNvSpPr txBox="1">
          <a:spLocks noChangeArrowheads="1"/>
        </xdr:cNvSpPr>
      </xdr:nvSpPr>
      <xdr:spPr bwMode="auto">
        <a:xfrm>
          <a:off x="1238250" y="526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104</xdr:row>
      <xdr:rowOff>152400</xdr:rowOff>
    </xdr:from>
    <xdr:to>
      <xdr:col>1</xdr:col>
      <xdr:colOff>571500</xdr:colOff>
      <xdr:row>106</xdr:row>
      <xdr:rowOff>6350</xdr:rowOff>
    </xdr:to>
    <xdr:sp macro="" textlink="">
      <xdr:nvSpPr>
        <xdr:cNvPr id="40" name="TextBox 39"/>
        <xdr:cNvSpPr txBox="1">
          <a:spLocks noChangeArrowheads="1"/>
        </xdr:cNvSpPr>
      </xdr:nvSpPr>
      <xdr:spPr bwMode="auto">
        <a:xfrm>
          <a:off x="1238250" y="526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105</xdr:row>
      <xdr:rowOff>152400</xdr:rowOff>
    </xdr:from>
    <xdr:to>
      <xdr:col>1</xdr:col>
      <xdr:colOff>571500</xdr:colOff>
      <xdr:row>107</xdr:row>
      <xdr:rowOff>6350</xdr:rowOff>
    </xdr:to>
    <xdr:sp macro="" textlink="">
      <xdr:nvSpPr>
        <xdr:cNvPr id="41" name="TextBox 40"/>
        <xdr:cNvSpPr txBox="1">
          <a:spLocks noChangeArrowheads="1"/>
        </xdr:cNvSpPr>
      </xdr:nvSpPr>
      <xdr:spPr bwMode="auto">
        <a:xfrm>
          <a:off x="1238250" y="542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105</xdr:row>
      <xdr:rowOff>152400</xdr:rowOff>
    </xdr:from>
    <xdr:to>
      <xdr:col>1</xdr:col>
      <xdr:colOff>571500</xdr:colOff>
      <xdr:row>107</xdr:row>
      <xdr:rowOff>6350</xdr:rowOff>
    </xdr:to>
    <xdr:sp macro="" textlink="">
      <xdr:nvSpPr>
        <xdr:cNvPr id="42" name="TextBox 41"/>
        <xdr:cNvSpPr txBox="1">
          <a:spLocks noChangeArrowheads="1"/>
        </xdr:cNvSpPr>
      </xdr:nvSpPr>
      <xdr:spPr bwMode="auto">
        <a:xfrm>
          <a:off x="1238250" y="542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106</xdr:row>
      <xdr:rowOff>152400</xdr:rowOff>
    </xdr:from>
    <xdr:to>
      <xdr:col>1</xdr:col>
      <xdr:colOff>571500</xdr:colOff>
      <xdr:row>108</xdr:row>
      <xdr:rowOff>6350</xdr:rowOff>
    </xdr:to>
    <xdr:sp macro="" textlink="">
      <xdr:nvSpPr>
        <xdr:cNvPr id="43" name="TextBox 42"/>
        <xdr:cNvSpPr txBox="1">
          <a:spLocks noChangeArrowheads="1"/>
        </xdr:cNvSpPr>
      </xdr:nvSpPr>
      <xdr:spPr bwMode="auto">
        <a:xfrm>
          <a:off x="1238250" y="558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106</xdr:row>
      <xdr:rowOff>152400</xdr:rowOff>
    </xdr:from>
    <xdr:to>
      <xdr:col>1</xdr:col>
      <xdr:colOff>571500</xdr:colOff>
      <xdr:row>108</xdr:row>
      <xdr:rowOff>6350</xdr:rowOff>
    </xdr:to>
    <xdr:sp macro="" textlink="">
      <xdr:nvSpPr>
        <xdr:cNvPr id="44" name="TextBox 43"/>
        <xdr:cNvSpPr txBox="1">
          <a:spLocks noChangeArrowheads="1"/>
        </xdr:cNvSpPr>
      </xdr:nvSpPr>
      <xdr:spPr bwMode="auto">
        <a:xfrm>
          <a:off x="1238250" y="558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107</xdr:row>
      <xdr:rowOff>152400</xdr:rowOff>
    </xdr:from>
    <xdr:to>
      <xdr:col>1</xdr:col>
      <xdr:colOff>571500</xdr:colOff>
      <xdr:row>109</xdr:row>
      <xdr:rowOff>6350</xdr:rowOff>
    </xdr:to>
    <xdr:sp macro="" textlink="">
      <xdr:nvSpPr>
        <xdr:cNvPr id="45" name="TextBox 44"/>
        <xdr:cNvSpPr txBox="1">
          <a:spLocks noChangeArrowheads="1"/>
        </xdr:cNvSpPr>
      </xdr:nvSpPr>
      <xdr:spPr bwMode="auto">
        <a:xfrm>
          <a:off x="12382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107</xdr:row>
      <xdr:rowOff>152400</xdr:rowOff>
    </xdr:from>
    <xdr:to>
      <xdr:col>1</xdr:col>
      <xdr:colOff>571500</xdr:colOff>
      <xdr:row>109</xdr:row>
      <xdr:rowOff>6350</xdr:rowOff>
    </xdr:to>
    <xdr:sp macro="" textlink="">
      <xdr:nvSpPr>
        <xdr:cNvPr id="46" name="TextBox 45"/>
        <xdr:cNvSpPr txBox="1">
          <a:spLocks noChangeArrowheads="1"/>
        </xdr:cNvSpPr>
      </xdr:nvSpPr>
      <xdr:spPr bwMode="auto">
        <a:xfrm>
          <a:off x="12382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108</xdr:row>
      <xdr:rowOff>152400</xdr:rowOff>
    </xdr:from>
    <xdr:to>
      <xdr:col>1</xdr:col>
      <xdr:colOff>571500</xdr:colOff>
      <xdr:row>110</xdr:row>
      <xdr:rowOff>6350</xdr:rowOff>
    </xdr:to>
    <xdr:sp macro="" textlink="">
      <xdr:nvSpPr>
        <xdr:cNvPr id="47" name="TextBox 46"/>
        <xdr:cNvSpPr txBox="1">
          <a:spLocks noChangeArrowheads="1"/>
        </xdr:cNvSpPr>
      </xdr:nvSpPr>
      <xdr:spPr bwMode="auto">
        <a:xfrm>
          <a:off x="12382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108</xdr:row>
      <xdr:rowOff>152400</xdr:rowOff>
    </xdr:from>
    <xdr:to>
      <xdr:col>1</xdr:col>
      <xdr:colOff>571500</xdr:colOff>
      <xdr:row>110</xdr:row>
      <xdr:rowOff>6350</xdr:rowOff>
    </xdr:to>
    <xdr:sp macro="" textlink="">
      <xdr:nvSpPr>
        <xdr:cNvPr id="48" name="TextBox 47"/>
        <xdr:cNvSpPr txBox="1">
          <a:spLocks noChangeArrowheads="1"/>
        </xdr:cNvSpPr>
      </xdr:nvSpPr>
      <xdr:spPr bwMode="auto">
        <a:xfrm>
          <a:off x="12382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109</xdr:row>
      <xdr:rowOff>152400</xdr:rowOff>
    </xdr:from>
    <xdr:to>
      <xdr:col>1</xdr:col>
      <xdr:colOff>571500</xdr:colOff>
      <xdr:row>111</xdr:row>
      <xdr:rowOff>6350</xdr:rowOff>
    </xdr:to>
    <xdr:sp macro="" textlink="">
      <xdr:nvSpPr>
        <xdr:cNvPr id="49" name="TextBox 48"/>
        <xdr:cNvSpPr txBox="1">
          <a:spLocks noChangeArrowheads="1"/>
        </xdr:cNvSpPr>
      </xdr:nvSpPr>
      <xdr:spPr bwMode="auto">
        <a:xfrm>
          <a:off x="12382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109</xdr:row>
      <xdr:rowOff>152400</xdr:rowOff>
    </xdr:from>
    <xdr:to>
      <xdr:col>1</xdr:col>
      <xdr:colOff>571500</xdr:colOff>
      <xdr:row>111</xdr:row>
      <xdr:rowOff>6350</xdr:rowOff>
    </xdr:to>
    <xdr:sp macro="" textlink="">
      <xdr:nvSpPr>
        <xdr:cNvPr id="50" name="TextBox 49"/>
        <xdr:cNvSpPr txBox="1">
          <a:spLocks noChangeArrowheads="1"/>
        </xdr:cNvSpPr>
      </xdr:nvSpPr>
      <xdr:spPr bwMode="auto">
        <a:xfrm>
          <a:off x="12382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110</xdr:row>
      <xdr:rowOff>152400</xdr:rowOff>
    </xdr:from>
    <xdr:to>
      <xdr:col>1</xdr:col>
      <xdr:colOff>571500</xdr:colOff>
      <xdr:row>112</xdr:row>
      <xdr:rowOff>6350</xdr:rowOff>
    </xdr:to>
    <xdr:sp macro="" textlink="">
      <xdr:nvSpPr>
        <xdr:cNvPr id="51" name="TextBox 50"/>
        <xdr:cNvSpPr txBox="1">
          <a:spLocks noChangeArrowheads="1"/>
        </xdr:cNvSpPr>
      </xdr:nvSpPr>
      <xdr:spPr bwMode="auto">
        <a:xfrm>
          <a:off x="12382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110</xdr:row>
      <xdr:rowOff>152400</xdr:rowOff>
    </xdr:from>
    <xdr:to>
      <xdr:col>1</xdr:col>
      <xdr:colOff>571500</xdr:colOff>
      <xdr:row>112</xdr:row>
      <xdr:rowOff>6350</xdr:rowOff>
    </xdr:to>
    <xdr:sp macro="" textlink="">
      <xdr:nvSpPr>
        <xdr:cNvPr id="52" name="TextBox 51"/>
        <xdr:cNvSpPr txBox="1">
          <a:spLocks noChangeArrowheads="1"/>
        </xdr:cNvSpPr>
      </xdr:nvSpPr>
      <xdr:spPr bwMode="auto">
        <a:xfrm>
          <a:off x="12382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111</xdr:row>
      <xdr:rowOff>152400</xdr:rowOff>
    </xdr:from>
    <xdr:to>
      <xdr:col>1</xdr:col>
      <xdr:colOff>571500</xdr:colOff>
      <xdr:row>113</xdr:row>
      <xdr:rowOff>6350</xdr:rowOff>
    </xdr:to>
    <xdr:sp macro="" textlink="">
      <xdr:nvSpPr>
        <xdr:cNvPr id="53" name="TextBox 52"/>
        <xdr:cNvSpPr txBox="1">
          <a:spLocks noChangeArrowheads="1"/>
        </xdr:cNvSpPr>
      </xdr:nvSpPr>
      <xdr:spPr bwMode="auto">
        <a:xfrm>
          <a:off x="1238250" y="637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111</xdr:row>
      <xdr:rowOff>152400</xdr:rowOff>
    </xdr:from>
    <xdr:to>
      <xdr:col>1</xdr:col>
      <xdr:colOff>571500</xdr:colOff>
      <xdr:row>113</xdr:row>
      <xdr:rowOff>6350</xdr:rowOff>
    </xdr:to>
    <xdr:sp macro="" textlink="">
      <xdr:nvSpPr>
        <xdr:cNvPr id="54" name="TextBox 53"/>
        <xdr:cNvSpPr txBox="1">
          <a:spLocks noChangeArrowheads="1"/>
        </xdr:cNvSpPr>
      </xdr:nvSpPr>
      <xdr:spPr bwMode="auto">
        <a:xfrm>
          <a:off x="1238250" y="637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112</xdr:row>
      <xdr:rowOff>152400</xdr:rowOff>
    </xdr:from>
    <xdr:to>
      <xdr:col>1</xdr:col>
      <xdr:colOff>571500</xdr:colOff>
      <xdr:row>114</xdr:row>
      <xdr:rowOff>6350</xdr:rowOff>
    </xdr:to>
    <xdr:sp macro="" textlink="">
      <xdr:nvSpPr>
        <xdr:cNvPr id="55" name="TextBox 54"/>
        <xdr:cNvSpPr txBox="1">
          <a:spLocks noChangeArrowheads="1"/>
        </xdr:cNvSpPr>
      </xdr:nvSpPr>
      <xdr:spPr bwMode="auto">
        <a:xfrm>
          <a:off x="1238250" y="653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112</xdr:row>
      <xdr:rowOff>152400</xdr:rowOff>
    </xdr:from>
    <xdr:to>
      <xdr:col>1</xdr:col>
      <xdr:colOff>571500</xdr:colOff>
      <xdr:row>114</xdr:row>
      <xdr:rowOff>6350</xdr:rowOff>
    </xdr:to>
    <xdr:sp macro="" textlink="">
      <xdr:nvSpPr>
        <xdr:cNvPr id="56" name="TextBox 55"/>
        <xdr:cNvSpPr txBox="1">
          <a:spLocks noChangeArrowheads="1"/>
        </xdr:cNvSpPr>
      </xdr:nvSpPr>
      <xdr:spPr bwMode="auto">
        <a:xfrm>
          <a:off x="1238250" y="653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113</xdr:row>
      <xdr:rowOff>152400</xdr:rowOff>
    </xdr:from>
    <xdr:to>
      <xdr:col>1</xdr:col>
      <xdr:colOff>571500</xdr:colOff>
      <xdr:row>115</xdr:row>
      <xdr:rowOff>6350</xdr:rowOff>
    </xdr:to>
    <xdr:sp macro="" textlink="">
      <xdr:nvSpPr>
        <xdr:cNvPr id="57" name="TextBox 56"/>
        <xdr:cNvSpPr txBox="1">
          <a:spLocks noChangeArrowheads="1"/>
        </xdr:cNvSpPr>
      </xdr:nvSpPr>
      <xdr:spPr bwMode="auto">
        <a:xfrm>
          <a:off x="1238250" y="669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113</xdr:row>
      <xdr:rowOff>152400</xdr:rowOff>
    </xdr:from>
    <xdr:to>
      <xdr:col>1</xdr:col>
      <xdr:colOff>571500</xdr:colOff>
      <xdr:row>115</xdr:row>
      <xdr:rowOff>6350</xdr:rowOff>
    </xdr:to>
    <xdr:sp macro="" textlink="">
      <xdr:nvSpPr>
        <xdr:cNvPr id="58" name="TextBox 57"/>
        <xdr:cNvSpPr txBox="1">
          <a:spLocks noChangeArrowheads="1"/>
        </xdr:cNvSpPr>
      </xdr:nvSpPr>
      <xdr:spPr bwMode="auto">
        <a:xfrm>
          <a:off x="1238250" y="669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114</xdr:row>
      <xdr:rowOff>152400</xdr:rowOff>
    </xdr:from>
    <xdr:to>
      <xdr:col>1</xdr:col>
      <xdr:colOff>571500</xdr:colOff>
      <xdr:row>116</xdr:row>
      <xdr:rowOff>6350</xdr:rowOff>
    </xdr:to>
    <xdr:sp macro="" textlink="">
      <xdr:nvSpPr>
        <xdr:cNvPr id="59" name="TextBox 58"/>
        <xdr:cNvSpPr txBox="1">
          <a:spLocks noChangeArrowheads="1"/>
        </xdr:cNvSpPr>
      </xdr:nvSpPr>
      <xdr:spPr bwMode="auto">
        <a:xfrm>
          <a:off x="1238250" y="685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114</xdr:row>
      <xdr:rowOff>152400</xdr:rowOff>
    </xdr:from>
    <xdr:to>
      <xdr:col>1</xdr:col>
      <xdr:colOff>571500</xdr:colOff>
      <xdr:row>116</xdr:row>
      <xdr:rowOff>6350</xdr:rowOff>
    </xdr:to>
    <xdr:sp macro="" textlink="">
      <xdr:nvSpPr>
        <xdr:cNvPr id="60" name="TextBox 59"/>
        <xdr:cNvSpPr txBox="1">
          <a:spLocks noChangeArrowheads="1"/>
        </xdr:cNvSpPr>
      </xdr:nvSpPr>
      <xdr:spPr bwMode="auto">
        <a:xfrm>
          <a:off x="1238250" y="685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115</xdr:row>
      <xdr:rowOff>152400</xdr:rowOff>
    </xdr:from>
    <xdr:to>
      <xdr:col>1</xdr:col>
      <xdr:colOff>571500</xdr:colOff>
      <xdr:row>117</xdr:row>
      <xdr:rowOff>6350</xdr:rowOff>
    </xdr:to>
    <xdr:sp macro="" textlink="">
      <xdr:nvSpPr>
        <xdr:cNvPr id="61" name="TextBox 60"/>
        <xdr:cNvSpPr txBox="1">
          <a:spLocks noChangeArrowheads="1"/>
        </xdr:cNvSpPr>
      </xdr:nvSpPr>
      <xdr:spPr bwMode="auto">
        <a:xfrm>
          <a:off x="1238250" y="701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115</xdr:row>
      <xdr:rowOff>152400</xdr:rowOff>
    </xdr:from>
    <xdr:to>
      <xdr:col>1</xdr:col>
      <xdr:colOff>571500</xdr:colOff>
      <xdr:row>117</xdr:row>
      <xdr:rowOff>6350</xdr:rowOff>
    </xdr:to>
    <xdr:sp macro="" textlink="">
      <xdr:nvSpPr>
        <xdr:cNvPr id="62" name="TextBox 61"/>
        <xdr:cNvSpPr txBox="1">
          <a:spLocks noChangeArrowheads="1"/>
        </xdr:cNvSpPr>
      </xdr:nvSpPr>
      <xdr:spPr bwMode="auto">
        <a:xfrm>
          <a:off x="1238250" y="701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116</xdr:row>
      <xdr:rowOff>152400</xdr:rowOff>
    </xdr:from>
    <xdr:to>
      <xdr:col>1</xdr:col>
      <xdr:colOff>571500</xdr:colOff>
      <xdr:row>118</xdr:row>
      <xdr:rowOff>6350</xdr:rowOff>
    </xdr:to>
    <xdr:sp macro="" textlink="">
      <xdr:nvSpPr>
        <xdr:cNvPr id="63" name="TextBox 62"/>
        <xdr:cNvSpPr txBox="1">
          <a:spLocks noChangeArrowheads="1"/>
        </xdr:cNvSpPr>
      </xdr:nvSpPr>
      <xdr:spPr bwMode="auto">
        <a:xfrm>
          <a:off x="1238250" y="716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116</xdr:row>
      <xdr:rowOff>152400</xdr:rowOff>
    </xdr:from>
    <xdr:to>
      <xdr:col>1</xdr:col>
      <xdr:colOff>571500</xdr:colOff>
      <xdr:row>118</xdr:row>
      <xdr:rowOff>6350</xdr:rowOff>
    </xdr:to>
    <xdr:sp macro="" textlink="">
      <xdr:nvSpPr>
        <xdr:cNvPr id="64" name="TextBox 63"/>
        <xdr:cNvSpPr txBox="1">
          <a:spLocks noChangeArrowheads="1"/>
        </xdr:cNvSpPr>
      </xdr:nvSpPr>
      <xdr:spPr bwMode="auto">
        <a:xfrm>
          <a:off x="1238250" y="716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117</xdr:row>
      <xdr:rowOff>152400</xdr:rowOff>
    </xdr:from>
    <xdr:to>
      <xdr:col>1</xdr:col>
      <xdr:colOff>571500</xdr:colOff>
      <xdr:row>119</xdr:row>
      <xdr:rowOff>6350</xdr:rowOff>
    </xdr:to>
    <xdr:sp macro="" textlink="">
      <xdr:nvSpPr>
        <xdr:cNvPr id="65" name="TextBox 64"/>
        <xdr:cNvSpPr txBox="1">
          <a:spLocks noChangeArrowheads="1"/>
        </xdr:cNvSpPr>
      </xdr:nvSpPr>
      <xdr:spPr bwMode="auto">
        <a:xfrm>
          <a:off x="1238250" y="732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117</xdr:row>
      <xdr:rowOff>152400</xdr:rowOff>
    </xdr:from>
    <xdr:to>
      <xdr:col>1</xdr:col>
      <xdr:colOff>571500</xdr:colOff>
      <xdr:row>119</xdr:row>
      <xdr:rowOff>6350</xdr:rowOff>
    </xdr:to>
    <xdr:sp macro="" textlink="">
      <xdr:nvSpPr>
        <xdr:cNvPr id="66" name="TextBox 65"/>
        <xdr:cNvSpPr txBox="1">
          <a:spLocks noChangeArrowheads="1"/>
        </xdr:cNvSpPr>
      </xdr:nvSpPr>
      <xdr:spPr bwMode="auto">
        <a:xfrm>
          <a:off x="1238250" y="732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118</xdr:row>
      <xdr:rowOff>152400</xdr:rowOff>
    </xdr:from>
    <xdr:to>
      <xdr:col>1</xdr:col>
      <xdr:colOff>571500</xdr:colOff>
      <xdr:row>120</xdr:row>
      <xdr:rowOff>6350</xdr:rowOff>
    </xdr:to>
    <xdr:sp macro="" textlink="">
      <xdr:nvSpPr>
        <xdr:cNvPr id="67" name="TextBox 66"/>
        <xdr:cNvSpPr txBox="1">
          <a:spLocks noChangeArrowheads="1"/>
        </xdr:cNvSpPr>
      </xdr:nvSpPr>
      <xdr:spPr bwMode="auto">
        <a:xfrm>
          <a:off x="1238250" y="748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118</xdr:row>
      <xdr:rowOff>152400</xdr:rowOff>
    </xdr:from>
    <xdr:to>
      <xdr:col>1</xdr:col>
      <xdr:colOff>571500</xdr:colOff>
      <xdr:row>120</xdr:row>
      <xdr:rowOff>6350</xdr:rowOff>
    </xdr:to>
    <xdr:sp macro="" textlink="">
      <xdr:nvSpPr>
        <xdr:cNvPr id="68" name="TextBox 67"/>
        <xdr:cNvSpPr txBox="1">
          <a:spLocks noChangeArrowheads="1"/>
        </xdr:cNvSpPr>
      </xdr:nvSpPr>
      <xdr:spPr bwMode="auto">
        <a:xfrm>
          <a:off x="1238250" y="748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119</xdr:row>
      <xdr:rowOff>152400</xdr:rowOff>
    </xdr:from>
    <xdr:to>
      <xdr:col>1</xdr:col>
      <xdr:colOff>571500</xdr:colOff>
      <xdr:row>121</xdr:row>
      <xdr:rowOff>6350</xdr:rowOff>
    </xdr:to>
    <xdr:sp macro="" textlink="">
      <xdr:nvSpPr>
        <xdr:cNvPr id="69" name="TextBox 68"/>
        <xdr:cNvSpPr txBox="1">
          <a:spLocks noChangeArrowheads="1"/>
        </xdr:cNvSpPr>
      </xdr:nvSpPr>
      <xdr:spPr bwMode="auto">
        <a:xfrm>
          <a:off x="1238250" y="764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119</xdr:row>
      <xdr:rowOff>152400</xdr:rowOff>
    </xdr:from>
    <xdr:to>
      <xdr:col>1</xdr:col>
      <xdr:colOff>571500</xdr:colOff>
      <xdr:row>121</xdr:row>
      <xdr:rowOff>6350</xdr:rowOff>
    </xdr:to>
    <xdr:sp macro="" textlink="">
      <xdr:nvSpPr>
        <xdr:cNvPr id="70" name="TextBox 69"/>
        <xdr:cNvSpPr txBox="1">
          <a:spLocks noChangeArrowheads="1"/>
        </xdr:cNvSpPr>
      </xdr:nvSpPr>
      <xdr:spPr bwMode="auto">
        <a:xfrm>
          <a:off x="1238250" y="764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120</xdr:row>
      <xdr:rowOff>152400</xdr:rowOff>
    </xdr:from>
    <xdr:to>
      <xdr:col>1</xdr:col>
      <xdr:colOff>571500</xdr:colOff>
      <xdr:row>122</xdr:row>
      <xdr:rowOff>6350</xdr:rowOff>
    </xdr:to>
    <xdr:sp macro="" textlink="">
      <xdr:nvSpPr>
        <xdr:cNvPr id="71" name="TextBox 70"/>
        <xdr:cNvSpPr txBox="1">
          <a:spLocks noChangeArrowheads="1"/>
        </xdr:cNvSpPr>
      </xdr:nvSpPr>
      <xdr:spPr bwMode="auto">
        <a:xfrm>
          <a:off x="1238250" y="780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120</xdr:row>
      <xdr:rowOff>152400</xdr:rowOff>
    </xdr:from>
    <xdr:to>
      <xdr:col>1</xdr:col>
      <xdr:colOff>571500</xdr:colOff>
      <xdr:row>122</xdr:row>
      <xdr:rowOff>6350</xdr:rowOff>
    </xdr:to>
    <xdr:sp macro="" textlink="">
      <xdr:nvSpPr>
        <xdr:cNvPr id="72" name="TextBox 71"/>
        <xdr:cNvSpPr txBox="1">
          <a:spLocks noChangeArrowheads="1"/>
        </xdr:cNvSpPr>
      </xdr:nvSpPr>
      <xdr:spPr bwMode="auto">
        <a:xfrm>
          <a:off x="1238250" y="780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121</xdr:row>
      <xdr:rowOff>152400</xdr:rowOff>
    </xdr:from>
    <xdr:to>
      <xdr:col>1</xdr:col>
      <xdr:colOff>571500</xdr:colOff>
      <xdr:row>123</xdr:row>
      <xdr:rowOff>6350</xdr:rowOff>
    </xdr:to>
    <xdr:sp macro="" textlink="">
      <xdr:nvSpPr>
        <xdr:cNvPr id="73" name="TextBox 72"/>
        <xdr:cNvSpPr txBox="1">
          <a:spLocks noChangeArrowheads="1"/>
        </xdr:cNvSpPr>
      </xdr:nvSpPr>
      <xdr:spPr bwMode="auto">
        <a:xfrm>
          <a:off x="1238250" y="796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121</xdr:row>
      <xdr:rowOff>152400</xdr:rowOff>
    </xdr:from>
    <xdr:to>
      <xdr:col>1</xdr:col>
      <xdr:colOff>571500</xdr:colOff>
      <xdr:row>123</xdr:row>
      <xdr:rowOff>6350</xdr:rowOff>
    </xdr:to>
    <xdr:sp macro="" textlink="">
      <xdr:nvSpPr>
        <xdr:cNvPr id="74" name="TextBox 73"/>
        <xdr:cNvSpPr txBox="1">
          <a:spLocks noChangeArrowheads="1"/>
        </xdr:cNvSpPr>
      </xdr:nvSpPr>
      <xdr:spPr bwMode="auto">
        <a:xfrm>
          <a:off x="1238250" y="796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122</xdr:row>
      <xdr:rowOff>152400</xdr:rowOff>
    </xdr:from>
    <xdr:to>
      <xdr:col>1</xdr:col>
      <xdr:colOff>571500</xdr:colOff>
      <xdr:row>124</xdr:row>
      <xdr:rowOff>6350</xdr:rowOff>
    </xdr:to>
    <xdr:sp macro="" textlink="">
      <xdr:nvSpPr>
        <xdr:cNvPr id="75" name="TextBox 74"/>
        <xdr:cNvSpPr txBox="1">
          <a:spLocks noChangeArrowheads="1"/>
        </xdr:cNvSpPr>
      </xdr:nvSpPr>
      <xdr:spPr bwMode="auto">
        <a:xfrm>
          <a:off x="1238250" y="812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122</xdr:row>
      <xdr:rowOff>152400</xdr:rowOff>
    </xdr:from>
    <xdr:to>
      <xdr:col>1</xdr:col>
      <xdr:colOff>571500</xdr:colOff>
      <xdr:row>124</xdr:row>
      <xdr:rowOff>6350</xdr:rowOff>
    </xdr:to>
    <xdr:sp macro="" textlink="">
      <xdr:nvSpPr>
        <xdr:cNvPr id="76" name="TextBox 75"/>
        <xdr:cNvSpPr txBox="1">
          <a:spLocks noChangeArrowheads="1"/>
        </xdr:cNvSpPr>
      </xdr:nvSpPr>
      <xdr:spPr bwMode="auto">
        <a:xfrm>
          <a:off x="1238250" y="812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123</xdr:row>
      <xdr:rowOff>152400</xdr:rowOff>
    </xdr:from>
    <xdr:to>
      <xdr:col>1</xdr:col>
      <xdr:colOff>571500</xdr:colOff>
      <xdr:row>125</xdr:row>
      <xdr:rowOff>6350</xdr:rowOff>
    </xdr:to>
    <xdr:sp macro="" textlink="">
      <xdr:nvSpPr>
        <xdr:cNvPr id="77" name="TextBox 76"/>
        <xdr:cNvSpPr txBox="1">
          <a:spLocks noChangeArrowheads="1"/>
        </xdr:cNvSpPr>
      </xdr:nvSpPr>
      <xdr:spPr bwMode="auto">
        <a:xfrm>
          <a:off x="1238250" y="828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123</xdr:row>
      <xdr:rowOff>152400</xdr:rowOff>
    </xdr:from>
    <xdr:to>
      <xdr:col>1</xdr:col>
      <xdr:colOff>571500</xdr:colOff>
      <xdr:row>125</xdr:row>
      <xdr:rowOff>6350</xdr:rowOff>
    </xdr:to>
    <xdr:sp macro="" textlink="">
      <xdr:nvSpPr>
        <xdr:cNvPr id="78" name="TextBox 77"/>
        <xdr:cNvSpPr txBox="1">
          <a:spLocks noChangeArrowheads="1"/>
        </xdr:cNvSpPr>
      </xdr:nvSpPr>
      <xdr:spPr bwMode="auto">
        <a:xfrm>
          <a:off x="1238250" y="828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124</xdr:row>
      <xdr:rowOff>152400</xdr:rowOff>
    </xdr:from>
    <xdr:to>
      <xdr:col>1</xdr:col>
      <xdr:colOff>571500</xdr:colOff>
      <xdr:row>126</xdr:row>
      <xdr:rowOff>6350</xdr:rowOff>
    </xdr:to>
    <xdr:sp macro="" textlink="">
      <xdr:nvSpPr>
        <xdr:cNvPr id="79" name="TextBox 78"/>
        <xdr:cNvSpPr txBox="1">
          <a:spLocks noChangeArrowheads="1"/>
        </xdr:cNvSpPr>
      </xdr:nvSpPr>
      <xdr:spPr bwMode="auto">
        <a:xfrm>
          <a:off x="1238250" y="843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124</xdr:row>
      <xdr:rowOff>152400</xdr:rowOff>
    </xdr:from>
    <xdr:to>
      <xdr:col>1</xdr:col>
      <xdr:colOff>571500</xdr:colOff>
      <xdr:row>126</xdr:row>
      <xdr:rowOff>6350</xdr:rowOff>
    </xdr:to>
    <xdr:sp macro="" textlink="">
      <xdr:nvSpPr>
        <xdr:cNvPr id="80" name="TextBox 79"/>
        <xdr:cNvSpPr txBox="1">
          <a:spLocks noChangeArrowheads="1"/>
        </xdr:cNvSpPr>
      </xdr:nvSpPr>
      <xdr:spPr bwMode="auto">
        <a:xfrm>
          <a:off x="1238250" y="843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125</xdr:row>
      <xdr:rowOff>152400</xdr:rowOff>
    </xdr:from>
    <xdr:to>
      <xdr:col>1</xdr:col>
      <xdr:colOff>571500</xdr:colOff>
      <xdr:row>127</xdr:row>
      <xdr:rowOff>6350</xdr:rowOff>
    </xdr:to>
    <xdr:sp macro="" textlink="">
      <xdr:nvSpPr>
        <xdr:cNvPr id="81" name="TextBox 80"/>
        <xdr:cNvSpPr txBox="1">
          <a:spLocks noChangeArrowheads="1"/>
        </xdr:cNvSpPr>
      </xdr:nvSpPr>
      <xdr:spPr bwMode="auto">
        <a:xfrm>
          <a:off x="1238250" y="859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125</xdr:row>
      <xdr:rowOff>152400</xdr:rowOff>
    </xdr:from>
    <xdr:to>
      <xdr:col>1</xdr:col>
      <xdr:colOff>571500</xdr:colOff>
      <xdr:row>127</xdr:row>
      <xdr:rowOff>6350</xdr:rowOff>
    </xdr:to>
    <xdr:sp macro="" textlink="">
      <xdr:nvSpPr>
        <xdr:cNvPr id="82" name="TextBox 81"/>
        <xdr:cNvSpPr txBox="1">
          <a:spLocks noChangeArrowheads="1"/>
        </xdr:cNvSpPr>
      </xdr:nvSpPr>
      <xdr:spPr bwMode="auto">
        <a:xfrm>
          <a:off x="1238250" y="859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126</xdr:row>
      <xdr:rowOff>152400</xdr:rowOff>
    </xdr:from>
    <xdr:to>
      <xdr:col>1</xdr:col>
      <xdr:colOff>571500</xdr:colOff>
      <xdr:row>128</xdr:row>
      <xdr:rowOff>6350</xdr:rowOff>
    </xdr:to>
    <xdr:sp macro="" textlink="">
      <xdr:nvSpPr>
        <xdr:cNvPr id="83" name="TextBox 82"/>
        <xdr:cNvSpPr txBox="1">
          <a:spLocks noChangeArrowheads="1"/>
        </xdr:cNvSpPr>
      </xdr:nvSpPr>
      <xdr:spPr bwMode="auto">
        <a:xfrm>
          <a:off x="1238250" y="875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126</xdr:row>
      <xdr:rowOff>152400</xdr:rowOff>
    </xdr:from>
    <xdr:to>
      <xdr:col>1</xdr:col>
      <xdr:colOff>571500</xdr:colOff>
      <xdr:row>128</xdr:row>
      <xdr:rowOff>6350</xdr:rowOff>
    </xdr:to>
    <xdr:sp macro="" textlink="">
      <xdr:nvSpPr>
        <xdr:cNvPr id="84" name="TextBox 83"/>
        <xdr:cNvSpPr txBox="1">
          <a:spLocks noChangeArrowheads="1"/>
        </xdr:cNvSpPr>
      </xdr:nvSpPr>
      <xdr:spPr bwMode="auto">
        <a:xfrm>
          <a:off x="1238250" y="875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127</xdr:row>
      <xdr:rowOff>152400</xdr:rowOff>
    </xdr:from>
    <xdr:to>
      <xdr:col>1</xdr:col>
      <xdr:colOff>571500</xdr:colOff>
      <xdr:row>129</xdr:row>
      <xdr:rowOff>6350</xdr:rowOff>
    </xdr:to>
    <xdr:sp macro="" textlink="">
      <xdr:nvSpPr>
        <xdr:cNvPr id="85" name="TextBox 84"/>
        <xdr:cNvSpPr txBox="1">
          <a:spLocks noChangeArrowheads="1"/>
        </xdr:cNvSpPr>
      </xdr:nvSpPr>
      <xdr:spPr bwMode="auto">
        <a:xfrm>
          <a:off x="1238250" y="891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127</xdr:row>
      <xdr:rowOff>152400</xdr:rowOff>
    </xdr:from>
    <xdr:to>
      <xdr:col>1</xdr:col>
      <xdr:colOff>571500</xdr:colOff>
      <xdr:row>129</xdr:row>
      <xdr:rowOff>6350</xdr:rowOff>
    </xdr:to>
    <xdr:sp macro="" textlink="">
      <xdr:nvSpPr>
        <xdr:cNvPr id="86" name="TextBox 85"/>
        <xdr:cNvSpPr txBox="1">
          <a:spLocks noChangeArrowheads="1"/>
        </xdr:cNvSpPr>
      </xdr:nvSpPr>
      <xdr:spPr bwMode="auto">
        <a:xfrm>
          <a:off x="1238250" y="891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128</xdr:row>
      <xdr:rowOff>152400</xdr:rowOff>
    </xdr:from>
    <xdr:to>
      <xdr:col>1</xdr:col>
      <xdr:colOff>571500</xdr:colOff>
      <xdr:row>130</xdr:row>
      <xdr:rowOff>6350</xdr:rowOff>
    </xdr:to>
    <xdr:sp macro="" textlink="">
      <xdr:nvSpPr>
        <xdr:cNvPr id="87" name="TextBox 86"/>
        <xdr:cNvSpPr txBox="1">
          <a:spLocks noChangeArrowheads="1"/>
        </xdr:cNvSpPr>
      </xdr:nvSpPr>
      <xdr:spPr bwMode="auto">
        <a:xfrm>
          <a:off x="1238250" y="907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128</xdr:row>
      <xdr:rowOff>152400</xdr:rowOff>
    </xdr:from>
    <xdr:to>
      <xdr:col>1</xdr:col>
      <xdr:colOff>571500</xdr:colOff>
      <xdr:row>130</xdr:row>
      <xdr:rowOff>6350</xdr:rowOff>
    </xdr:to>
    <xdr:sp macro="" textlink="">
      <xdr:nvSpPr>
        <xdr:cNvPr id="88" name="TextBox 87"/>
        <xdr:cNvSpPr txBox="1">
          <a:spLocks noChangeArrowheads="1"/>
        </xdr:cNvSpPr>
      </xdr:nvSpPr>
      <xdr:spPr bwMode="auto">
        <a:xfrm>
          <a:off x="1238250" y="907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129</xdr:row>
      <xdr:rowOff>152400</xdr:rowOff>
    </xdr:from>
    <xdr:to>
      <xdr:col>1</xdr:col>
      <xdr:colOff>571500</xdr:colOff>
      <xdr:row>131</xdr:row>
      <xdr:rowOff>6350</xdr:rowOff>
    </xdr:to>
    <xdr:sp macro="" textlink="">
      <xdr:nvSpPr>
        <xdr:cNvPr id="89" name="TextBox 88"/>
        <xdr:cNvSpPr txBox="1">
          <a:spLocks noChangeArrowheads="1"/>
        </xdr:cNvSpPr>
      </xdr:nvSpPr>
      <xdr:spPr bwMode="auto">
        <a:xfrm>
          <a:off x="1238250" y="923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129</xdr:row>
      <xdr:rowOff>152400</xdr:rowOff>
    </xdr:from>
    <xdr:to>
      <xdr:col>1</xdr:col>
      <xdr:colOff>571500</xdr:colOff>
      <xdr:row>131</xdr:row>
      <xdr:rowOff>6350</xdr:rowOff>
    </xdr:to>
    <xdr:sp macro="" textlink="">
      <xdr:nvSpPr>
        <xdr:cNvPr id="90" name="TextBox 89"/>
        <xdr:cNvSpPr txBox="1">
          <a:spLocks noChangeArrowheads="1"/>
        </xdr:cNvSpPr>
      </xdr:nvSpPr>
      <xdr:spPr bwMode="auto">
        <a:xfrm>
          <a:off x="1238250" y="923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130</xdr:row>
      <xdr:rowOff>152400</xdr:rowOff>
    </xdr:from>
    <xdr:to>
      <xdr:col>1</xdr:col>
      <xdr:colOff>571500</xdr:colOff>
      <xdr:row>132</xdr:row>
      <xdr:rowOff>6350</xdr:rowOff>
    </xdr:to>
    <xdr:sp macro="" textlink="">
      <xdr:nvSpPr>
        <xdr:cNvPr id="91" name="TextBox 90"/>
        <xdr:cNvSpPr txBox="1">
          <a:spLocks noChangeArrowheads="1"/>
        </xdr:cNvSpPr>
      </xdr:nvSpPr>
      <xdr:spPr bwMode="auto">
        <a:xfrm>
          <a:off x="1238250" y="939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130</xdr:row>
      <xdr:rowOff>152400</xdr:rowOff>
    </xdr:from>
    <xdr:to>
      <xdr:col>1</xdr:col>
      <xdr:colOff>571500</xdr:colOff>
      <xdr:row>132</xdr:row>
      <xdr:rowOff>6350</xdr:rowOff>
    </xdr:to>
    <xdr:sp macro="" textlink="">
      <xdr:nvSpPr>
        <xdr:cNvPr id="92" name="TextBox 91"/>
        <xdr:cNvSpPr txBox="1">
          <a:spLocks noChangeArrowheads="1"/>
        </xdr:cNvSpPr>
      </xdr:nvSpPr>
      <xdr:spPr bwMode="auto">
        <a:xfrm>
          <a:off x="1238250" y="939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131</xdr:row>
      <xdr:rowOff>152400</xdr:rowOff>
    </xdr:from>
    <xdr:to>
      <xdr:col>1</xdr:col>
      <xdr:colOff>571500</xdr:colOff>
      <xdr:row>133</xdr:row>
      <xdr:rowOff>6350</xdr:rowOff>
    </xdr:to>
    <xdr:sp macro="" textlink="">
      <xdr:nvSpPr>
        <xdr:cNvPr id="93" name="TextBox 92"/>
        <xdr:cNvSpPr txBox="1">
          <a:spLocks noChangeArrowheads="1"/>
        </xdr:cNvSpPr>
      </xdr:nvSpPr>
      <xdr:spPr bwMode="auto">
        <a:xfrm>
          <a:off x="1238250" y="955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131</xdr:row>
      <xdr:rowOff>152400</xdr:rowOff>
    </xdr:from>
    <xdr:to>
      <xdr:col>1</xdr:col>
      <xdr:colOff>571500</xdr:colOff>
      <xdr:row>133</xdr:row>
      <xdr:rowOff>6350</xdr:rowOff>
    </xdr:to>
    <xdr:sp macro="" textlink="">
      <xdr:nvSpPr>
        <xdr:cNvPr id="94" name="TextBox 93"/>
        <xdr:cNvSpPr txBox="1">
          <a:spLocks noChangeArrowheads="1"/>
        </xdr:cNvSpPr>
      </xdr:nvSpPr>
      <xdr:spPr bwMode="auto">
        <a:xfrm>
          <a:off x="1238250" y="955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132</xdr:row>
      <xdr:rowOff>152400</xdr:rowOff>
    </xdr:from>
    <xdr:to>
      <xdr:col>1</xdr:col>
      <xdr:colOff>571500</xdr:colOff>
      <xdr:row>134</xdr:row>
      <xdr:rowOff>6350</xdr:rowOff>
    </xdr:to>
    <xdr:sp macro="" textlink="">
      <xdr:nvSpPr>
        <xdr:cNvPr id="95" name="TextBox 94"/>
        <xdr:cNvSpPr txBox="1">
          <a:spLocks noChangeArrowheads="1"/>
        </xdr:cNvSpPr>
      </xdr:nvSpPr>
      <xdr:spPr bwMode="auto">
        <a:xfrm>
          <a:off x="1238250" y="970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132</xdr:row>
      <xdr:rowOff>152400</xdr:rowOff>
    </xdr:from>
    <xdr:to>
      <xdr:col>1</xdr:col>
      <xdr:colOff>571500</xdr:colOff>
      <xdr:row>134</xdr:row>
      <xdr:rowOff>6350</xdr:rowOff>
    </xdr:to>
    <xdr:sp macro="" textlink="">
      <xdr:nvSpPr>
        <xdr:cNvPr id="96" name="TextBox 95"/>
        <xdr:cNvSpPr txBox="1">
          <a:spLocks noChangeArrowheads="1"/>
        </xdr:cNvSpPr>
      </xdr:nvSpPr>
      <xdr:spPr bwMode="auto">
        <a:xfrm>
          <a:off x="1238250" y="970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133</xdr:row>
      <xdr:rowOff>152400</xdr:rowOff>
    </xdr:from>
    <xdr:to>
      <xdr:col>1</xdr:col>
      <xdr:colOff>571500</xdr:colOff>
      <xdr:row>135</xdr:row>
      <xdr:rowOff>6350</xdr:rowOff>
    </xdr:to>
    <xdr:sp macro="" textlink="">
      <xdr:nvSpPr>
        <xdr:cNvPr id="97" name="TextBox 96"/>
        <xdr:cNvSpPr txBox="1">
          <a:spLocks noChangeArrowheads="1"/>
        </xdr:cNvSpPr>
      </xdr:nvSpPr>
      <xdr:spPr bwMode="auto">
        <a:xfrm>
          <a:off x="1238250" y="986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133</xdr:row>
      <xdr:rowOff>152400</xdr:rowOff>
    </xdr:from>
    <xdr:to>
      <xdr:col>1</xdr:col>
      <xdr:colOff>571500</xdr:colOff>
      <xdr:row>135</xdr:row>
      <xdr:rowOff>6350</xdr:rowOff>
    </xdr:to>
    <xdr:sp macro="" textlink="">
      <xdr:nvSpPr>
        <xdr:cNvPr id="98" name="TextBox 97"/>
        <xdr:cNvSpPr txBox="1">
          <a:spLocks noChangeArrowheads="1"/>
        </xdr:cNvSpPr>
      </xdr:nvSpPr>
      <xdr:spPr bwMode="auto">
        <a:xfrm>
          <a:off x="1238250" y="986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134</xdr:row>
      <xdr:rowOff>152400</xdr:rowOff>
    </xdr:from>
    <xdr:to>
      <xdr:col>1</xdr:col>
      <xdr:colOff>571500</xdr:colOff>
      <xdr:row>136</xdr:row>
      <xdr:rowOff>6350</xdr:rowOff>
    </xdr:to>
    <xdr:sp macro="" textlink="">
      <xdr:nvSpPr>
        <xdr:cNvPr id="99" name="TextBox 98"/>
        <xdr:cNvSpPr txBox="1">
          <a:spLocks noChangeArrowheads="1"/>
        </xdr:cNvSpPr>
      </xdr:nvSpPr>
      <xdr:spPr bwMode="auto">
        <a:xfrm>
          <a:off x="1238250" y="1002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134</xdr:row>
      <xdr:rowOff>152400</xdr:rowOff>
    </xdr:from>
    <xdr:to>
      <xdr:col>1</xdr:col>
      <xdr:colOff>571500</xdr:colOff>
      <xdr:row>136</xdr:row>
      <xdr:rowOff>6350</xdr:rowOff>
    </xdr:to>
    <xdr:sp macro="" textlink="">
      <xdr:nvSpPr>
        <xdr:cNvPr id="100" name="TextBox 99"/>
        <xdr:cNvSpPr txBox="1">
          <a:spLocks noChangeArrowheads="1"/>
        </xdr:cNvSpPr>
      </xdr:nvSpPr>
      <xdr:spPr bwMode="auto">
        <a:xfrm>
          <a:off x="1238250" y="1002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135</xdr:row>
      <xdr:rowOff>152400</xdr:rowOff>
    </xdr:from>
    <xdr:to>
      <xdr:col>1</xdr:col>
      <xdr:colOff>571500</xdr:colOff>
      <xdr:row>137</xdr:row>
      <xdr:rowOff>6350</xdr:rowOff>
    </xdr:to>
    <xdr:sp macro="" textlink="">
      <xdr:nvSpPr>
        <xdr:cNvPr id="101" name="TextBox 100"/>
        <xdr:cNvSpPr txBox="1">
          <a:spLocks noChangeArrowheads="1"/>
        </xdr:cNvSpPr>
      </xdr:nvSpPr>
      <xdr:spPr bwMode="auto">
        <a:xfrm>
          <a:off x="1238250" y="1018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135</xdr:row>
      <xdr:rowOff>152400</xdr:rowOff>
    </xdr:from>
    <xdr:to>
      <xdr:col>1</xdr:col>
      <xdr:colOff>571500</xdr:colOff>
      <xdr:row>137</xdr:row>
      <xdr:rowOff>6350</xdr:rowOff>
    </xdr:to>
    <xdr:sp macro="" textlink="">
      <xdr:nvSpPr>
        <xdr:cNvPr id="102" name="TextBox 101"/>
        <xdr:cNvSpPr txBox="1">
          <a:spLocks noChangeArrowheads="1"/>
        </xdr:cNvSpPr>
      </xdr:nvSpPr>
      <xdr:spPr bwMode="auto">
        <a:xfrm>
          <a:off x="1238250" y="1018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136</xdr:row>
      <xdr:rowOff>152400</xdr:rowOff>
    </xdr:from>
    <xdr:to>
      <xdr:col>1</xdr:col>
      <xdr:colOff>571500</xdr:colOff>
      <xdr:row>138</xdr:row>
      <xdr:rowOff>6350</xdr:rowOff>
    </xdr:to>
    <xdr:sp macro="" textlink="">
      <xdr:nvSpPr>
        <xdr:cNvPr id="103" name="TextBox 102"/>
        <xdr:cNvSpPr txBox="1">
          <a:spLocks noChangeArrowheads="1"/>
        </xdr:cNvSpPr>
      </xdr:nvSpPr>
      <xdr:spPr bwMode="auto">
        <a:xfrm>
          <a:off x="1238250" y="1034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136</xdr:row>
      <xdr:rowOff>152400</xdr:rowOff>
    </xdr:from>
    <xdr:to>
      <xdr:col>1</xdr:col>
      <xdr:colOff>571500</xdr:colOff>
      <xdr:row>138</xdr:row>
      <xdr:rowOff>6350</xdr:rowOff>
    </xdr:to>
    <xdr:sp macro="" textlink="">
      <xdr:nvSpPr>
        <xdr:cNvPr id="104" name="TextBox 103"/>
        <xdr:cNvSpPr txBox="1">
          <a:spLocks noChangeArrowheads="1"/>
        </xdr:cNvSpPr>
      </xdr:nvSpPr>
      <xdr:spPr bwMode="auto">
        <a:xfrm>
          <a:off x="1238250" y="1034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137</xdr:row>
      <xdr:rowOff>152400</xdr:rowOff>
    </xdr:from>
    <xdr:to>
      <xdr:col>1</xdr:col>
      <xdr:colOff>571500</xdr:colOff>
      <xdr:row>139</xdr:row>
      <xdr:rowOff>6350</xdr:rowOff>
    </xdr:to>
    <xdr:sp macro="" textlink="">
      <xdr:nvSpPr>
        <xdr:cNvPr id="105" name="TextBox 104"/>
        <xdr:cNvSpPr txBox="1">
          <a:spLocks noChangeArrowheads="1"/>
        </xdr:cNvSpPr>
      </xdr:nvSpPr>
      <xdr:spPr bwMode="auto">
        <a:xfrm>
          <a:off x="1238250" y="1050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137</xdr:row>
      <xdr:rowOff>152400</xdr:rowOff>
    </xdr:from>
    <xdr:to>
      <xdr:col>1</xdr:col>
      <xdr:colOff>571500</xdr:colOff>
      <xdr:row>139</xdr:row>
      <xdr:rowOff>6350</xdr:rowOff>
    </xdr:to>
    <xdr:sp macro="" textlink="">
      <xdr:nvSpPr>
        <xdr:cNvPr id="106" name="TextBox 105"/>
        <xdr:cNvSpPr txBox="1">
          <a:spLocks noChangeArrowheads="1"/>
        </xdr:cNvSpPr>
      </xdr:nvSpPr>
      <xdr:spPr bwMode="auto">
        <a:xfrm>
          <a:off x="1238250" y="1050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138</xdr:row>
      <xdr:rowOff>152400</xdr:rowOff>
    </xdr:from>
    <xdr:to>
      <xdr:col>1</xdr:col>
      <xdr:colOff>571500</xdr:colOff>
      <xdr:row>140</xdr:row>
      <xdr:rowOff>12700</xdr:rowOff>
    </xdr:to>
    <xdr:sp macro="" textlink="">
      <xdr:nvSpPr>
        <xdr:cNvPr id="107" name="TextBox 106"/>
        <xdr:cNvSpPr txBox="1">
          <a:spLocks noChangeArrowheads="1"/>
        </xdr:cNvSpPr>
      </xdr:nvSpPr>
      <xdr:spPr bwMode="auto">
        <a:xfrm>
          <a:off x="1238250" y="106616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138</xdr:row>
      <xdr:rowOff>152400</xdr:rowOff>
    </xdr:from>
    <xdr:to>
      <xdr:col>1</xdr:col>
      <xdr:colOff>571500</xdr:colOff>
      <xdr:row>140</xdr:row>
      <xdr:rowOff>12700</xdr:rowOff>
    </xdr:to>
    <xdr:sp macro="" textlink="">
      <xdr:nvSpPr>
        <xdr:cNvPr id="108" name="TextBox 107"/>
        <xdr:cNvSpPr txBox="1">
          <a:spLocks noChangeArrowheads="1"/>
        </xdr:cNvSpPr>
      </xdr:nvSpPr>
      <xdr:spPr bwMode="auto">
        <a:xfrm>
          <a:off x="1238250" y="106616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139</xdr:row>
      <xdr:rowOff>152400</xdr:rowOff>
    </xdr:from>
    <xdr:to>
      <xdr:col>1</xdr:col>
      <xdr:colOff>571500</xdr:colOff>
      <xdr:row>141</xdr:row>
      <xdr:rowOff>6350</xdr:rowOff>
    </xdr:to>
    <xdr:sp macro="" textlink="">
      <xdr:nvSpPr>
        <xdr:cNvPr id="109" name="TextBox 108"/>
        <xdr:cNvSpPr txBox="1">
          <a:spLocks noChangeArrowheads="1"/>
        </xdr:cNvSpPr>
      </xdr:nvSpPr>
      <xdr:spPr bwMode="auto">
        <a:xfrm>
          <a:off x="1238250" y="10820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83</xdr:row>
      <xdr:rowOff>152400</xdr:rowOff>
    </xdr:from>
    <xdr:to>
      <xdr:col>1</xdr:col>
      <xdr:colOff>571500</xdr:colOff>
      <xdr:row>85</xdr:row>
      <xdr:rowOff>0</xdr:rowOff>
    </xdr:to>
    <xdr:sp macro="" textlink="">
      <xdr:nvSpPr>
        <xdr:cNvPr id="110" name="TextBox 109"/>
        <xdr:cNvSpPr txBox="1">
          <a:spLocks noChangeArrowheads="1"/>
        </xdr:cNvSpPr>
      </xdr:nvSpPr>
      <xdr:spPr bwMode="auto">
        <a:xfrm>
          <a:off x="1238250" y="1854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84</xdr:row>
      <xdr:rowOff>146050</xdr:rowOff>
    </xdr:from>
    <xdr:to>
      <xdr:col>1</xdr:col>
      <xdr:colOff>571500</xdr:colOff>
      <xdr:row>85</xdr:row>
      <xdr:rowOff>158750</xdr:rowOff>
    </xdr:to>
    <xdr:sp macro="" textlink="">
      <xdr:nvSpPr>
        <xdr:cNvPr id="111" name="TextBox 110"/>
        <xdr:cNvSpPr txBox="1">
          <a:spLocks noChangeArrowheads="1"/>
        </xdr:cNvSpPr>
      </xdr:nvSpPr>
      <xdr:spPr bwMode="auto">
        <a:xfrm>
          <a:off x="1238250" y="20129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84</xdr:row>
      <xdr:rowOff>146050</xdr:rowOff>
    </xdr:from>
    <xdr:to>
      <xdr:col>1</xdr:col>
      <xdr:colOff>571500</xdr:colOff>
      <xdr:row>85</xdr:row>
      <xdr:rowOff>158750</xdr:rowOff>
    </xdr:to>
    <xdr:sp macro="" textlink="">
      <xdr:nvSpPr>
        <xdr:cNvPr id="112" name="TextBox 111"/>
        <xdr:cNvSpPr txBox="1">
          <a:spLocks noChangeArrowheads="1"/>
        </xdr:cNvSpPr>
      </xdr:nvSpPr>
      <xdr:spPr bwMode="auto">
        <a:xfrm>
          <a:off x="1238250" y="20129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85</xdr:row>
      <xdr:rowOff>146050</xdr:rowOff>
    </xdr:from>
    <xdr:to>
      <xdr:col>1</xdr:col>
      <xdr:colOff>571500</xdr:colOff>
      <xdr:row>87</xdr:row>
      <xdr:rowOff>0</xdr:rowOff>
    </xdr:to>
    <xdr:sp macro="" textlink="">
      <xdr:nvSpPr>
        <xdr:cNvPr id="113" name="TextBox 112"/>
        <xdr:cNvSpPr txBox="1">
          <a:spLocks noChangeArrowheads="1"/>
        </xdr:cNvSpPr>
      </xdr:nvSpPr>
      <xdr:spPr bwMode="auto">
        <a:xfrm>
          <a:off x="1238250" y="21780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85</xdr:row>
      <xdr:rowOff>146050</xdr:rowOff>
    </xdr:from>
    <xdr:to>
      <xdr:col>1</xdr:col>
      <xdr:colOff>571500</xdr:colOff>
      <xdr:row>87</xdr:row>
      <xdr:rowOff>0</xdr:rowOff>
    </xdr:to>
    <xdr:sp macro="" textlink="">
      <xdr:nvSpPr>
        <xdr:cNvPr id="114" name="TextBox 113"/>
        <xdr:cNvSpPr txBox="1">
          <a:spLocks noChangeArrowheads="1"/>
        </xdr:cNvSpPr>
      </xdr:nvSpPr>
      <xdr:spPr bwMode="auto">
        <a:xfrm>
          <a:off x="1238250" y="21780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85</xdr:row>
      <xdr:rowOff>146050</xdr:rowOff>
    </xdr:from>
    <xdr:to>
      <xdr:col>1</xdr:col>
      <xdr:colOff>571500</xdr:colOff>
      <xdr:row>87</xdr:row>
      <xdr:rowOff>0</xdr:rowOff>
    </xdr:to>
    <xdr:sp macro="" textlink="">
      <xdr:nvSpPr>
        <xdr:cNvPr id="115" name="TextBox 114"/>
        <xdr:cNvSpPr txBox="1">
          <a:spLocks noChangeArrowheads="1"/>
        </xdr:cNvSpPr>
      </xdr:nvSpPr>
      <xdr:spPr bwMode="auto">
        <a:xfrm>
          <a:off x="1238250" y="21780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86</xdr:row>
      <xdr:rowOff>152400</xdr:rowOff>
    </xdr:from>
    <xdr:to>
      <xdr:col>1</xdr:col>
      <xdr:colOff>571500</xdr:colOff>
      <xdr:row>88</xdr:row>
      <xdr:rowOff>0</xdr:rowOff>
    </xdr:to>
    <xdr:sp macro="" textlink="">
      <xdr:nvSpPr>
        <xdr:cNvPr id="116" name="TextBox 115"/>
        <xdr:cNvSpPr txBox="1">
          <a:spLocks noChangeArrowheads="1"/>
        </xdr:cNvSpPr>
      </xdr:nvSpPr>
      <xdr:spPr bwMode="auto">
        <a:xfrm>
          <a:off x="1238250" y="23495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86</xdr:row>
      <xdr:rowOff>152400</xdr:rowOff>
    </xdr:from>
    <xdr:to>
      <xdr:col>1</xdr:col>
      <xdr:colOff>571500</xdr:colOff>
      <xdr:row>88</xdr:row>
      <xdr:rowOff>0</xdr:rowOff>
    </xdr:to>
    <xdr:sp macro="" textlink="">
      <xdr:nvSpPr>
        <xdr:cNvPr id="117" name="TextBox 116"/>
        <xdr:cNvSpPr txBox="1">
          <a:spLocks noChangeArrowheads="1"/>
        </xdr:cNvSpPr>
      </xdr:nvSpPr>
      <xdr:spPr bwMode="auto">
        <a:xfrm>
          <a:off x="1238250" y="23495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86</xdr:row>
      <xdr:rowOff>152400</xdr:rowOff>
    </xdr:from>
    <xdr:to>
      <xdr:col>1</xdr:col>
      <xdr:colOff>571500</xdr:colOff>
      <xdr:row>88</xdr:row>
      <xdr:rowOff>0</xdr:rowOff>
    </xdr:to>
    <xdr:sp macro="" textlink="">
      <xdr:nvSpPr>
        <xdr:cNvPr id="118" name="TextBox 117"/>
        <xdr:cNvSpPr txBox="1">
          <a:spLocks noChangeArrowheads="1"/>
        </xdr:cNvSpPr>
      </xdr:nvSpPr>
      <xdr:spPr bwMode="auto">
        <a:xfrm>
          <a:off x="1238250" y="23495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87</xdr:row>
      <xdr:rowOff>146050</xdr:rowOff>
    </xdr:from>
    <xdr:to>
      <xdr:col>1</xdr:col>
      <xdr:colOff>571500</xdr:colOff>
      <xdr:row>88</xdr:row>
      <xdr:rowOff>158750</xdr:rowOff>
    </xdr:to>
    <xdr:sp macro="" textlink="">
      <xdr:nvSpPr>
        <xdr:cNvPr id="119" name="TextBox 118"/>
        <xdr:cNvSpPr txBox="1">
          <a:spLocks noChangeArrowheads="1"/>
        </xdr:cNvSpPr>
      </xdr:nvSpPr>
      <xdr:spPr bwMode="auto">
        <a:xfrm>
          <a:off x="12382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87</xdr:row>
      <xdr:rowOff>146050</xdr:rowOff>
    </xdr:from>
    <xdr:to>
      <xdr:col>1</xdr:col>
      <xdr:colOff>571500</xdr:colOff>
      <xdr:row>88</xdr:row>
      <xdr:rowOff>158750</xdr:rowOff>
    </xdr:to>
    <xdr:sp macro="" textlink="">
      <xdr:nvSpPr>
        <xdr:cNvPr id="120" name="TextBox 119"/>
        <xdr:cNvSpPr txBox="1">
          <a:spLocks noChangeArrowheads="1"/>
        </xdr:cNvSpPr>
      </xdr:nvSpPr>
      <xdr:spPr bwMode="auto">
        <a:xfrm>
          <a:off x="12382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87</xdr:row>
      <xdr:rowOff>146050</xdr:rowOff>
    </xdr:from>
    <xdr:to>
      <xdr:col>1</xdr:col>
      <xdr:colOff>571500</xdr:colOff>
      <xdr:row>88</xdr:row>
      <xdr:rowOff>158750</xdr:rowOff>
    </xdr:to>
    <xdr:sp macro="" textlink="">
      <xdr:nvSpPr>
        <xdr:cNvPr id="121" name="TextBox 120"/>
        <xdr:cNvSpPr txBox="1">
          <a:spLocks noChangeArrowheads="1"/>
        </xdr:cNvSpPr>
      </xdr:nvSpPr>
      <xdr:spPr bwMode="auto">
        <a:xfrm>
          <a:off x="12382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90</xdr:row>
      <xdr:rowOff>146050</xdr:rowOff>
    </xdr:from>
    <xdr:to>
      <xdr:col>1</xdr:col>
      <xdr:colOff>571500</xdr:colOff>
      <xdr:row>91</xdr:row>
      <xdr:rowOff>158750</xdr:rowOff>
    </xdr:to>
    <xdr:sp macro="" textlink="">
      <xdr:nvSpPr>
        <xdr:cNvPr id="122" name="TextBox 121"/>
        <xdr:cNvSpPr txBox="1">
          <a:spLocks noChangeArrowheads="1"/>
        </xdr:cNvSpPr>
      </xdr:nvSpPr>
      <xdr:spPr bwMode="auto">
        <a:xfrm>
          <a:off x="1238250" y="2997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90</xdr:row>
      <xdr:rowOff>146050</xdr:rowOff>
    </xdr:from>
    <xdr:to>
      <xdr:col>1</xdr:col>
      <xdr:colOff>571500</xdr:colOff>
      <xdr:row>91</xdr:row>
      <xdr:rowOff>158750</xdr:rowOff>
    </xdr:to>
    <xdr:sp macro="" textlink="">
      <xdr:nvSpPr>
        <xdr:cNvPr id="123" name="TextBox 122"/>
        <xdr:cNvSpPr txBox="1">
          <a:spLocks noChangeArrowheads="1"/>
        </xdr:cNvSpPr>
      </xdr:nvSpPr>
      <xdr:spPr bwMode="auto">
        <a:xfrm>
          <a:off x="1238250" y="2997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90</xdr:row>
      <xdr:rowOff>146050</xdr:rowOff>
    </xdr:from>
    <xdr:to>
      <xdr:col>1</xdr:col>
      <xdr:colOff>571500</xdr:colOff>
      <xdr:row>91</xdr:row>
      <xdr:rowOff>158750</xdr:rowOff>
    </xdr:to>
    <xdr:sp macro="" textlink="">
      <xdr:nvSpPr>
        <xdr:cNvPr id="124" name="TextBox 123"/>
        <xdr:cNvSpPr txBox="1">
          <a:spLocks noChangeArrowheads="1"/>
        </xdr:cNvSpPr>
      </xdr:nvSpPr>
      <xdr:spPr bwMode="auto">
        <a:xfrm>
          <a:off x="1238250" y="2997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125" name="TextBox 124"/>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126" name="TextBox 125"/>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127" name="TextBox 126"/>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128" name="TextBox 127"/>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129" name="TextBox 128"/>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130" name="TextBox 129"/>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131" name="TextBox 130"/>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132" name="TextBox 131"/>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133" name="TextBox 132"/>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92</xdr:row>
      <xdr:rowOff>146050</xdr:rowOff>
    </xdr:from>
    <xdr:to>
      <xdr:col>1</xdr:col>
      <xdr:colOff>571500</xdr:colOff>
      <xdr:row>93</xdr:row>
      <xdr:rowOff>158750</xdr:rowOff>
    </xdr:to>
    <xdr:sp macro="" textlink="">
      <xdr:nvSpPr>
        <xdr:cNvPr id="134" name="TextBox 133"/>
        <xdr:cNvSpPr txBox="1">
          <a:spLocks noChangeArrowheads="1"/>
        </xdr:cNvSpPr>
      </xdr:nvSpPr>
      <xdr:spPr bwMode="auto">
        <a:xfrm>
          <a:off x="12382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92</xdr:row>
      <xdr:rowOff>146050</xdr:rowOff>
    </xdr:from>
    <xdr:to>
      <xdr:col>1</xdr:col>
      <xdr:colOff>571500</xdr:colOff>
      <xdr:row>93</xdr:row>
      <xdr:rowOff>158750</xdr:rowOff>
    </xdr:to>
    <xdr:sp macro="" textlink="">
      <xdr:nvSpPr>
        <xdr:cNvPr id="135" name="TextBox 134"/>
        <xdr:cNvSpPr txBox="1">
          <a:spLocks noChangeArrowheads="1"/>
        </xdr:cNvSpPr>
      </xdr:nvSpPr>
      <xdr:spPr bwMode="auto">
        <a:xfrm>
          <a:off x="12382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92</xdr:row>
      <xdr:rowOff>146050</xdr:rowOff>
    </xdr:from>
    <xdr:to>
      <xdr:col>1</xdr:col>
      <xdr:colOff>571500</xdr:colOff>
      <xdr:row>93</xdr:row>
      <xdr:rowOff>158750</xdr:rowOff>
    </xdr:to>
    <xdr:sp macro="" textlink="">
      <xdr:nvSpPr>
        <xdr:cNvPr id="136" name="TextBox 135"/>
        <xdr:cNvSpPr txBox="1">
          <a:spLocks noChangeArrowheads="1"/>
        </xdr:cNvSpPr>
      </xdr:nvSpPr>
      <xdr:spPr bwMode="auto">
        <a:xfrm>
          <a:off x="12382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93</xdr:row>
      <xdr:rowOff>146050</xdr:rowOff>
    </xdr:from>
    <xdr:to>
      <xdr:col>1</xdr:col>
      <xdr:colOff>571500</xdr:colOff>
      <xdr:row>95</xdr:row>
      <xdr:rowOff>0</xdr:rowOff>
    </xdr:to>
    <xdr:sp macro="" textlink="">
      <xdr:nvSpPr>
        <xdr:cNvPr id="137" name="TextBox 136"/>
        <xdr:cNvSpPr txBox="1">
          <a:spLocks noChangeArrowheads="1"/>
        </xdr:cNvSpPr>
      </xdr:nvSpPr>
      <xdr:spPr bwMode="auto">
        <a:xfrm>
          <a:off x="12382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93</xdr:row>
      <xdr:rowOff>146050</xdr:rowOff>
    </xdr:from>
    <xdr:to>
      <xdr:col>1</xdr:col>
      <xdr:colOff>571500</xdr:colOff>
      <xdr:row>95</xdr:row>
      <xdr:rowOff>0</xdr:rowOff>
    </xdr:to>
    <xdr:sp macro="" textlink="">
      <xdr:nvSpPr>
        <xdr:cNvPr id="138" name="TextBox 137"/>
        <xdr:cNvSpPr txBox="1">
          <a:spLocks noChangeArrowheads="1"/>
        </xdr:cNvSpPr>
      </xdr:nvSpPr>
      <xdr:spPr bwMode="auto">
        <a:xfrm>
          <a:off x="12382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93</xdr:row>
      <xdr:rowOff>146050</xdr:rowOff>
    </xdr:from>
    <xdr:to>
      <xdr:col>1</xdr:col>
      <xdr:colOff>571500</xdr:colOff>
      <xdr:row>95</xdr:row>
      <xdr:rowOff>0</xdr:rowOff>
    </xdr:to>
    <xdr:sp macro="" textlink="">
      <xdr:nvSpPr>
        <xdr:cNvPr id="139" name="TextBox 138"/>
        <xdr:cNvSpPr txBox="1">
          <a:spLocks noChangeArrowheads="1"/>
        </xdr:cNvSpPr>
      </xdr:nvSpPr>
      <xdr:spPr bwMode="auto">
        <a:xfrm>
          <a:off x="12382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94</xdr:row>
      <xdr:rowOff>152400</xdr:rowOff>
    </xdr:from>
    <xdr:to>
      <xdr:col>1</xdr:col>
      <xdr:colOff>571500</xdr:colOff>
      <xdr:row>96</xdr:row>
      <xdr:rowOff>6350</xdr:rowOff>
    </xdr:to>
    <xdr:sp macro="" textlink="">
      <xdr:nvSpPr>
        <xdr:cNvPr id="140" name="TextBox 139"/>
        <xdr:cNvSpPr txBox="1">
          <a:spLocks noChangeArrowheads="1"/>
        </xdr:cNvSpPr>
      </xdr:nvSpPr>
      <xdr:spPr bwMode="auto">
        <a:xfrm>
          <a:off x="12382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94</xdr:row>
      <xdr:rowOff>152400</xdr:rowOff>
    </xdr:from>
    <xdr:to>
      <xdr:col>1</xdr:col>
      <xdr:colOff>571500</xdr:colOff>
      <xdr:row>96</xdr:row>
      <xdr:rowOff>6350</xdr:rowOff>
    </xdr:to>
    <xdr:sp macro="" textlink="">
      <xdr:nvSpPr>
        <xdr:cNvPr id="141" name="TextBox 140"/>
        <xdr:cNvSpPr txBox="1">
          <a:spLocks noChangeArrowheads="1"/>
        </xdr:cNvSpPr>
      </xdr:nvSpPr>
      <xdr:spPr bwMode="auto">
        <a:xfrm>
          <a:off x="12382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94</xdr:row>
      <xdr:rowOff>152400</xdr:rowOff>
    </xdr:from>
    <xdr:to>
      <xdr:col>1</xdr:col>
      <xdr:colOff>571500</xdr:colOff>
      <xdr:row>96</xdr:row>
      <xdr:rowOff>6350</xdr:rowOff>
    </xdr:to>
    <xdr:sp macro="" textlink="">
      <xdr:nvSpPr>
        <xdr:cNvPr id="142" name="TextBox 141"/>
        <xdr:cNvSpPr txBox="1">
          <a:spLocks noChangeArrowheads="1"/>
        </xdr:cNvSpPr>
      </xdr:nvSpPr>
      <xdr:spPr bwMode="auto">
        <a:xfrm>
          <a:off x="12382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95</xdr:row>
      <xdr:rowOff>152400</xdr:rowOff>
    </xdr:from>
    <xdr:to>
      <xdr:col>1</xdr:col>
      <xdr:colOff>571500</xdr:colOff>
      <xdr:row>97</xdr:row>
      <xdr:rowOff>0</xdr:rowOff>
    </xdr:to>
    <xdr:sp macro="" textlink="">
      <xdr:nvSpPr>
        <xdr:cNvPr id="143" name="TextBox 142"/>
        <xdr:cNvSpPr txBox="1">
          <a:spLocks noChangeArrowheads="1"/>
        </xdr:cNvSpPr>
      </xdr:nvSpPr>
      <xdr:spPr bwMode="auto">
        <a:xfrm>
          <a:off x="12382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95</xdr:row>
      <xdr:rowOff>152400</xdr:rowOff>
    </xdr:from>
    <xdr:to>
      <xdr:col>1</xdr:col>
      <xdr:colOff>571500</xdr:colOff>
      <xdr:row>97</xdr:row>
      <xdr:rowOff>0</xdr:rowOff>
    </xdr:to>
    <xdr:sp macro="" textlink="">
      <xdr:nvSpPr>
        <xdr:cNvPr id="144" name="TextBox 143"/>
        <xdr:cNvSpPr txBox="1">
          <a:spLocks noChangeArrowheads="1"/>
        </xdr:cNvSpPr>
      </xdr:nvSpPr>
      <xdr:spPr bwMode="auto">
        <a:xfrm>
          <a:off x="12382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95</xdr:row>
      <xdr:rowOff>152400</xdr:rowOff>
    </xdr:from>
    <xdr:to>
      <xdr:col>1</xdr:col>
      <xdr:colOff>571500</xdr:colOff>
      <xdr:row>97</xdr:row>
      <xdr:rowOff>0</xdr:rowOff>
    </xdr:to>
    <xdr:sp macro="" textlink="">
      <xdr:nvSpPr>
        <xdr:cNvPr id="145" name="TextBox 144"/>
        <xdr:cNvSpPr txBox="1">
          <a:spLocks noChangeArrowheads="1"/>
        </xdr:cNvSpPr>
      </xdr:nvSpPr>
      <xdr:spPr bwMode="auto">
        <a:xfrm>
          <a:off x="12382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146" name="TextBox 145"/>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147" name="TextBox 146"/>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148" name="TextBox 147"/>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149" name="TextBox 148"/>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150" name="TextBox 149"/>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151" name="TextBox 150"/>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152" name="TextBox 151"/>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153" name="TextBox 152"/>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154" name="TextBox 153"/>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155" name="TextBox 154"/>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156" name="TextBox 155"/>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157" name="TextBox 156"/>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98</xdr:row>
      <xdr:rowOff>152400</xdr:rowOff>
    </xdr:from>
    <xdr:to>
      <xdr:col>1</xdr:col>
      <xdr:colOff>571500</xdr:colOff>
      <xdr:row>100</xdr:row>
      <xdr:rowOff>6350</xdr:rowOff>
    </xdr:to>
    <xdr:sp macro="" textlink="">
      <xdr:nvSpPr>
        <xdr:cNvPr id="158" name="TextBox 157"/>
        <xdr:cNvSpPr txBox="1">
          <a:spLocks noChangeArrowheads="1"/>
        </xdr:cNvSpPr>
      </xdr:nvSpPr>
      <xdr:spPr bwMode="auto">
        <a:xfrm>
          <a:off x="1238250" y="4305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98</xdr:row>
      <xdr:rowOff>152400</xdr:rowOff>
    </xdr:from>
    <xdr:to>
      <xdr:col>1</xdr:col>
      <xdr:colOff>571500</xdr:colOff>
      <xdr:row>100</xdr:row>
      <xdr:rowOff>6350</xdr:rowOff>
    </xdr:to>
    <xdr:sp macro="" textlink="">
      <xdr:nvSpPr>
        <xdr:cNvPr id="159" name="TextBox 158"/>
        <xdr:cNvSpPr txBox="1">
          <a:spLocks noChangeArrowheads="1"/>
        </xdr:cNvSpPr>
      </xdr:nvSpPr>
      <xdr:spPr bwMode="auto">
        <a:xfrm>
          <a:off x="1238250" y="4305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98</xdr:row>
      <xdr:rowOff>152400</xdr:rowOff>
    </xdr:from>
    <xdr:to>
      <xdr:col>1</xdr:col>
      <xdr:colOff>571500</xdr:colOff>
      <xdr:row>100</xdr:row>
      <xdr:rowOff>6350</xdr:rowOff>
    </xdr:to>
    <xdr:sp macro="" textlink="">
      <xdr:nvSpPr>
        <xdr:cNvPr id="160" name="TextBox 159"/>
        <xdr:cNvSpPr txBox="1">
          <a:spLocks noChangeArrowheads="1"/>
        </xdr:cNvSpPr>
      </xdr:nvSpPr>
      <xdr:spPr bwMode="auto">
        <a:xfrm>
          <a:off x="1238250" y="4305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103</xdr:row>
      <xdr:rowOff>152400</xdr:rowOff>
    </xdr:from>
    <xdr:to>
      <xdr:col>1</xdr:col>
      <xdr:colOff>571500</xdr:colOff>
      <xdr:row>105</xdr:row>
      <xdr:rowOff>6350</xdr:rowOff>
    </xdr:to>
    <xdr:sp macro="" textlink="">
      <xdr:nvSpPr>
        <xdr:cNvPr id="161" name="TextBox 160"/>
        <xdr:cNvSpPr txBox="1">
          <a:spLocks noChangeArrowheads="1"/>
        </xdr:cNvSpPr>
      </xdr:nvSpPr>
      <xdr:spPr bwMode="auto">
        <a:xfrm>
          <a:off x="1238250" y="510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103</xdr:row>
      <xdr:rowOff>152400</xdr:rowOff>
    </xdr:from>
    <xdr:to>
      <xdr:col>1</xdr:col>
      <xdr:colOff>571500</xdr:colOff>
      <xdr:row>105</xdr:row>
      <xdr:rowOff>6350</xdr:rowOff>
    </xdr:to>
    <xdr:sp macro="" textlink="">
      <xdr:nvSpPr>
        <xdr:cNvPr id="162" name="TextBox 161"/>
        <xdr:cNvSpPr txBox="1">
          <a:spLocks noChangeArrowheads="1"/>
        </xdr:cNvSpPr>
      </xdr:nvSpPr>
      <xdr:spPr bwMode="auto">
        <a:xfrm>
          <a:off x="1238250" y="510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103</xdr:row>
      <xdr:rowOff>152400</xdr:rowOff>
    </xdr:from>
    <xdr:to>
      <xdr:col>1</xdr:col>
      <xdr:colOff>571500</xdr:colOff>
      <xdr:row>105</xdr:row>
      <xdr:rowOff>6350</xdr:rowOff>
    </xdr:to>
    <xdr:sp macro="" textlink="">
      <xdr:nvSpPr>
        <xdr:cNvPr id="163" name="TextBox 162"/>
        <xdr:cNvSpPr txBox="1">
          <a:spLocks noChangeArrowheads="1"/>
        </xdr:cNvSpPr>
      </xdr:nvSpPr>
      <xdr:spPr bwMode="auto">
        <a:xfrm>
          <a:off x="1238250" y="510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104</xdr:row>
      <xdr:rowOff>152400</xdr:rowOff>
    </xdr:from>
    <xdr:to>
      <xdr:col>1</xdr:col>
      <xdr:colOff>571500</xdr:colOff>
      <xdr:row>106</xdr:row>
      <xdr:rowOff>6350</xdr:rowOff>
    </xdr:to>
    <xdr:sp macro="" textlink="">
      <xdr:nvSpPr>
        <xdr:cNvPr id="164" name="TextBox 163"/>
        <xdr:cNvSpPr txBox="1">
          <a:spLocks noChangeArrowheads="1"/>
        </xdr:cNvSpPr>
      </xdr:nvSpPr>
      <xdr:spPr bwMode="auto">
        <a:xfrm>
          <a:off x="1238250" y="526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104</xdr:row>
      <xdr:rowOff>152400</xdr:rowOff>
    </xdr:from>
    <xdr:to>
      <xdr:col>1</xdr:col>
      <xdr:colOff>571500</xdr:colOff>
      <xdr:row>106</xdr:row>
      <xdr:rowOff>6350</xdr:rowOff>
    </xdr:to>
    <xdr:sp macro="" textlink="">
      <xdr:nvSpPr>
        <xdr:cNvPr id="165" name="TextBox 164"/>
        <xdr:cNvSpPr txBox="1">
          <a:spLocks noChangeArrowheads="1"/>
        </xdr:cNvSpPr>
      </xdr:nvSpPr>
      <xdr:spPr bwMode="auto">
        <a:xfrm>
          <a:off x="1238250" y="526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104</xdr:row>
      <xdr:rowOff>152400</xdr:rowOff>
    </xdr:from>
    <xdr:to>
      <xdr:col>1</xdr:col>
      <xdr:colOff>571500</xdr:colOff>
      <xdr:row>106</xdr:row>
      <xdr:rowOff>6350</xdr:rowOff>
    </xdr:to>
    <xdr:sp macro="" textlink="">
      <xdr:nvSpPr>
        <xdr:cNvPr id="166" name="TextBox 165"/>
        <xdr:cNvSpPr txBox="1">
          <a:spLocks noChangeArrowheads="1"/>
        </xdr:cNvSpPr>
      </xdr:nvSpPr>
      <xdr:spPr bwMode="auto">
        <a:xfrm>
          <a:off x="1238250" y="526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105</xdr:row>
      <xdr:rowOff>152400</xdr:rowOff>
    </xdr:from>
    <xdr:to>
      <xdr:col>1</xdr:col>
      <xdr:colOff>571500</xdr:colOff>
      <xdr:row>107</xdr:row>
      <xdr:rowOff>6350</xdr:rowOff>
    </xdr:to>
    <xdr:sp macro="" textlink="">
      <xdr:nvSpPr>
        <xdr:cNvPr id="167" name="TextBox 166"/>
        <xdr:cNvSpPr txBox="1">
          <a:spLocks noChangeArrowheads="1"/>
        </xdr:cNvSpPr>
      </xdr:nvSpPr>
      <xdr:spPr bwMode="auto">
        <a:xfrm>
          <a:off x="1238250" y="542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105</xdr:row>
      <xdr:rowOff>152400</xdr:rowOff>
    </xdr:from>
    <xdr:to>
      <xdr:col>1</xdr:col>
      <xdr:colOff>571500</xdr:colOff>
      <xdr:row>107</xdr:row>
      <xdr:rowOff>6350</xdr:rowOff>
    </xdr:to>
    <xdr:sp macro="" textlink="">
      <xdr:nvSpPr>
        <xdr:cNvPr id="168" name="TextBox 167"/>
        <xdr:cNvSpPr txBox="1">
          <a:spLocks noChangeArrowheads="1"/>
        </xdr:cNvSpPr>
      </xdr:nvSpPr>
      <xdr:spPr bwMode="auto">
        <a:xfrm>
          <a:off x="1238250" y="542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105</xdr:row>
      <xdr:rowOff>152400</xdr:rowOff>
    </xdr:from>
    <xdr:to>
      <xdr:col>1</xdr:col>
      <xdr:colOff>571500</xdr:colOff>
      <xdr:row>107</xdr:row>
      <xdr:rowOff>6350</xdr:rowOff>
    </xdr:to>
    <xdr:sp macro="" textlink="">
      <xdr:nvSpPr>
        <xdr:cNvPr id="169" name="TextBox 168"/>
        <xdr:cNvSpPr txBox="1">
          <a:spLocks noChangeArrowheads="1"/>
        </xdr:cNvSpPr>
      </xdr:nvSpPr>
      <xdr:spPr bwMode="auto">
        <a:xfrm>
          <a:off x="1238250" y="542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106</xdr:row>
      <xdr:rowOff>152400</xdr:rowOff>
    </xdr:from>
    <xdr:to>
      <xdr:col>1</xdr:col>
      <xdr:colOff>571500</xdr:colOff>
      <xdr:row>108</xdr:row>
      <xdr:rowOff>6350</xdr:rowOff>
    </xdr:to>
    <xdr:sp macro="" textlink="">
      <xdr:nvSpPr>
        <xdr:cNvPr id="170" name="TextBox 169"/>
        <xdr:cNvSpPr txBox="1">
          <a:spLocks noChangeArrowheads="1"/>
        </xdr:cNvSpPr>
      </xdr:nvSpPr>
      <xdr:spPr bwMode="auto">
        <a:xfrm>
          <a:off x="1238250" y="558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106</xdr:row>
      <xdr:rowOff>152400</xdr:rowOff>
    </xdr:from>
    <xdr:to>
      <xdr:col>1</xdr:col>
      <xdr:colOff>571500</xdr:colOff>
      <xdr:row>108</xdr:row>
      <xdr:rowOff>6350</xdr:rowOff>
    </xdr:to>
    <xdr:sp macro="" textlink="">
      <xdr:nvSpPr>
        <xdr:cNvPr id="171" name="TextBox 170"/>
        <xdr:cNvSpPr txBox="1">
          <a:spLocks noChangeArrowheads="1"/>
        </xdr:cNvSpPr>
      </xdr:nvSpPr>
      <xdr:spPr bwMode="auto">
        <a:xfrm>
          <a:off x="1238250" y="558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106</xdr:row>
      <xdr:rowOff>152400</xdr:rowOff>
    </xdr:from>
    <xdr:to>
      <xdr:col>1</xdr:col>
      <xdr:colOff>571500</xdr:colOff>
      <xdr:row>108</xdr:row>
      <xdr:rowOff>6350</xdr:rowOff>
    </xdr:to>
    <xdr:sp macro="" textlink="">
      <xdr:nvSpPr>
        <xdr:cNvPr id="172" name="TextBox 171"/>
        <xdr:cNvSpPr txBox="1">
          <a:spLocks noChangeArrowheads="1"/>
        </xdr:cNvSpPr>
      </xdr:nvSpPr>
      <xdr:spPr bwMode="auto">
        <a:xfrm>
          <a:off x="1238250" y="558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107</xdr:row>
      <xdr:rowOff>152400</xdr:rowOff>
    </xdr:from>
    <xdr:to>
      <xdr:col>1</xdr:col>
      <xdr:colOff>571500</xdr:colOff>
      <xdr:row>109</xdr:row>
      <xdr:rowOff>6350</xdr:rowOff>
    </xdr:to>
    <xdr:sp macro="" textlink="">
      <xdr:nvSpPr>
        <xdr:cNvPr id="173" name="TextBox 172"/>
        <xdr:cNvSpPr txBox="1">
          <a:spLocks noChangeArrowheads="1"/>
        </xdr:cNvSpPr>
      </xdr:nvSpPr>
      <xdr:spPr bwMode="auto">
        <a:xfrm>
          <a:off x="12382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107</xdr:row>
      <xdr:rowOff>152400</xdr:rowOff>
    </xdr:from>
    <xdr:to>
      <xdr:col>1</xdr:col>
      <xdr:colOff>571500</xdr:colOff>
      <xdr:row>109</xdr:row>
      <xdr:rowOff>6350</xdr:rowOff>
    </xdr:to>
    <xdr:sp macro="" textlink="">
      <xdr:nvSpPr>
        <xdr:cNvPr id="174" name="TextBox 173"/>
        <xdr:cNvSpPr txBox="1">
          <a:spLocks noChangeArrowheads="1"/>
        </xdr:cNvSpPr>
      </xdr:nvSpPr>
      <xdr:spPr bwMode="auto">
        <a:xfrm>
          <a:off x="12382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107</xdr:row>
      <xdr:rowOff>152400</xdr:rowOff>
    </xdr:from>
    <xdr:to>
      <xdr:col>1</xdr:col>
      <xdr:colOff>571500</xdr:colOff>
      <xdr:row>109</xdr:row>
      <xdr:rowOff>6350</xdr:rowOff>
    </xdr:to>
    <xdr:sp macro="" textlink="">
      <xdr:nvSpPr>
        <xdr:cNvPr id="175" name="TextBox 174"/>
        <xdr:cNvSpPr txBox="1">
          <a:spLocks noChangeArrowheads="1"/>
        </xdr:cNvSpPr>
      </xdr:nvSpPr>
      <xdr:spPr bwMode="auto">
        <a:xfrm>
          <a:off x="12382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108</xdr:row>
      <xdr:rowOff>152400</xdr:rowOff>
    </xdr:from>
    <xdr:to>
      <xdr:col>1</xdr:col>
      <xdr:colOff>571500</xdr:colOff>
      <xdr:row>110</xdr:row>
      <xdr:rowOff>6350</xdr:rowOff>
    </xdr:to>
    <xdr:sp macro="" textlink="">
      <xdr:nvSpPr>
        <xdr:cNvPr id="176" name="TextBox 175"/>
        <xdr:cNvSpPr txBox="1">
          <a:spLocks noChangeArrowheads="1"/>
        </xdr:cNvSpPr>
      </xdr:nvSpPr>
      <xdr:spPr bwMode="auto">
        <a:xfrm>
          <a:off x="12382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108</xdr:row>
      <xdr:rowOff>152400</xdr:rowOff>
    </xdr:from>
    <xdr:to>
      <xdr:col>1</xdr:col>
      <xdr:colOff>571500</xdr:colOff>
      <xdr:row>110</xdr:row>
      <xdr:rowOff>6350</xdr:rowOff>
    </xdr:to>
    <xdr:sp macro="" textlink="">
      <xdr:nvSpPr>
        <xdr:cNvPr id="177" name="TextBox 176"/>
        <xdr:cNvSpPr txBox="1">
          <a:spLocks noChangeArrowheads="1"/>
        </xdr:cNvSpPr>
      </xdr:nvSpPr>
      <xdr:spPr bwMode="auto">
        <a:xfrm>
          <a:off x="12382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108</xdr:row>
      <xdr:rowOff>152400</xdr:rowOff>
    </xdr:from>
    <xdr:to>
      <xdr:col>1</xdr:col>
      <xdr:colOff>571500</xdr:colOff>
      <xdr:row>110</xdr:row>
      <xdr:rowOff>6350</xdr:rowOff>
    </xdr:to>
    <xdr:sp macro="" textlink="">
      <xdr:nvSpPr>
        <xdr:cNvPr id="178" name="TextBox 177"/>
        <xdr:cNvSpPr txBox="1">
          <a:spLocks noChangeArrowheads="1"/>
        </xdr:cNvSpPr>
      </xdr:nvSpPr>
      <xdr:spPr bwMode="auto">
        <a:xfrm>
          <a:off x="12382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109</xdr:row>
      <xdr:rowOff>152400</xdr:rowOff>
    </xdr:from>
    <xdr:to>
      <xdr:col>1</xdr:col>
      <xdr:colOff>571500</xdr:colOff>
      <xdr:row>111</xdr:row>
      <xdr:rowOff>6350</xdr:rowOff>
    </xdr:to>
    <xdr:sp macro="" textlink="">
      <xdr:nvSpPr>
        <xdr:cNvPr id="179" name="TextBox 178"/>
        <xdr:cNvSpPr txBox="1">
          <a:spLocks noChangeArrowheads="1"/>
        </xdr:cNvSpPr>
      </xdr:nvSpPr>
      <xdr:spPr bwMode="auto">
        <a:xfrm>
          <a:off x="12382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109</xdr:row>
      <xdr:rowOff>152400</xdr:rowOff>
    </xdr:from>
    <xdr:to>
      <xdr:col>1</xdr:col>
      <xdr:colOff>571500</xdr:colOff>
      <xdr:row>111</xdr:row>
      <xdr:rowOff>6350</xdr:rowOff>
    </xdr:to>
    <xdr:sp macro="" textlink="">
      <xdr:nvSpPr>
        <xdr:cNvPr id="180" name="TextBox 179"/>
        <xdr:cNvSpPr txBox="1">
          <a:spLocks noChangeArrowheads="1"/>
        </xdr:cNvSpPr>
      </xdr:nvSpPr>
      <xdr:spPr bwMode="auto">
        <a:xfrm>
          <a:off x="12382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109</xdr:row>
      <xdr:rowOff>152400</xdr:rowOff>
    </xdr:from>
    <xdr:to>
      <xdr:col>1</xdr:col>
      <xdr:colOff>571500</xdr:colOff>
      <xdr:row>111</xdr:row>
      <xdr:rowOff>6350</xdr:rowOff>
    </xdr:to>
    <xdr:sp macro="" textlink="">
      <xdr:nvSpPr>
        <xdr:cNvPr id="181" name="TextBox 180"/>
        <xdr:cNvSpPr txBox="1">
          <a:spLocks noChangeArrowheads="1"/>
        </xdr:cNvSpPr>
      </xdr:nvSpPr>
      <xdr:spPr bwMode="auto">
        <a:xfrm>
          <a:off x="12382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110</xdr:row>
      <xdr:rowOff>152400</xdr:rowOff>
    </xdr:from>
    <xdr:to>
      <xdr:col>1</xdr:col>
      <xdr:colOff>571500</xdr:colOff>
      <xdr:row>112</xdr:row>
      <xdr:rowOff>6350</xdr:rowOff>
    </xdr:to>
    <xdr:sp macro="" textlink="">
      <xdr:nvSpPr>
        <xdr:cNvPr id="182" name="TextBox 181"/>
        <xdr:cNvSpPr txBox="1">
          <a:spLocks noChangeArrowheads="1"/>
        </xdr:cNvSpPr>
      </xdr:nvSpPr>
      <xdr:spPr bwMode="auto">
        <a:xfrm>
          <a:off x="12382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110</xdr:row>
      <xdr:rowOff>152400</xdr:rowOff>
    </xdr:from>
    <xdr:to>
      <xdr:col>1</xdr:col>
      <xdr:colOff>571500</xdr:colOff>
      <xdr:row>112</xdr:row>
      <xdr:rowOff>6350</xdr:rowOff>
    </xdr:to>
    <xdr:sp macro="" textlink="">
      <xdr:nvSpPr>
        <xdr:cNvPr id="183" name="TextBox 182"/>
        <xdr:cNvSpPr txBox="1">
          <a:spLocks noChangeArrowheads="1"/>
        </xdr:cNvSpPr>
      </xdr:nvSpPr>
      <xdr:spPr bwMode="auto">
        <a:xfrm>
          <a:off x="12382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110</xdr:row>
      <xdr:rowOff>152400</xdr:rowOff>
    </xdr:from>
    <xdr:to>
      <xdr:col>1</xdr:col>
      <xdr:colOff>571500</xdr:colOff>
      <xdr:row>112</xdr:row>
      <xdr:rowOff>6350</xdr:rowOff>
    </xdr:to>
    <xdr:sp macro="" textlink="">
      <xdr:nvSpPr>
        <xdr:cNvPr id="184" name="TextBox 183"/>
        <xdr:cNvSpPr txBox="1">
          <a:spLocks noChangeArrowheads="1"/>
        </xdr:cNvSpPr>
      </xdr:nvSpPr>
      <xdr:spPr bwMode="auto">
        <a:xfrm>
          <a:off x="12382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111</xdr:row>
      <xdr:rowOff>152400</xdr:rowOff>
    </xdr:from>
    <xdr:to>
      <xdr:col>1</xdr:col>
      <xdr:colOff>571500</xdr:colOff>
      <xdr:row>113</xdr:row>
      <xdr:rowOff>6350</xdr:rowOff>
    </xdr:to>
    <xdr:sp macro="" textlink="">
      <xdr:nvSpPr>
        <xdr:cNvPr id="185" name="TextBox 184"/>
        <xdr:cNvSpPr txBox="1">
          <a:spLocks noChangeArrowheads="1"/>
        </xdr:cNvSpPr>
      </xdr:nvSpPr>
      <xdr:spPr bwMode="auto">
        <a:xfrm>
          <a:off x="1238250" y="637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111</xdr:row>
      <xdr:rowOff>152400</xdr:rowOff>
    </xdr:from>
    <xdr:to>
      <xdr:col>1</xdr:col>
      <xdr:colOff>571500</xdr:colOff>
      <xdr:row>113</xdr:row>
      <xdr:rowOff>6350</xdr:rowOff>
    </xdr:to>
    <xdr:sp macro="" textlink="">
      <xdr:nvSpPr>
        <xdr:cNvPr id="186" name="TextBox 185"/>
        <xdr:cNvSpPr txBox="1">
          <a:spLocks noChangeArrowheads="1"/>
        </xdr:cNvSpPr>
      </xdr:nvSpPr>
      <xdr:spPr bwMode="auto">
        <a:xfrm>
          <a:off x="1238250" y="637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111</xdr:row>
      <xdr:rowOff>152400</xdr:rowOff>
    </xdr:from>
    <xdr:to>
      <xdr:col>1</xdr:col>
      <xdr:colOff>571500</xdr:colOff>
      <xdr:row>113</xdr:row>
      <xdr:rowOff>6350</xdr:rowOff>
    </xdr:to>
    <xdr:sp macro="" textlink="">
      <xdr:nvSpPr>
        <xdr:cNvPr id="187" name="TextBox 186"/>
        <xdr:cNvSpPr txBox="1">
          <a:spLocks noChangeArrowheads="1"/>
        </xdr:cNvSpPr>
      </xdr:nvSpPr>
      <xdr:spPr bwMode="auto">
        <a:xfrm>
          <a:off x="1238250" y="637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112</xdr:row>
      <xdr:rowOff>152400</xdr:rowOff>
    </xdr:from>
    <xdr:to>
      <xdr:col>1</xdr:col>
      <xdr:colOff>571500</xdr:colOff>
      <xdr:row>114</xdr:row>
      <xdr:rowOff>6350</xdr:rowOff>
    </xdr:to>
    <xdr:sp macro="" textlink="">
      <xdr:nvSpPr>
        <xdr:cNvPr id="188" name="TextBox 187"/>
        <xdr:cNvSpPr txBox="1">
          <a:spLocks noChangeArrowheads="1"/>
        </xdr:cNvSpPr>
      </xdr:nvSpPr>
      <xdr:spPr bwMode="auto">
        <a:xfrm>
          <a:off x="1238250" y="653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112</xdr:row>
      <xdr:rowOff>152400</xdr:rowOff>
    </xdr:from>
    <xdr:to>
      <xdr:col>1</xdr:col>
      <xdr:colOff>571500</xdr:colOff>
      <xdr:row>114</xdr:row>
      <xdr:rowOff>6350</xdr:rowOff>
    </xdr:to>
    <xdr:sp macro="" textlink="">
      <xdr:nvSpPr>
        <xdr:cNvPr id="189" name="TextBox 188"/>
        <xdr:cNvSpPr txBox="1">
          <a:spLocks noChangeArrowheads="1"/>
        </xdr:cNvSpPr>
      </xdr:nvSpPr>
      <xdr:spPr bwMode="auto">
        <a:xfrm>
          <a:off x="1238250" y="653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112</xdr:row>
      <xdr:rowOff>152400</xdr:rowOff>
    </xdr:from>
    <xdr:to>
      <xdr:col>1</xdr:col>
      <xdr:colOff>571500</xdr:colOff>
      <xdr:row>114</xdr:row>
      <xdr:rowOff>6350</xdr:rowOff>
    </xdr:to>
    <xdr:sp macro="" textlink="">
      <xdr:nvSpPr>
        <xdr:cNvPr id="190" name="TextBox 189"/>
        <xdr:cNvSpPr txBox="1">
          <a:spLocks noChangeArrowheads="1"/>
        </xdr:cNvSpPr>
      </xdr:nvSpPr>
      <xdr:spPr bwMode="auto">
        <a:xfrm>
          <a:off x="1238250" y="653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113</xdr:row>
      <xdr:rowOff>152400</xdr:rowOff>
    </xdr:from>
    <xdr:to>
      <xdr:col>1</xdr:col>
      <xdr:colOff>571500</xdr:colOff>
      <xdr:row>115</xdr:row>
      <xdr:rowOff>6350</xdr:rowOff>
    </xdr:to>
    <xdr:sp macro="" textlink="">
      <xdr:nvSpPr>
        <xdr:cNvPr id="191" name="TextBox 190"/>
        <xdr:cNvSpPr txBox="1">
          <a:spLocks noChangeArrowheads="1"/>
        </xdr:cNvSpPr>
      </xdr:nvSpPr>
      <xdr:spPr bwMode="auto">
        <a:xfrm>
          <a:off x="1238250" y="669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113</xdr:row>
      <xdr:rowOff>152400</xdr:rowOff>
    </xdr:from>
    <xdr:to>
      <xdr:col>1</xdr:col>
      <xdr:colOff>571500</xdr:colOff>
      <xdr:row>115</xdr:row>
      <xdr:rowOff>6350</xdr:rowOff>
    </xdr:to>
    <xdr:sp macro="" textlink="">
      <xdr:nvSpPr>
        <xdr:cNvPr id="192" name="TextBox 191"/>
        <xdr:cNvSpPr txBox="1">
          <a:spLocks noChangeArrowheads="1"/>
        </xdr:cNvSpPr>
      </xdr:nvSpPr>
      <xdr:spPr bwMode="auto">
        <a:xfrm>
          <a:off x="1238250" y="669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113</xdr:row>
      <xdr:rowOff>152400</xdr:rowOff>
    </xdr:from>
    <xdr:to>
      <xdr:col>1</xdr:col>
      <xdr:colOff>571500</xdr:colOff>
      <xdr:row>115</xdr:row>
      <xdr:rowOff>6350</xdr:rowOff>
    </xdr:to>
    <xdr:sp macro="" textlink="">
      <xdr:nvSpPr>
        <xdr:cNvPr id="193" name="TextBox 192"/>
        <xdr:cNvSpPr txBox="1">
          <a:spLocks noChangeArrowheads="1"/>
        </xdr:cNvSpPr>
      </xdr:nvSpPr>
      <xdr:spPr bwMode="auto">
        <a:xfrm>
          <a:off x="1238250" y="669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114</xdr:row>
      <xdr:rowOff>152400</xdr:rowOff>
    </xdr:from>
    <xdr:to>
      <xdr:col>1</xdr:col>
      <xdr:colOff>571500</xdr:colOff>
      <xdr:row>116</xdr:row>
      <xdr:rowOff>6350</xdr:rowOff>
    </xdr:to>
    <xdr:sp macro="" textlink="">
      <xdr:nvSpPr>
        <xdr:cNvPr id="194" name="TextBox 193"/>
        <xdr:cNvSpPr txBox="1">
          <a:spLocks noChangeArrowheads="1"/>
        </xdr:cNvSpPr>
      </xdr:nvSpPr>
      <xdr:spPr bwMode="auto">
        <a:xfrm>
          <a:off x="1238250" y="685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114</xdr:row>
      <xdr:rowOff>152400</xdr:rowOff>
    </xdr:from>
    <xdr:to>
      <xdr:col>1</xdr:col>
      <xdr:colOff>571500</xdr:colOff>
      <xdr:row>116</xdr:row>
      <xdr:rowOff>6350</xdr:rowOff>
    </xdr:to>
    <xdr:sp macro="" textlink="">
      <xdr:nvSpPr>
        <xdr:cNvPr id="195" name="TextBox 194"/>
        <xdr:cNvSpPr txBox="1">
          <a:spLocks noChangeArrowheads="1"/>
        </xdr:cNvSpPr>
      </xdr:nvSpPr>
      <xdr:spPr bwMode="auto">
        <a:xfrm>
          <a:off x="1238250" y="685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114</xdr:row>
      <xdr:rowOff>152400</xdr:rowOff>
    </xdr:from>
    <xdr:to>
      <xdr:col>1</xdr:col>
      <xdr:colOff>571500</xdr:colOff>
      <xdr:row>116</xdr:row>
      <xdr:rowOff>6350</xdr:rowOff>
    </xdr:to>
    <xdr:sp macro="" textlink="">
      <xdr:nvSpPr>
        <xdr:cNvPr id="196" name="TextBox 195"/>
        <xdr:cNvSpPr txBox="1">
          <a:spLocks noChangeArrowheads="1"/>
        </xdr:cNvSpPr>
      </xdr:nvSpPr>
      <xdr:spPr bwMode="auto">
        <a:xfrm>
          <a:off x="1238250" y="685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115</xdr:row>
      <xdr:rowOff>152400</xdr:rowOff>
    </xdr:from>
    <xdr:to>
      <xdr:col>1</xdr:col>
      <xdr:colOff>571500</xdr:colOff>
      <xdr:row>117</xdr:row>
      <xdr:rowOff>6350</xdr:rowOff>
    </xdr:to>
    <xdr:sp macro="" textlink="">
      <xdr:nvSpPr>
        <xdr:cNvPr id="197" name="TextBox 196"/>
        <xdr:cNvSpPr txBox="1">
          <a:spLocks noChangeArrowheads="1"/>
        </xdr:cNvSpPr>
      </xdr:nvSpPr>
      <xdr:spPr bwMode="auto">
        <a:xfrm>
          <a:off x="1238250" y="701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115</xdr:row>
      <xdr:rowOff>152400</xdr:rowOff>
    </xdr:from>
    <xdr:to>
      <xdr:col>1</xdr:col>
      <xdr:colOff>571500</xdr:colOff>
      <xdr:row>117</xdr:row>
      <xdr:rowOff>6350</xdr:rowOff>
    </xdr:to>
    <xdr:sp macro="" textlink="">
      <xdr:nvSpPr>
        <xdr:cNvPr id="198" name="TextBox 197"/>
        <xdr:cNvSpPr txBox="1">
          <a:spLocks noChangeArrowheads="1"/>
        </xdr:cNvSpPr>
      </xdr:nvSpPr>
      <xdr:spPr bwMode="auto">
        <a:xfrm>
          <a:off x="1238250" y="701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115</xdr:row>
      <xdr:rowOff>152400</xdr:rowOff>
    </xdr:from>
    <xdr:to>
      <xdr:col>1</xdr:col>
      <xdr:colOff>571500</xdr:colOff>
      <xdr:row>117</xdr:row>
      <xdr:rowOff>6350</xdr:rowOff>
    </xdr:to>
    <xdr:sp macro="" textlink="">
      <xdr:nvSpPr>
        <xdr:cNvPr id="199" name="TextBox 198"/>
        <xdr:cNvSpPr txBox="1">
          <a:spLocks noChangeArrowheads="1"/>
        </xdr:cNvSpPr>
      </xdr:nvSpPr>
      <xdr:spPr bwMode="auto">
        <a:xfrm>
          <a:off x="1238250" y="701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116</xdr:row>
      <xdr:rowOff>152400</xdr:rowOff>
    </xdr:from>
    <xdr:to>
      <xdr:col>1</xdr:col>
      <xdr:colOff>571500</xdr:colOff>
      <xdr:row>118</xdr:row>
      <xdr:rowOff>6350</xdr:rowOff>
    </xdr:to>
    <xdr:sp macro="" textlink="">
      <xdr:nvSpPr>
        <xdr:cNvPr id="200" name="TextBox 199"/>
        <xdr:cNvSpPr txBox="1">
          <a:spLocks noChangeArrowheads="1"/>
        </xdr:cNvSpPr>
      </xdr:nvSpPr>
      <xdr:spPr bwMode="auto">
        <a:xfrm>
          <a:off x="1238250" y="716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116</xdr:row>
      <xdr:rowOff>152400</xdr:rowOff>
    </xdr:from>
    <xdr:to>
      <xdr:col>1</xdr:col>
      <xdr:colOff>571500</xdr:colOff>
      <xdr:row>118</xdr:row>
      <xdr:rowOff>6350</xdr:rowOff>
    </xdr:to>
    <xdr:sp macro="" textlink="">
      <xdr:nvSpPr>
        <xdr:cNvPr id="201" name="TextBox 200"/>
        <xdr:cNvSpPr txBox="1">
          <a:spLocks noChangeArrowheads="1"/>
        </xdr:cNvSpPr>
      </xdr:nvSpPr>
      <xdr:spPr bwMode="auto">
        <a:xfrm>
          <a:off x="1238250" y="716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116</xdr:row>
      <xdr:rowOff>152400</xdr:rowOff>
    </xdr:from>
    <xdr:to>
      <xdr:col>1</xdr:col>
      <xdr:colOff>571500</xdr:colOff>
      <xdr:row>118</xdr:row>
      <xdr:rowOff>6350</xdr:rowOff>
    </xdr:to>
    <xdr:sp macro="" textlink="">
      <xdr:nvSpPr>
        <xdr:cNvPr id="202" name="TextBox 201"/>
        <xdr:cNvSpPr txBox="1">
          <a:spLocks noChangeArrowheads="1"/>
        </xdr:cNvSpPr>
      </xdr:nvSpPr>
      <xdr:spPr bwMode="auto">
        <a:xfrm>
          <a:off x="1238250" y="716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117</xdr:row>
      <xdr:rowOff>152400</xdr:rowOff>
    </xdr:from>
    <xdr:to>
      <xdr:col>1</xdr:col>
      <xdr:colOff>571500</xdr:colOff>
      <xdr:row>119</xdr:row>
      <xdr:rowOff>6350</xdr:rowOff>
    </xdr:to>
    <xdr:sp macro="" textlink="">
      <xdr:nvSpPr>
        <xdr:cNvPr id="203" name="TextBox 202"/>
        <xdr:cNvSpPr txBox="1">
          <a:spLocks noChangeArrowheads="1"/>
        </xdr:cNvSpPr>
      </xdr:nvSpPr>
      <xdr:spPr bwMode="auto">
        <a:xfrm>
          <a:off x="1238250" y="732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117</xdr:row>
      <xdr:rowOff>152400</xdr:rowOff>
    </xdr:from>
    <xdr:to>
      <xdr:col>1</xdr:col>
      <xdr:colOff>571500</xdr:colOff>
      <xdr:row>119</xdr:row>
      <xdr:rowOff>6350</xdr:rowOff>
    </xdr:to>
    <xdr:sp macro="" textlink="">
      <xdr:nvSpPr>
        <xdr:cNvPr id="204" name="TextBox 203"/>
        <xdr:cNvSpPr txBox="1">
          <a:spLocks noChangeArrowheads="1"/>
        </xdr:cNvSpPr>
      </xdr:nvSpPr>
      <xdr:spPr bwMode="auto">
        <a:xfrm>
          <a:off x="1238250" y="732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117</xdr:row>
      <xdr:rowOff>152400</xdr:rowOff>
    </xdr:from>
    <xdr:to>
      <xdr:col>1</xdr:col>
      <xdr:colOff>571500</xdr:colOff>
      <xdr:row>119</xdr:row>
      <xdr:rowOff>6350</xdr:rowOff>
    </xdr:to>
    <xdr:sp macro="" textlink="">
      <xdr:nvSpPr>
        <xdr:cNvPr id="205" name="TextBox 204"/>
        <xdr:cNvSpPr txBox="1">
          <a:spLocks noChangeArrowheads="1"/>
        </xdr:cNvSpPr>
      </xdr:nvSpPr>
      <xdr:spPr bwMode="auto">
        <a:xfrm>
          <a:off x="1238250" y="732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118</xdr:row>
      <xdr:rowOff>152400</xdr:rowOff>
    </xdr:from>
    <xdr:to>
      <xdr:col>1</xdr:col>
      <xdr:colOff>571500</xdr:colOff>
      <xdr:row>120</xdr:row>
      <xdr:rowOff>6350</xdr:rowOff>
    </xdr:to>
    <xdr:sp macro="" textlink="">
      <xdr:nvSpPr>
        <xdr:cNvPr id="206" name="TextBox 205"/>
        <xdr:cNvSpPr txBox="1">
          <a:spLocks noChangeArrowheads="1"/>
        </xdr:cNvSpPr>
      </xdr:nvSpPr>
      <xdr:spPr bwMode="auto">
        <a:xfrm>
          <a:off x="1238250" y="748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118</xdr:row>
      <xdr:rowOff>152400</xdr:rowOff>
    </xdr:from>
    <xdr:to>
      <xdr:col>1</xdr:col>
      <xdr:colOff>571500</xdr:colOff>
      <xdr:row>120</xdr:row>
      <xdr:rowOff>6350</xdr:rowOff>
    </xdr:to>
    <xdr:sp macro="" textlink="">
      <xdr:nvSpPr>
        <xdr:cNvPr id="207" name="TextBox 206"/>
        <xdr:cNvSpPr txBox="1">
          <a:spLocks noChangeArrowheads="1"/>
        </xdr:cNvSpPr>
      </xdr:nvSpPr>
      <xdr:spPr bwMode="auto">
        <a:xfrm>
          <a:off x="1238250" y="748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118</xdr:row>
      <xdr:rowOff>152400</xdr:rowOff>
    </xdr:from>
    <xdr:to>
      <xdr:col>1</xdr:col>
      <xdr:colOff>571500</xdr:colOff>
      <xdr:row>120</xdr:row>
      <xdr:rowOff>6350</xdr:rowOff>
    </xdr:to>
    <xdr:sp macro="" textlink="">
      <xdr:nvSpPr>
        <xdr:cNvPr id="208" name="TextBox 207"/>
        <xdr:cNvSpPr txBox="1">
          <a:spLocks noChangeArrowheads="1"/>
        </xdr:cNvSpPr>
      </xdr:nvSpPr>
      <xdr:spPr bwMode="auto">
        <a:xfrm>
          <a:off x="1238250" y="748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119</xdr:row>
      <xdr:rowOff>152400</xdr:rowOff>
    </xdr:from>
    <xdr:to>
      <xdr:col>1</xdr:col>
      <xdr:colOff>571500</xdr:colOff>
      <xdr:row>121</xdr:row>
      <xdr:rowOff>6350</xdr:rowOff>
    </xdr:to>
    <xdr:sp macro="" textlink="">
      <xdr:nvSpPr>
        <xdr:cNvPr id="209" name="TextBox 208"/>
        <xdr:cNvSpPr txBox="1">
          <a:spLocks noChangeArrowheads="1"/>
        </xdr:cNvSpPr>
      </xdr:nvSpPr>
      <xdr:spPr bwMode="auto">
        <a:xfrm>
          <a:off x="1238250" y="764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119</xdr:row>
      <xdr:rowOff>152400</xdr:rowOff>
    </xdr:from>
    <xdr:to>
      <xdr:col>1</xdr:col>
      <xdr:colOff>571500</xdr:colOff>
      <xdr:row>121</xdr:row>
      <xdr:rowOff>6350</xdr:rowOff>
    </xdr:to>
    <xdr:sp macro="" textlink="">
      <xdr:nvSpPr>
        <xdr:cNvPr id="210" name="TextBox 209"/>
        <xdr:cNvSpPr txBox="1">
          <a:spLocks noChangeArrowheads="1"/>
        </xdr:cNvSpPr>
      </xdr:nvSpPr>
      <xdr:spPr bwMode="auto">
        <a:xfrm>
          <a:off x="1238250" y="764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119</xdr:row>
      <xdr:rowOff>152400</xdr:rowOff>
    </xdr:from>
    <xdr:to>
      <xdr:col>1</xdr:col>
      <xdr:colOff>571500</xdr:colOff>
      <xdr:row>121</xdr:row>
      <xdr:rowOff>6350</xdr:rowOff>
    </xdr:to>
    <xdr:sp macro="" textlink="">
      <xdr:nvSpPr>
        <xdr:cNvPr id="211" name="TextBox 210"/>
        <xdr:cNvSpPr txBox="1">
          <a:spLocks noChangeArrowheads="1"/>
        </xdr:cNvSpPr>
      </xdr:nvSpPr>
      <xdr:spPr bwMode="auto">
        <a:xfrm>
          <a:off x="1238250" y="764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120</xdr:row>
      <xdr:rowOff>152400</xdr:rowOff>
    </xdr:from>
    <xdr:to>
      <xdr:col>1</xdr:col>
      <xdr:colOff>571500</xdr:colOff>
      <xdr:row>122</xdr:row>
      <xdr:rowOff>6350</xdr:rowOff>
    </xdr:to>
    <xdr:sp macro="" textlink="">
      <xdr:nvSpPr>
        <xdr:cNvPr id="212" name="TextBox 211"/>
        <xdr:cNvSpPr txBox="1">
          <a:spLocks noChangeArrowheads="1"/>
        </xdr:cNvSpPr>
      </xdr:nvSpPr>
      <xdr:spPr bwMode="auto">
        <a:xfrm>
          <a:off x="1238250" y="780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120</xdr:row>
      <xdr:rowOff>152400</xdr:rowOff>
    </xdr:from>
    <xdr:to>
      <xdr:col>1</xdr:col>
      <xdr:colOff>571500</xdr:colOff>
      <xdr:row>122</xdr:row>
      <xdr:rowOff>6350</xdr:rowOff>
    </xdr:to>
    <xdr:sp macro="" textlink="">
      <xdr:nvSpPr>
        <xdr:cNvPr id="213" name="TextBox 212"/>
        <xdr:cNvSpPr txBox="1">
          <a:spLocks noChangeArrowheads="1"/>
        </xdr:cNvSpPr>
      </xdr:nvSpPr>
      <xdr:spPr bwMode="auto">
        <a:xfrm>
          <a:off x="1238250" y="780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120</xdr:row>
      <xdr:rowOff>152400</xdr:rowOff>
    </xdr:from>
    <xdr:to>
      <xdr:col>1</xdr:col>
      <xdr:colOff>571500</xdr:colOff>
      <xdr:row>122</xdr:row>
      <xdr:rowOff>6350</xdr:rowOff>
    </xdr:to>
    <xdr:sp macro="" textlink="">
      <xdr:nvSpPr>
        <xdr:cNvPr id="214" name="TextBox 213"/>
        <xdr:cNvSpPr txBox="1">
          <a:spLocks noChangeArrowheads="1"/>
        </xdr:cNvSpPr>
      </xdr:nvSpPr>
      <xdr:spPr bwMode="auto">
        <a:xfrm>
          <a:off x="1238250" y="780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121</xdr:row>
      <xdr:rowOff>152400</xdr:rowOff>
    </xdr:from>
    <xdr:to>
      <xdr:col>1</xdr:col>
      <xdr:colOff>571500</xdr:colOff>
      <xdr:row>123</xdr:row>
      <xdr:rowOff>6350</xdr:rowOff>
    </xdr:to>
    <xdr:sp macro="" textlink="">
      <xdr:nvSpPr>
        <xdr:cNvPr id="215" name="TextBox 214"/>
        <xdr:cNvSpPr txBox="1">
          <a:spLocks noChangeArrowheads="1"/>
        </xdr:cNvSpPr>
      </xdr:nvSpPr>
      <xdr:spPr bwMode="auto">
        <a:xfrm>
          <a:off x="1238250" y="796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121</xdr:row>
      <xdr:rowOff>152400</xdr:rowOff>
    </xdr:from>
    <xdr:to>
      <xdr:col>1</xdr:col>
      <xdr:colOff>571500</xdr:colOff>
      <xdr:row>123</xdr:row>
      <xdr:rowOff>6350</xdr:rowOff>
    </xdr:to>
    <xdr:sp macro="" textlink="">
      <xdr:nvSpPr>
        <xdr:cNvPr id="216" name="TextBox 215"/>
        <xdr:cNvSpPr txBox="1">
          <a:spLocks noChangeArrowheads="1"/>
        </xdr:cNvSpPr>
      </xdr:nvSpPr>
      <xdr:spPr bwMode="auto">
        <a:xfrm>
          <a:off x="1238250" y="796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121</xdr:row>
      <xdr:rowOff>152400</xdr:rowOff>
    </xdr:from>
    <xdr:to>
      <xdr:col>1</xdr:col>
      <xdr:colOff>571500</xdr:colOff>
      <xdr:row>123</xdr:row>
      <xdr:rowOff>6350</xdr:rowOff>
    </xdr:to>
    <xdr:sp macro="" textlink="">
      <xdr:nvSpPr>
        <xdr:cNvPr id="217" name="TextBox 216"/>
        <xdr:cNvSpPr txBox="1">
          <a:spLocks noChangeArrowheads="1"/>
        </xdr:cNvSpPr>
      </xdr:nvSpPr>
      <xdr:spPr bwMode="auto">
        <a:xfrm>
          <a:off x="1238250" y="796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122</xdr:row>
      <xdr:rowOff>152400</xdr:rowOff>
    </xdr:from>
    <xdr:to>
      <xdr:col>1</xdr:col>
      <xdr:colOff>571500</xdr:colOff>
      <xdr:row>124</xdr:row>
      <xdr:rowOff>6350</xdr:rowOff>
    </xdr:to>
    <xdr:sp macro="" textlink="">
      <xdr:nvSpPr>
        <xdr:cNvPr id="218" name="TextBox 217"/>
        <xdr:cNvSpPr txBox="1">
          <a:spLocks noChangeArrowheads="1"/>
        </xdr:cNvSpPr>
      </xdr:nvSpPr>
      <xdr:spPr bwMode="auto">
        <a:xfrm>
          <a:off x="1238250" y="812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122</xdr:row>
      <xdr:rowOff>152400</xdr:rowOff>
    </xdr:from>
    <xdr:to>
      <xdr:col>1</xdr:col>
      <xdr:colOff>571500</xdr:colOff>
      <xdr:row>124</xdr:row>
      <xdr:rowOff>6350</xdr:rowOff>
    </xdr:to>
    <xdr:sp macro="" textlink="">
      <xdr:nvSpPr>
        <xdr:cNvPr id="219" name="TextBox 218"/>
        <xdr:cNvSpPr txBox="1">
          <a:spLocks noChangeArrowheads="1"/>
        </xdr:cNvSpPr>
      </xdr:nvSpPr>
      <xdr:spPr bwMode="auto">
        <a:xfrm>
          <a:off x="1238250" y="812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122</xdr:row>
      <xdr:rowOff>152400</xdr:rowOff>
    </xdr:from>
    <xdr:to>
      <xdr:col>1</xdr:col>
      <xdr:colOff>571500</xdr:colOff>
      <xdr:row>124</xdr:row>
      <xdr:rowOff>6350</xdr:rowOff>
    </xdr:to>
    <xdr:sp macro="" textlink="">
      <xdr:nvSpPr>
        <xdr:cNvPr id="220" name="TextBox 219"/>
        <xdr:cNvSpPr txBox="1">
          <a:spLocks noChangeArrowheads="1"/>
        </xdr:cNvSpPr>
      </xdr:nvSpPr>
      <xdr:spPr bwMode="auto">
        <a:xfrm>
          <a:off x="1238250" y="812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123</xdr:row>
      <xdr:rowOff>152400</xdr:rowOff>
    </xdr:from>
    <xdr:to>
      <xdr:col>1</xdr:col>
      <xdr:colOff>571500</xdr:colOff>
      <xdr:row>125</xdr:row>
      <xdr:rowOff>6350</xdr:rowOff>
    </xdr:to>
    <xdr:sp macro="" textlink="">
      <xdr:nvSpPr>
        <xdr:cNvPr id="221" name="TextBox 220"/>
        <xdr:cNvSpPr txBox="1">
          <a:spLocks noChangeArrowheads="1"/>
        </xdr:cNvSpPr>
      </xdr:nvSpPr>
      <xdr:spPr bwMode="auto">
        <a:xfrm>
          <a:off x="1238250" y="828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123</xdr:row>
      <xdr:rowOff>152400</xdr:rowOff>
    </xdr:from>
    <xdr:to>
      <xdr:col>1</xdr:col>
      <xdr:colOff>571500</xdr:colOff>
      <xdr:row>125</xdr:row>
      <xdr:rowOff>6350</xdr:rowOff>
    </xdr:to>
    <xdr:sp macro="" textlink="">
      <xdr:nvSpPr>
        <xdr:cNvPr id="222" name="TextBox 221"/>
        <xdr:cNvSpPr txBox="1">
          <a:spLocks noChangeArrowheads="1"/>
        </xdr:cNvSpPr>
      </xdr:nvSpPr>
      <xdr:spPr bwMode="auto">
        <a:xfrm>
          <a:off x="1238250" y="828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123</xdr:row>
      <xdr:rowOff>152400</xdr:rowOff>
    </xdr:from>
    <xdr:to>
      <xdr:col>1</xdr:col>
      <xdr:colOff>571500</xdr:colOff>
      <xdr:row>125</xdr:row>
      <xdr:rowOff>6350</xdr:rowOff>
    </xdr:to>
    <xdr:sp macro="" textlink="">
      <xdr:nvSpPr>
        <xdr:cNvPr id="223" name="TextBox 222"/>
        <xdr:cNvSpPr txBox="1">
          <a:spLocks noChangeArrowheads="1"/>
        </xdr:cNvSpPr>
      </xdr:nvSpPr>
      <xdr:spPr bwMode="auto">
        <a:xfrm>
          <a:off x="1238250" y="828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124</xdr:row>
      <xdr:rowOff>152400</xdr:rowOff>
    </xdr:from>
    <xdr:to>
      <xdr:col>1</xdr:col>
      <xdr:colOff>571500</xdr:colOff>
      <xdr:row>126</xdr:row>
      <xdr:rowOff>6350</xdr:rowOff>
    </xdr:to>
    <xdr:sp macro="" textlink="">
      <xdr:nvSpPr>
        <xdr:cNvPr id="224" name="TextBox 223"/>
        <xdr:cNvSpPr txBox="1">
          <a:spLocks noChangeArrowheads="1"/>
        </xdr:cNvSpPr>
      </xdr:nvSpPr>
      <xdr:spPr bwMode="auto">
        <a:xfrm>
          <a:off x="1238250" y="843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124</xdr:row>
      <xdr:rowOff>152400</xdr:rowOff>
    </xdr:from>
    <xdr:to>
      <xdr:col>1</xdr:col>
      <xdr:colOff>571500</xdr:colOff>
      <xdr:row>126</xdr:row>
      <xdr:rowOff>6350</xdr:rowOff>
    </xdr:to>
    <xdr:sp macro="" textlink="">
      <xdr:nvSpPr>
        <xdr:cNvPr id="225" name="TextBox 224"/>
        <xdr:cNvSpPr txBox="1">
          <a:spLocks noChangeArrowheads="1"/>
        </xdr:cNvSpPr>
      </xdr:nvSpPr>
      <xdr:spPr bwMode="auto">
        <a:xfrm>
          <a:off x="1238250" y="843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124</xdr:row>
      <xdr:rowOff>152400</xdr:rowOff>
    </xdr:from>
    <xdr:to>
      <xdr:col>1</xdr:col>
      <xdr:colOff>571500</xdr:colOff>
      <xdr:row>126</xdr:row>
      <xdr:rowOff>6350</xdr:rowOff>
    </xdr:to>
    <xdr:sp macro="" textlink="">
      <xdr:nvSpPr>
        <xdr:cNvPr id="226" name="TextBox 225"/>
        <xdr:cNvSpPr txBox="1">
          <a:spLocks noChangeArrowheads="1"/>
        </xdr:cNvSpPr>
      </xdr:nvSpPr>
      <xdr:spPr bwMode="auto">
        <a:xfrm>
          <a:off x="1238250" y="843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125</xdr:row>
      <xdr:rowOff>152400</xdr:rowOff>
    </xdr:from>
    <xdr:to>
      <xdr:col>1</xdr:col>
      <xdr:colOff>571500</xdr:colOff>
      <xdr:row>127</xdr:row>
      <xdr:rowOff>6350</xdr:rowOff>
    </xdr:to>
    <xdr:sp macro="" textlink="">
      <xdr:nvSpPr>
        <xdr:cNvPr id="227" name="TextBox 226"/>
        <xdr:cNvSpPr txBox="1">
          <a:spLocks noChangeArrowheads="1"/>
        </xdr:cNvSpPr>
      </xdr:nvSpPr>
      <xdr:spPr bwMode="auto">
        <a:xfrm>
          <a:off x="1238250" y="859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125</xdr:row>
      <xdr:rowOff>152400</xdr:rowOff>
    </xdr:from>
    <xdr:to>
      <xdr:col>1</xdr:col>
      <xdr:colOff>571500</xdr:colOff>
      <xdr:row>127</xdr:row>
      <xdr:rowOff>6350</xdr:rowOff>
    </xdr:to>
    <xdr:sp macro="" textlink="">
      <xdr:nvSpPr>
        <xdr:cNvPr id="228" name="TextBox 227"/>
        <xdr:cNvSpPr txBox="1">
          <a:spLocks noChangeArrowheads="1"/>
        </xdr:cNvSpPr>
      </xdr:nvSpPr>
      <xdr:spPr bwMode="auto">
        <a:xfrm>
          <a:off x="1238250" y="859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125</xdr:row>
      <xdr:rowOff>152400</xdr:rowOff>
    </xdr:from>
    <xdr:to>
      <xdr:col>1</xdr:col>
      <xdr:colOff>571500</xdr:colOff>
      <xdr:row>127</xdr:row>
      <xdr:rowOff>6350</xdr:rowOff>
    </xdr:to>
    <xdr:sp macro="" textlink="">
      <xdr:nvSpPr>
        <xdr:cNvPr id="229" name="TextBox 228"/>
        <xdr:cNvSpPr txBox="1">
          <a:spLocks noChangeArrowheads="1"/>
        </xdr:cNvSpPr>
      </xdr:nvSpPr>
      <xdr:spPr bwMode="auto">
        <a:xfrm>
          <a:off x="1238250" y="859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126</xdr:row>
      <xdr:rowOff>152400</xdr:rowOff>
    </xdr:from>
    <xdr:to>
      <xdr:col>1</xdr:col>
      <xdr:colOff>571500</xdr:colOff>
      <xdr:row>128</xdr:row>
      <xdr:rowOff>6350</xdr:rowOff>
    </xdr:to>
    <xdr:sp macro="" textlink="">
      <xdr:nvSpPr>
        <xdr:cNvPr id="230" name="TextBox 229"/>
        <xdr:cNvSpPr txBox="1">
          <a:spLocks noChangeArrowheads="1"/>
        </xdr:cNvSpPr>
      </xdr:nvSpPr>
      <xdr:spPr bwMode="auto">
        <a:xfrm>
          <a:off x="1238250" y="875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126</xdr:row>
      <xdr:rowOff>152400</xdr:rowOff>
    </xdr:from>
    <xdr:to>
      <xdr:col>1</xdr:col>
      <xdr:colOff>571500</xdr:colOff>
      <xdr:row>128</xdr:row>
      <xdr:rowOff>6350</xdr:rowOff>
    </xdr:to>
    <xdr:sp macro="" textlink="">
      <xdr:nvSpPr>
        <xdr:cNvPr id="231" name="TextBox 230"/>
        <xdr:cNvSpPr txBox="1">
          <a:spLocks noChangeArrowheads="1"/>
        </xdr:cNvSpPr>
      </xdr:nvSpPr>
      <xdr:spPr bwMode="auto">
        <a:xfrm>
          <a:off x="1238250" y="875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126</xdr:row>
      <xdr:rowOff>152400</xdr:rowOff>
    </xdr:from>
    <xdr:to>
      <xdr:col>1</xdr:col>
      <xdr:colOff>571500</xdr:colOff>
      <xdr:row>128</xdr:row>
      <xdr:rowOff>6350</xdr:rowOff>
    </xdr:to>
    <xdr:sp macro="" textlink="">
      <xdr:nvSpPr>
        <xdr:cNvPr id="232" name="TextBox 231"/>
        <xdr:cNvSpPr txBox="1">
          <a:spLocks noChangeArrowheads="1"/>
        </xdr:cNvSpPr>
      </xdr:nvSpPr>
      <xdr:spPr bwMode="auto">
        <a:xfrm>
          <a:off x="1238250" y="875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127</xdr:row>
      <xdr:rowOff>152400</xdr:rowOff>
    </xdr:from>
    <xdr:to>
      <xdr:col>1</xdr:col>
      <xdr:colOff>571500</xdr:colOff>
      <xdr:row>129</xdr:row>
      <xdr:rowOff>6350</xdr:rowOff>
    </xdr:to>
    <xdr:sp macro="" textlink="">
      <xdr:nvSpPr>
        <xdr:cNvPr id="233" name="TextBox 232"/>
        <xdr:cNvSpPr txBox="1">
          <a:spLocks noChangeArrowheads="1"/>
        </xdr:cNvSpPr>
      </xdr:nvSpPr>
      <xdr:spPr bwMode="auto">
        <a:xfrm>
          <a:off x="1238250" y="891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127</xdr:row>
      <xdr:rowOff>152400</xdr:rowOff>
    </xdr:from>
    <xdr:to>
      <xdr:col>1</xdr:col>
      <xdr:colOff>571500</xdr:colOff>
      <xdr:row>129</xdr:row>
      <xdr:rowOff>6350</xdr:rowOff>
    </xdr:to>
    <xdr:sp macro="" textlink="">
      <xdr:nvSpPr>
        <xdr:cNvPr id="234" name="TextBox 233"/>
        <xdr:cNvSpPr txBox="1">
          <a:spLocks noChangeArrowheads="1"/>
        </xdr:cNvSpPr>
      </xdr:nvSpPr>
      <xdr:spPr bwMode="auto">
        <a:xfrm>
          <a:off x="1238250" y="891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127</xdr:row>
      <xdr:rowOff>152400</xdr:rowOff>
    </xdr:from>
    <xdr:to>
      <xdr:col>1</xdr:col>
      <xdr:colOff>571500</xdr:colOff>
      <xdr:row>129</xdr:row>
      <xdr:rowOff>6350</xdr:rowOff>
    </xdr:to>
    <xdr:sp macro="" textlink="">
      <xdr:nvSpPr>
        <xdr:cNvPr id="235" name="TextBox 234"/>
        <xdr:cNvSpPr txBox="1">
          <a:spLocks noChangeArrowheads="1"/>
        </xdr:cNvSpPr>
      </xdr:nvSpPr>
      <xdr:spPr bwMode="auto">
        <a:xfrm>
          <a:off x="1238250" y="891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128</xdr:row>
      <xdr:rowOff>152400</xdr:rowOff>
    </xdr:from>
    <xdr:to>
      <xdr:col>1</xdr:col>
      <xdr:colOff>571500</xdr:colOff>
      <xdr:row>130</xdr:row>
      <xdr:rowOff>6350</xdr:rowOff>
    </xdr:to>
    <xdr:sp macro="" textlink="">
      <xdr:nvSpPr>
        <xdr:cNvPr id="236" name="TextBox 235"/>
        <xdr:cNvSpPr txBox="1">
          <a:spLocks noChangeArrowheads="1"/>
        </xdr:cNvSpPr>
      </xdr:nvSpPr>
      <xdr:spPr bwMode="auto">
        <a:xfrm>
          <a:off x="1238250" y="907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128</xdr:row>
      <xdr:rowOff>152400</xdr:rowOff>
    </xdr:from>
    <xdr:to>
      <xdr:col>1</xdr:col>
      <xdr:colOff>571500</xdr:colOff>
      <xdr:row>130</xdr:row>
      <xdr:rowOff>6350</xdr:rowOff>
    </xdr:to>
    <xdr:sp macro="" textlink="">
      <xdr:nvSpPr>
        <xdr:cNvPr id="237" name="TextBox 236"/>
        <xdr:cNvSpPr txBox="1">
          <a:spLocks noChangeArrowheads="1"/>
        </xdr:cNvSpPr>
      </xdr:nvSpPr>
      <xdr:spPr bwMode="auto">
        <a:xfrm>
          <a:off x="1238250" y="907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128</xdr:row>
      <xdr:rowOff>152400</xdr:rowOff>
    </xdr:from>
    <xdr:to>
      <xdr:col>1</xdr:col>
      <xdr:colOff>571500</xdr:colOff>
      <xdr:row>130</xdr:row>
      <xdr:rowOff>6350</xdr:rowOff>
    </xdr:to>
    <xdr:sp macro="" textlink="">
      <xdr:nvSpPr>
        <xdr:cNvPr id="238" name="TextBox 237"/>
        <xdr:cNvSpPr txBox="1">
          <a:spLocks noChangeArrowheads="1"/>
        </xdr:cNvSpPr>
      </xdr:nvSpPr>
      <xdr:spPr bwMode="auto">
        <a:xfrm>
          <a:off x="1238250" y="907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129</xdr:row>
      <xdr:rowOff>152400</xdr:rowOff>
    </xdr:from>
    <xdr:to>
      <xdr:col>1</xdr:col>
      <xdr:colOff>571500</xdr:colOff>
      <xdr:row>131</xdr:row>
      <xdr:rowOff>6350</xdr:rowOff>
    </xdr:to>
    <xdr:sp macro="" textlink="">
      <xdr:nvSpPr>
        <xdr:cNvPr id="239" name="TextBox 238"/>
        <xdr:cNvSpPr txBox="1">
          <a:spLocks noChangeArrowheads="1"/>
        </xdr:cNvSpPr>
      </xdr:nvSpPr>
      <xdr:spPr bwMode="auto">
        <a:xfrm>
          <a:off x="1238250" y="923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129</xdr:row>
      <xdr:rowOff>152400</xdr:rowOff>
    </xdr:from>
    <xdr:to>
      <xdr:col>1</xdr:col>
      <xdr:colOff>571500</xdr:colOff>
      <xdr:row>131</xdr:row>
      <xdr:rowOff>6350</xdr:rowOff>
    </xdr:to>
    <xdr:sp macro="" textlink="">
      <xdr:nvSpPr>
        <xdr:cNvPr id="240" name="TextBox 239"/>
        <xdr:cNvSpPr txBox="1">
          <a:spLocks noChangeArrowheads="1"/>
        </xdr:cNvSpPr>
      </xdr:nvSpPr>
      <xdr:spPr bwMode="auto">
        <a:xfrm>
          <a:off x="1238250" y="923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129</xdr:row>
      <xdr:rowOff>152400</xdr:rowOff>
    </xdr:from>
    <xdr:to>
      <xdr:col>1</xdr:col>
      <xdr:colOff>571500</xdr:colOff>
      <xdr:row>131</xdr:row>
      <xdr:rowOff>6350</xdr:rowOff>
    </xdr:to>
    <xdr:sp macro="" textlink="">
      <xdr:nvSpPr>
        <xdr:cNvPr id="241" name="TextBox 240"/>
        <xdr:cNvSpPr txBox="1">
          <a:spLocks noChangeArrowheads="1"/>
        </xdr:cNvSpPr>
      </xdr:nvSpPr>
      <xdr:spPr bwMode="auto">
        <a:xfrm>
          <a:off x="1238250" y="923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130</xdr:row>
      <xdr:rowOff>152400</xdr:rowOff>
    </xdr:from>
    <xdr:to>
      <xdr:col>1</xdr:col>
      <xdr:colOff>571500</xdr:colOff>
      <xdr:row>132</xdr:row>
      <xdr:rowOff>6350</xdr:rowOff>
    </xdr:to>
    <xdr:sp macro="" textlink="">
      <xdr:nvSpPr>
        <xdr:cNvPr id="242" name="TextBox 241"/>
        <xdr:cNvSpPr txBox="1">
          <a:spLocks noChangeArrowheads="1"/>
        </xdr:cNvSpPr>
      </xdr:nvSpPr>
      <xdr:spPr bwMode="auto">
        <a:xfrm>
          <a:off x="1238250" y="939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130</xdr:row>
      <xdr:rowOff>152400</xdr:rowOff>
    </xdr:from>
    <xdr:to>
      <xdr:col>1</xdr:col>
      <xdr:colOff>571500</xdr:colOff>
      <xdr:row>132</xdr:row>
      <xdr:rowOff>6350</xdr:rowOff>
    </xdr:to>
    <xdr:sp macro="" textlink="">
      <xdr:nvSpPr>
        <xdr:cNvPr id="243" name="TextBox 242"/>
        <xdr:cNvSpPr txBox="1">
          <a:spLocks noChangeArrowheads="1"/>
        </xdr:cNvSpPr>
      </xdr:nvSpPr>
      <xdr:spPr bwMode="auto">
        <a:xfrm>
          <a:off x="1238250" y="939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130</xdr:row>
      <xdr:rowOff>152400</xdr:rowOff>
    </xdr:from>
    <xdr:to>
      <xdr:col>1</xdr:col>
      <xdr:colOff>571500</xdr:colOff>
      <xdr:row>132</xdr:row>
      <xdr:rowOff>6350</xdr:rowOff>
    </xdr:to>
    <xdr:sp macro="" textlink="">
      <xdr:nvSpPr>
        <xdr:cNvPr id="244" name="TextBox 243"/>
        <xdr:cNvSpPr txBox="1">
          <a:spLocks noChangeArrowheads="1"/>
        </xdr:cNvSpPr>
      </xdr:nvSpPr>
      <xdr:spPr bwMode="auto">
        <a:xfrm>
          <a:off x="1238250" y="939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131</xdr:row>
      <xdr:rowOff>152400</xdr:rowOff>
    </xdr:from>
    <xdr:to>
      <xdr:col>1</xdr:col>
      <xdr:colOff>571500</xdr:colOff>
      <xdr:row>133</xdr:row>
      <xdr:rowOff>6350</xdr:rowOff>
    </xdr:to>
    <xdr:sp macro="" textlink="">
      <xdr:nvSpPr>
        <xdr:cNvPr id="245" name="TextBox 244"/>
        <xdr:cNvSpPr txBox="1">
          <a:spLocks noChangeArrowheads="1"/>
        </xdr:cNvSpPr>
      </xdr:nvSpPr>
      <xdr:spPr bwMode="auto">
        <a:xfrm>
          <a:off x="1238250" y="955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131</xdr:row>
      <xdr:rowOff>152400</xdr:rowOff>
    </xdr:from>
    <xdr:to>
      <xdr:col>1</xdr:col>
      <xdr:colOff>571500</xdr:colOff>
      <xdr:row>133</xdr:row>
      <xdr:rowOff>6350</xdr:rowOff>
    </xdr:to>
    <xdr:sp macro="" textlink="">
      <xdr:nvSpPr>
        <xdr:cNvPr id="246" name="TextBox 245"/>
        <xdr:cNvSpPr txBox="1">
          <a:spLocks noChangeArrowheads="1"/>
        </xdr:cNvSpPr>
      </xdr:nvSpPr>
      <xdr:spPr bwMode="auto">
        <a:xfrm>
          <a:off x="1238250" y="955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131</xdr:row>
      <xdr:rowOff>152400</xdr:rowOff>
    </xdr:from>
    <xdr:to>
      <xdr:col>1</xdr:col>
      <xdr:colOff>571500</xdr:colOff>
      <xdr:row>133</xdr:row>
      <xdr:rowOff>6350</xdr:rowOff>
    </xdr:to>
    <xdr:sp macro="" textlink="">
      <xdr:nvSpPr>
        <xdr:cNvPr id="247" name="TextBox 246"/>
        <xdr:cNvSpPr txBox="1">
          <a:spLocks noChangeArrowheads="1"/>
        </xdr:cNvSpPr>
      </xdr:nvSpPr>
      <xdr:spPr bwMode="auto">
        <a:xfrm>
          <a:off x="1238250" y="955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132</xdr:row>
      <xdr:rowOff>152400</xdr:rowOff>
    </xdr:from>
    <xdr:to>
      <xdr:col>1</xdr:col>
      <xdr:colOff>571500</xdr:colOff>
      <xdr:row>134</xdr:row>
      <xdr:rowOff>6350</xdr:rowOff>
    </xdr:to>
    <xdr:sp macro="" textlink="">
      <xdr:nvSpPr>
        <xdr:cNvPr id="248" name="TextBox 247"/>
        <xdr:cNvSpPr txBox="1">
          <a:spLocks noChangeArrowheads="1"/>
        </xdr:cNvSpPr>
      </xdr:nvSpPr>
      <xdr:spPr bwMode="auto">
        <a:xfrm>
          <a:off x="1238250" y="970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132</xdr:row>
      <xdr:rowOff>152400</xdr:rowOff>
    </xdr:from>
    <xdr:to>
      <xdr:col>1</xdr:col>
      <xdr:colOff>571500</xdr:colOff>
      <xdr:row>134</xdr:row>
      <xdr:rowOff>6350</xdr:rowOff>
    </xdr:to>
    <xdr:sp macro="" textlink="">
      <xdr:nvSpPr>
        <xdr:cNvPr id="249" name="TextBox 248"/>
        <xdr:cNvSpPr txBox="1">
          <a:spLocks noChangeArrowheads="1"/>
        </xdr:cNvSpPr>
      </xdr:nvSpPr>
      <xdr:spPr bwMode="auto">
        <a:xfrm>
          <a:off x="1238250" y="970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132</xdr:row>
      <xdr:rowOff>152400</xdr:rowOff>
    </xdr:from>
    <xdr:to>
      <xdr:col>1</xdr:col>
      <xdr:colOff>571500</xdr:colOff>
      <xdr:row>134</xdr:row>
      <xdr:rowOff>6350</xdr:rowOff>
    </xdr:to>
    <xdr:sp macro="" textlink="">
      <xdr:nvSpPr>
        <xdr:cNvPr id="250" name="TextBox 249"/>
        <xdr:cNvSpPr txBox="1">
          <a:spLocks noChangeArrowheads="1"/>
        </xdr:cNvSpPr>
      </xdr:nvSpPr>
      <xdr:spPr bwMode="auto">
        <a:xfrm>
          <a:off x="1238250" y="970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133</xdr:row>
      <xdr:rowOff>152400</xdr:rowOff>
    </xdr:from>
    <xdr:to>
      <xdr:col>1</xdr:col>
      <xdr:colOff>571500</xdr:colOff>
      <xdr:row>135</xdr:row>
      <xdr:rowOff>6350</xdr:rowOff>
    </xdr:to>
    <xdr:sp macro="" textlink="">
      <xdr:nvSpPr>
        <xdr:cNvPr id="251" name="TextBox 250"/>
        <xdr:cNvSpPr txBox="1">
          <a:spLocks noChangeArrowheads="1"/>
        </xdr:cNvSpPr>
      </xdr:nvSpPr>
      <xdr:spPr bwMode="auto">
        <a:xfrm>
          <a:off x="1238250" y="986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133</xdr:row>
      <xdr:rowOff>152400</xdr:rowOff>
    </xdr:from>
    <xdr:to>
      <xdr:col>1</xdr:col>
      <xdr:colOff>571500</xdr:colOff>
      <xdr:row>135</xdr:row>
      <xdr:rowOff>6350</xdr:rowOff>
    </xdr:to>
    <xdr:sp macro="" textlink="">
      <xdr:nvSpPr>
        <xdr:cNvPr id="252" name="TextBox 251"/>
        <xdr:cNvSpPr txBox="1">
          <a:spLocks noChangeArrowheads="1"/>
        </xdr:cNvSpPr>
      </xdr:nvSpPr>
      <xdr:spPr bwMode="auto">
        <a:xfrm>
          <a:off x="1238250" y="986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133</xdr:row>
      <xdr:rowOff>152400</xdr:rowOff>
    </xdr:from>
    <xdr:to>
      <xdr:col>1</xdr:col>
      <xdr:colOff>571500</xdr:colOff>
      <xdr:row>135</xdr:row>
      <xdr:rowOff>6350</xdr:rowOff>
    </xdr:to>
    <xdr:sp macro="" textlink="">
      <xdr:nvSpPr>
        <xdr:cNvPr id="253" name="TextBox 252"/>
        <xdr:cNvSpPr txBox="1">
          <a:spLocks noChangeArrowheads="1"/>
        </xdr:cNvSpPr>
      </xdr:nvSpPr>
      <xdr:spPr bwMode="auto">
        <a:xfrm>
          <a:off x="1238250" y="986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134</xdr:row>
      <xdr:rowOff>152400</xdr:rowOff>
    </xdr:from>
    <xdr:to>
      <xdr:col>1</xdr:col>
      <xdr:colOff>571500</xdr:colOff>
      <xdr:row>136</xdr:row>
      <xdr:rowOff>6350</xdr:rowOff>
    </xdr:to>
    <xdr:sp macro="" textlink="">
      <xdr:nvSpPr>
        <xdr:cNvPr id="254" name="TextBox 253"/>
        <xdr:cNvSpPr txBox="1">
          <a:spLocks noChangeArrowheads="1"/>
        </xdr:cNvSpPr>
      </xdr:nvSpPr>
      <xdr:spPr bwMode="auto">
        <a:xfrm>
          <a:off x="1238250" y="1002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134</xdr:row>
      <xdr:rowOff>152400</xdr:rowOff>
    </xdr:from>
    <xdr:to>
      <xdr:col>1</xdr:col>
      <xdr:colOff>571500</xdr:colOff>
      <xdr:row>136</xdr:row>
      <xdr:rowOff>6350</xdr:rowOff>
    </xdr:to>
    <xdr:sp macro="" textlink="">
      <xdr:nvSpPr>
        <xdr:cNvPr id="255" name="TextBox 254"/>
        <xdr:cNvSpPr txBox="1">
          <a:spLocks noChangeArrowheads="1"/>
        </xdr:cNvSpPr>
      </xdr:nvSpPr>
      <xdr:spPr bwMode="auto">
        <a:xfrm>
          <a:off x="1238250" y="1002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134</xdr:row>
      <xdr:rowOff>152400</xdr:rowOff>
    </xdr:from>
    <xdr:to>
      <xdr:col>1</xdr:col>
      <xdr:colOff>571500</xdr:colOff>
      <xdr:row>136</xdr:row>
      <xdr:rowOff>6350</xdr:rowOff>
    </xdr:to>
    <xdr:sp macro="" textlink="">
      <xdr:nvSpPr>
        <xdr:cNvPr id="256" name="TextBox 255"/>
        <xdr:cNvSpPr txBox="1">
          <a:spLocks noChangeArrowheads="1"/>
        </xdr:cNvSpPr>
      </xdr:nvSpPr>
      <xdr:spPr bwMode="auto">
        <a:xfrm>
          <a:off x="1238250" y="1002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135</xdr:row>
      <xdr:rowOff>152400</xdr:rowOff>
    </xdr:from>
    <xdr:to>
      <xdr:col>1</xdr:col>
      <xdr:colOff>571500</xdr:colOff>
      <xdr:row>137</xdr:row>
      <xdr:rowOff>6350</xdr:rowOff>
    </xdr:to>
    <xdr:sp macro="" textlink="">
      <xdr:nvSpPr>
        <xdr:cNvPr id="257" name="TextBox 256"/>
        <xdr:cNvSpPr txBox="1">
          <a:spLocks noChangeArrowheads="1"/>
        </xdr:cNvSpPr>
      </xdr:nvSpPr>
      <xdr:spPr bwMode="auto">
        <a:xfrm>
          <a:off x="1238250" y="1018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135</xdr:row>
      <xdr:rowOff>152400</xdr:rowOff>
    </xdr:from>
    <xdr:to>
      <xdr:col>1</xdr:col>
      <xdr:colOff>571500</xdr:colOff>
      <xdr:row>137</xdr:row>
      <xdr:rowOff>6350</xdr:rowOff>
    </xdr:to>
    <xdr:sp macro="" textlink="">
      <xdr:nvSpPr>
        <xdr:cNvPr id="258" name="TextBox 257"/>
        <xdr:cNvSpPr txBox="1">
          <a:spLocks noChangeArrowheads="1"/>
        </xdr:cNvSpPr>
      </xdr:nvSpPr>
      <xdr:spPr bwMode="auto">
        <a:xfrm>
          <a:off x="1238250" y="1018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135</xdr:row>
      <xdr:rowOff>152400</xdr:rowOff>
    </xdr:from>
    <xdr:to>
      <xdr:col>1</xdr:col>
      <xdr:colOff>571500</xdr:colOff>
      <xdr:row>137</xdr:row>
      <xdr:rowOff>6350</xdr:rowOff>
    </xdr:to>
    <xdr:sp macro="" textlink="">
      <xdr:nvSpPr>
        <xdr:cNvPr id="259" name="TextBox 258"/>
        <xdr:cNvSpPr txBox="1">
          <a:spLocks noChangeArrowheads="1"/>
        </xdr:cNvSpPr>
      </xdr:nvSpPr>
      <xdr:spPr bwMode="auto">
        <a:xfrm>
          <a:off x="1238250" y="1018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136</xdr:row>
      <xdr:rowOff>152400</xdr:rowOff>
    </xdr:from>
    <xdr:to>
      <xdr:col>1</xdr:col>
      <xdr:colOff>571500</xdr:colOff>
      <xdr:row>138</xdr:row>
      <xdr:rowOff>6350</xdr:rowOff>
    </xdr:to>
    <xdr:sp macro="" textlink="">
      <xdr:nvSpPr>
        <xdr:cNvPr id="260" name="TextBox 259"/>
        <xdr:cNvSpPr txBox="1">
          <a:spLocks noChangeArrowheads="1"/>
        </xdr:cNvSpPr>
      </xdr:nvSpPr>
      <xdr:spPr bwMode="auto">
        <a:xfrm>
          <a:off x="1238250" y="1034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136</xdr:row>
      <xdr:rowOff>152400</xdr:rowOff>
    </xdr:from>
    <xdr:to>
      <xdr:col>1</xdr:col>
      <xdr:colOff>571500</xdr:colOff>
      <xdr:row>138</xdr:row>
      <xdr:rowOff>6350</xdr:rowOff>
    </xdr:to>
    <xdr:sp macro="" textlink="">
      <xdr:nvSpPr>
        <xdr:cNvPr id="261" name="TextBox 260"/>
        <xdr:cNvSpPr txBox="1">
          <a:spLocks noChangeArrowheads="1"/>
        </xdr:cNvSpPr>
      </xdr:nvSpPr>
      <xdr:spPr bwMode="auto">
        <a:xfrm>
          <a:off x="1238250" y="1034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136</xdr:row>
      <xdr:rowOff>152400</xdr:rowOff>
    </xdr:from>
    <xdr:to>
      <xdr:col>1</xdr:col>
      <xdr:colOff>571500</xdr:colOff>
      <xdr:row>138</xdr:row>
      <xdr:rowOff>6350</xdr:rowOff>
    </xdr:to>
    <xdr:sp macro="" textlink="">
      <xdr:nvSpPr>
        <xdr:cNvPr id="262" name="TextBox 261"/>
        <xdr:cNvSpPr txBox="1">
          <a:spLocks noChangeArrowheads="1"/>
        </xdr:cNvSpPr>
      </xdr:nvSpPr>
      <xdr:spPr bwMode="auto">
        <a:xfrm>
          <a:off x="1238250" y="1034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137</xdr:row>
      <xdr:rowOff>152400</xdr:rowOff>
    </xdr:from>
    <xdr:to>
      <xdr:col>1</xdr:col>
      <xdr:colOff>571500</xdr:colOff>
      <xdr:row>139</xdr:row>
      <xdr:rowOff>6350</xdr:rowOff>
    </xdr:to>
    <xdr:sp macro="" textlink="">
      <xdr:nvSpPr>
        <xdr:cNvPr id="263" name="TextBox 262"/>
        <xdr:cNvSpPr txBox="1">
          <a:spLocks noChangeArrowheads="1"/>
        </xdr:cNvSpPr>
      </xdr:nvSpPr>
      <xdr:spPr bwMode="auto">
        <a:xfrm>
          <a:off x="1238250" y="1050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137</xdr:row>
      <xdr:rowOff>152400</xdr:rowOff>
    </xdr:from>
    <xdr:to>
      <xdr:col>1</xdr:col>
      <xdr:colOff>571500</xdr:colOff>
      <xdr:row>139</xdr:row>
      <xdr:rowOff>6350</xdr:rowOff>
    </xdr:to>
    <xdr:sp macro="" textlink="">
      <xdr:nvSpPr>
        <xdr:cNvPr id="264" name="TextBox 263"/>
        <xdr:cNvSpPr txBox="1">
          <a:spLocks noChangeArrowheads="1"/>
        </xdr:cNvSpPr>
      </xdr:nvSpPr>
      <xdr:spPr bwMode="auto">
        <a:xfrm>
          <a:off x="1238250" y="1050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137</xdr:row>
      <xdr:rowOff>152400</xdr:rowOff>
    </xdr:from>
    <xdr:to>
      <xdr:col>1</xdr:col>
      <xdr:colOff>571500</xdr:colOff>
      <xdr:row>139</xdr:row>
      <xdr:rowOff>6350</xdr:rowOff>
    </xdr:to>
    <xdr:sp macro="" textlink="">
      <xdr:nvSpPr>
        <xdr:cNvPr id="265" name="TextBox 264"/>
        <xdr:cNvSpPr txBox="1">
          <a:spLocks noChangeArrowheads="1"/>
        </xdr:cNvSpPr>
      </xdr:nvSpPr>
      <xdr:spPr bwMode="auto">
        <a:xfrm>
          <a:off x="1238250" y="1050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138</xdr:row>
      <xdr:rowOff>152400</xdr:rowOff>
    </xdr:from>
    <xdr:to>
      <xdr:col>1</xdr:col>
      <xdr:colOff>571500</xdr:colOff>
      <xdr:row>140</xdr:row>
      <xdr:rowOff>12700</xdr:rowOff>
    </xdr:to>
    <xdr:sp macro="" textlink="">
      <xdr:nvSpPr>
        <xdr:cNvPr id="266" name="TextBox 265"/>
        <xdr:cNvSpPr txBox="1">
          <a:spLocks noChangeArrowheads="1"/>
        </xdr:cNvSpPr>
      </xdr:nvSpPr>
      <xdr:spPr bwMode="auto">
        <a:xfrm>
          <a:off x="1238250" y="106616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138</xdr:row>
      <xdr:rowOff>152400</xdr:rowOff>
    </xdr:from>
    <xdr:to>
      <xdr:col>1</xdr:col>
      <xdr:colOff>571500</xdr:colOff>
      <xdr:row>140</xdr:row>
      <xdr:rowOff>12700</xdr:rowOff>
    </xdr:to>
    <xdr:sp macro="" textlink="">
      <xdr:nvSpPr>
        <xdr:cNvPr id="267" name="TextBox 266"/>
        <xdr:cNvSpPr txBox="1">
          <a:spLocks noChangeArrowheads="1"/>
        </xdr:cNvSpPr>
      </xdr:nvSpPr>
      <xdr:spPr bwMode="auto">
        <a:xfrm>
          <a:off x="1238250" y="106616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138</xdr:row>
      <xdr:rowOff>152400</xdr:rowOff>
    </xdr:from>
    <xdr:to>
      <xdr:col>1</xdr:col>
      <xdr:colOff>571500</xdr:colOff>
      <xdr:row>140</xdr:row>
      <xdr:rowOff>12700</xdr:rowOff>
    </xdr:to>
    <xdr:sp macro="" textlink="">
      <xdr:nvSpPr>
        <xdr:cNvPr id="268" name="TextBox 267"/>
        <xdr:cNvSpPr txBox="1">
          <a:spLocks noChangeArrowheads="1"/>
        </xdr:cNvSpPr>
      </xdr:nvSpPr>
      <xdr:spPr bwMode="auto">
        <a:xfrm>
          <a:off x="1238250" y="106616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139</xdr:row>
      <xdr:rowOff>152400</xdr:rowOff>
    </xdr:from>
    <xdr:to>
      <xdr:col>1</xdr:col>
      <xdr:colOff>571500</xdr:colOff>
      <xdr:row>141</xdr:row>
      <xdr:rowOff>6350</xdr:rowOff>
    </xdr:to>
    <xdr:sp macro="" textlink="">
      <xdr:nvSpPr>
        <xdr:cNvPr id="269" name="TextBox 268"/>
        <xdr:cNvSpPr txBox="1">
          <a:spLocks noChangeArrowheads="1"/>
        </xdr:cNvSpPr>
      </xdr:nvSpPr>
      <xdr:spPr bwMode="auto">
        <a:xfrm>
          <a:off x="1238250" y="10820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139</xdr:row>
      <xdr:rowOff>152400</xdr:rowOff>
    </xdr:from>
    <xdr:to>
      <xdr:col>1</xdr:col>
      <xdr:colOff>571500</xdr:colOff>
      <xdr:row>141</xdr:row>
      <xdr:rowOff>6350</xdr:rowOff>
    </xdr:to>
    <xdr:sp macro="" textlink="">
      <xdr:nvSpPr>
        <xdr:cNvPr id="270" name="TextBox 269"/>
        <xdr:cNvSpPr txBox="1">
          <a:spLocks noChangeArrowheads="1"/>
        </xdr:cNvSpPr>
      </xdr:nvSpPr>
      <xdr:spPr bwMode="auto">
        <a:xfrm>
          <a:off x="1238250" y="10820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82</xdr:row>
      <xdr:rowOff>152400</xdr:rowOff>
    </xdr:from>
    <xdr:to>
      <xdr:col>2</xdr:col>
      <xdr:colOff>0</xdr:colOff>
      <xdr:row>84</xdr:row>
      <xdr:rowOff>6350</xdr:rowOff>
    </xdr:to>
    <xdr:sp macro="" textlink="">
      <xdr:nvSpPr>
        <xdr:cNvPr id="271" name="TextBox 270"/>
        <xdr:cNvSpPr txBox="1">
          <a:spLocks noChangeArrowheads="1"/>
        </xdr:cNvSpPr>
      </xdr:nvSpPr>
      <xdr:spPr bwMode="auto">
        <a:xfrm>
          <a:off x="2330450" y="16954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83</xdr:row>
      <xdr:rowOff>152400</xdr:rowOff>
    </xdr:from>
    <xdr:to>
      <xdr:col>2</xdr:col>
      <xdr:colOff>0</xdr:colOff>
      <xdr:row>85</xdr:row>
      <xdr:rowOff>0</xdr:rowOff>
    </xdr:to>
    <xdr:sp macro="" textlink="">
      <xdr:nvSpPr>
        <xdr:cNvPr id="272" name="TextBox 271"/>
        <xdr:cNvSpPr txBox="1">
          <a:spLocks noChangeArrowheads="1"/>
        </xdr:cNvSpPr>
      </xdr:nvSpPr>
      <xdr:spPr bwMode="auto">
        <a:xfrm>
          <a:off x="2330450" y="1854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84</xdr:row>
      <xdr:rowOff>146050</xdr:rowOff>
    </xdr:from>
    <xdr:to>
      <xdr:col>2</xdr:col>
      <xdr:colOff>0</xdr:colOff>
      <xdr:row>85</xdr:row>
      <xdr:rowOff>158750</xdr:rowOff>
    </xdr:to>
    <xdr:sp macro="" textlink="">
      <xdr:nvSpPr>
        <xdr:cNvPr id="273" name="TextBox 272"/>
        <xdr:cNvSpPr txBox="1">
          <a:spLocks noChangeArrowheads="1"/>
        </xdr:cNvSpPr>
      </xdr:nvSpPr>
      <xdr:spPr bwMode="auto">
        <a:xfrm>
          <a:off x="2330450" y="20129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85</xdr:row>
      <xdr:rowOff>146050</xdr:rowOff>
    </xdr:from>
    <xdr:to>
      <xdr:col>2</xdr:col>
      <xdr:colOff>0</xdr:colOff>
      <xdr:row>87</xdr:row>
      <xdr:rowOff>0</xdr:rowOff>
    </xdr:to>
    <xdr:sp macro="" textlink="">
      <xdr:nvSpPr>
        <xdr:cNvPr id="274" name="TextBox 273"/>
        <xdr:cNvSpPr txBox="1">
          <a:spLocks noChangeArrowheads="1"/>
        </xdr:cNvSpPr>
      </xdr:nvSpPr>
      <xdr:spPr bwMode="auto">
        <a:xfrm>
          <a:off x="2330450" y="21780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85</xdr:row>
      <xdr:rowOff>146050</xdr:rowOff>
    </xdr:from>
    <xdr:to>
      <xdr:col>2</xdr:col>
      <xdr:colOff>0</xdr:colOff>
      <xdr:row>87</xdr:row>
      <xdr:rowOff>0</xdr:rowOff>
    </xdr:to>
    <xdr:sp macro="" textlink="">
      <xdr:nvSpPr>
        <xdr:cNvPr id="275" name="TextBox 274"/>
        <xdr:cNvSpPr txBox="1">
          <a:spLocks noChangeArrowheads="1"/>
        </xdr:cNvSpPr>
      </xdr:nvSpPr>
      <xdr:spPr bwMode="auto">
        <a:xfrm>
          <a:off x="2330450" y="21780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86</xdr:row>
      <xdr:rowOff>152400</xdr:rowOff>
    </xdr:from>
    <xdr:to>
      <xdr:col>2</xdr:col>
      <xdr:colOff>0</xdr:colOff>
      <xdr:row>88</xdr:row>
      <xdr:rowOff>0</xdr:rowOff>
    </xdr:to>
    <xdr:sp macro="" textlink="">
      <xdr:nvSpPr>
        <xdr:cNvPr id="276" name="TextBox 275"/>
        <xdr:cNvSpPr txBox="1">
          <a:spLocks noChangeArrowheads="1"/>
        </xdr:cNvSpPr>
      </xdr:nvSpPr>
      <xdr:spPr bwMode="auto">
        <a:xfrm>
          <a:off x="2330450" y="23495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86</xdr:row>
      <xdr:rowOff>152400</xdr:rowOff>
    </xdr:from>
    <xdr:to>
      <xdr:col>2</xdr:col>
      <xdr:colOff>0</xdr:colOff>
      <xdr:row>88</xdr:row>
      <xdr:rowOff>0</xdr:rowOff>
    </xdr:to>
    <xdr:sp macro="" textlink="">
      <xdr:nvSpPr>
        <xdr:cNvPr id="277" name="TextBox 276"/>
        <xdr:cNvSpPr txBox="1">
          <a:spLocks noChangeArrowheads="1"/>
        </xdr:cNvSpPr>
      </xdr:nvSpPr>
      <xdr:spPr bwMode="auto">
        <a:xfrm>
          <a:off x="2330450" y="23495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278" name="TextBox 277"/>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279" name="TextBox 278"/>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90</xdr:row>
      <xdr:rowOff>146050</xdr:rowOff>
    </xdr:from>
    <xdr:to>
      <xdr:col>2</xdr:col>
      <xdr:colOff>0</xdr:colOff>
      <xdr:row>91</xdr:row>
      <xdr:rowOff>158750</xdr:rowOff>
    </xdr:to>
    <xdr:sp macro="" textlink="">
      <xdr:nvSpPr>
        <xdr:cNvPr id="280" name="TextBox 279"/>
        <xdr:cNvSpPr txBox="1">
          <a:spLocks noChangeArrowheads="1"/>
        </xdr:cNvSpPr>
      </xdr:nvSpPr>
      <xdr:spPr bwMode="auto">
        <a:xfrm>
          <a:off x="2330450" y="2997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90</xdr:row>
      <xdr:rowOff>146050</xdr:rowOff>
    </xdr:from>
    <xdr:to>
      <xdr:col>2</xdr:col>
      <xdr:colOff>0</xdr:colOff>
      <xdr:row>91</xdr:row>
      <xdr:rowOff>158750</xdr:rowOff>
    </xdr:to>
    <xdr:sp macro="" textlink="">
      <xdr:nvSpPr>
        <xdr:cNvPr id="281" name="TextBox 280"/>
        <xdr:cNvSpPr txBox="1">
          <a:spLocks noChangeArrowheads="1"/>
        </xdr:cNvSpPr>
      </xdr:nvSpPr>
      <xdr:spPr bwMode="auto">
        <a:xfrm>
          <a:off x="2330450" y="2997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282" name="TextBox 281"/>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283" name="TextBox 282"/>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284" name="TextBox 283"/>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285" name="TextBox 284"/>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286" name="TextBox 285"/>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287" name="TextBox 286"/>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92</xdr:row>
      <xdr:rowOff>146050</xdr:rowOff>
    </xdr:from>
    <xdr:to>
      <xdr:col>2</xdr:col>
      <xdr:colOff>0</xdr:colOff>
      <xdr:row>93</xdr:row>
      <xdr:rowOff>158750</xdr:rowOff>
    </xdr:to>
    <xdr:sp macro="" textlink="">
      <xdr:nvSpPr>
        <xdr:cNvPr id="288" name="TextBox 287"/>
        <xdr:cNvSpPr txBox="1">
          <a:spLocks noChangeArrowheads="1"/>
        </xdr:cNvSpPr>
      </xdr:nvSpPr>
      <xdr:spPr bwMode="auto">
        <a:xfrm>
          <a:off x="23304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92</xdr:row>
      <xdr:rowOff>146050</xdr:rowOff>
    </xdr:from>
    <xdr:to>
      <xdr:col>2</xdr:col>
      <xdr:colOff>0</xdr:colOff>
      <xdr:row>93</xdr:row>
      <xdr:rowOff>158750</xdr:rowOff>
    </xdr:to>
    <xdr:sp macro="" textlink="">
      <xdr:nvSpPr>
        <xdr:cNvPr id="289" name="TextBox 288"/>
        <xdr:cNvSpPr txBox="1">
          <a:spLocks noChangeArrowheads="1"/>
        </xdr:cNvSpPr>
      </xdr:nvSpPr>
      <xdr:spPr bwMode="auto">
        <a:xfrm>
          <a:off x="23304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93</xdr:row>
      <xdr:rowOff>146050</xdr:rowOff>
    </xdr:from>
    <xdr:to>
      <xdr:col>2</xdr:col>
      <xdr:colOff>0</xdr:colOff>
      <xdr:row>95</xdr:row>
      <xdr:rowOff>0</xdr:rowOff>
    </xdr:to>
    <xdr:sp macro="" textlink="">
      <xdr:nvSpPr>
        <xdr:cNvPr id="290" name="TextBox 289"/>
        <xdr:cNvSpPr txBox="1">
          <a:spLocks noChangeArrowheads="1"/>
        </xdr:cNvSpPr>
      </xdr:nvSpPr>
      <xdr:spPr bwMode="auto">
        <a:xfrm>
          <a:off x="23304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93</xdr:row>
      <xdr:rowOff>146050</xdr:rowOff>
    </xdr:from>
    <xdr:to>
      <xdr:col>2</xdr:col>
      <xdr:colOff>0</xdr:colOff>
      <xdr:row>95</xdr:row>
      <xdr:rowOff>0</xdr:rowOff>
    </xdr:to>
    <xdr:sp macro="" textlink="">
      <xdr:nvSpPr>
        <xdr:cNvPr id="291" name="TextBox 290"/>
        <xdr:cNvSpPr txBox="1">
          <a:spLocks noChangeArrowheads="1"/>
        </xdr:cNvSpPr>
      </xdr:nvSpPr>
      <xdr:spPr bwMode="auto">
        <a:xfrm>
          <a:off x="23304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94</xdr:row>
      <xdr:rowOff>152400</xdr:rowOff>
    </xdr:from>
    <xdr:to>
      <xdr:col>2</xdr:col>
      <xdr:colOff>0</xdr:colOff>
      <xdr:row>96</xdr:row>
      <xdr:rowOff>6350</xdr:rowOff>
    </xdr:to>
    <xdr:sp macro="" textlink="">
      <xdr:nvSpPr>
        <xdr:cNvPr id="292" name="TextBox 291"/>
        <xdr:cNvSpPr txBox="1">
          <a:spLocks noChangeArrowheads="1"/>
        </xdr:cNvSpPr>
      </xdr:nvSpPr>
      <xdr:spPr bwMode="auto">
        <a:xfrm>
          <a:off x="23304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94</xdr:row>
      <xdr:rowOff>152400</xdr:rowOff>
    </xdr:from>
    <xdr:to>
      <xdr:col>2</xdr:col>
      <xdr:colOff>0</xdr:colOff>
      <xdr:row>96</xdr:row>
      <xdr:rowOff>6350</xdr:rowOff>
    </xdr:to>
    <xdr:sp macro="" textlink="">
      <xdr:nvSpPr>
        <xdr:cNvPr id="293" name="TextBox 292"/>
        <xdr:cNvSpPr txBox="1">
          <a:spLocks noChangeArrowheads="1"/>
        </xdr:cNvSpPr>
      </xdr:nvSpPr>
      <xdr:spPr bwMode="auto">
        <a:xfrm>
          <a:off x="23304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95</xdr:row>
      <xdr:rowOff>152400</xdr:rowOff>
    </xdr:from>
    <xdr:to>
      <xdr:col>2</xdr:col>
      <xdr:colOff>0</xdr:colOff>
      <xdr:row>97</xdr:row>
      <xdr:rowOff>0</xdr:rowOff>
    </xdr:to>
    <xdr:sp macro="" textlink="">
      <xdr:nvSpPr>
        <xdr:cNvPr id="294" name="TextBox 293"/>
        <xdr:cNvSpPr txBox="1">
          <a:spLocks noChangeArrowheads="1"/>
        </xdr:cNvSpPr>
      </xdr:nvSpPr>
      <xdr:spPr bwMode="auto">
        <a:xfrm>
          <a:off x="23304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95</xdr:row>
      <xdr:rowOff>152400</xdr:rowOff>
    </xdr:from>
    <xdr:to>
      <xdr:col>2</xdr:col>
      <xdr:colOff>0</xdr:colOff>
      <xdr:row>97</xdr:row>
      <xdr:rowOff>0</xdr:rowOff>
    </xdr:to>
    <xdr:sp macro="" textlink="">
      <xdr:nvSpPr>
        <xdr:cNvPr id="295" name="TextBox 294"/>
        <xdr:cNvSpPr txBox="1">
          <a:spLocks noChangeArrowheads="1"/>
        </xdr:cNvSpPr>
      </xdr:nvSpPr>
      <xdr:spPr bwMode="auto">
        <a:xfrm>
          <a:off x="23304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296" name="TextBox 295"/>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297" name="TextBox 296"/>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298" name="TextBox 297"/>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299" name="TextBox 298"/>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300" name="TextBox 299"/>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301" name="TextBox 300"/>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302" name="TextBox 301"/>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303" name="TextBox 302"/>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98</xdr:row>
      <xdr:rowOff>152400</xdr:rowOff>
    </xdr:from>
    <xdr:to>
      <xdr:col>2</xdr:col>
      <xdr:colOff>0</xdr:colOff>
      <xdr:row>100</xdr:row>
      <xdr:rowOff>6350</xdr:rowOff>
    </xdr:to>
    <xdr:sp macro="" textlink="">
      <xdr:nvSpPr>
        <xdr:cNvPr id="304" name="TextBox 303"/>
        <xdr:cNvSpPr txBox="1">
          <a:spLocks noChangeArrowheads="1"/>
        </xdr:cNvSpPr>
      </xdr:nvSpPr>
      <xdr:spPr bwMode="auto">
        <a:xfrm>
          <a:off x="2330450" y="4305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98</xdr:row>
      <xdr:rowOff>152400</xdr:rowOff>
    </xdr:from>
    <xdr:to>
      <xdr:col>2</xdr:col>
      <xdr:colOff>0</xdr:colOff>
      <xdr:row>100</xdr:row>
      <xdr:rowOff>6350</xdr:rowOff>
    </xdr:to>
    <xdr:sp macro="" textlink="">
      <xdr:nvSpPr>
        <xdr:cNvPr id="305" name="TextBox 304"/>
        <xdr:cNvSpPr txBox="1">
          <a:spLocks noChangeArrowheads="1"/>
        </xdr:cNvSpPr>
      </xdr:nvSpPr>
      <xdr:spPr bwMode="auto">
        <a:xfrm>
          <a:off x="2330450" y="4305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103</xdr:row>
      <xdr:rowOff>152400</xdr:rowOff>
    </xdr:from>
    <xdr:to>
      <xdr:col>2</xdr:col>
      <xdr:colOff>0</xdr:colOff>
      <xdr:row>105</xdr:row>
      <xdr:rowOff>6350</xdr:rowOff>
    </xdr:to>
    <xdr:sp macro="" textlink="">
      <xdr:nvSpPr>
        <xdr:cNvPr id="306" name="TextBox 305"/>
        <xdr:cNvSpPr txBox="1">
          <a:spLocks noChangeArrowheads="1"/>
        </xdr:cNvSpPr>
      </xdr:nvSpPr>
      <xdr:spPr bwMode="auto">
        <a:xfrm>
          <a:off x="2330450" y="510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103</xdr:row>
      <xdr:rowOff>152400</xdr:rowOff>
    </xdr:from>
    <xdr:to>
      <xdr:col>2</xdr:col>
      <xdr:colOff>0</xdr:colOff>
      <xdr:row>105</xdr:row>
      <xdr:rowOff>6350</xdr:rowOff>
    </xdr:to>
    <xdr:sp macro="" textlink="">
      <xdr:nvSpPr>
        <xdr:cNvPr id="307" name="TextBox 306"/>
        <xdr:cNvSpPr txBox="1">
          <a:spLocks noChangeArrowheads="1"/>
        </xdr:cNvSpPr>
      </xdr:nvSpPr>
      <xdr:spPr bwMode="auto">
        <a:xfrm>
          <a:off x="2330450" y="510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104</xdr:row>
      <xdr:rowOff>152400</xdr:rowOff>
    </xdr:from>
    <xdr:to>
      <xdr:col>2</xdr:col>
      <xdr:colOff>0</xdr:colOff>
      <xdr:row>106</xdr:row>
      <xdr:rowOff>6350</xdr:rowOff>
    </xdr:to>
    <xdr:sp macro="" textlink="">
      <xdr:nvSpPr>
        <xdr:cNvPr id="308" name="TextBox 307"/>
        <xdr:cNvSpPr txBox="1">
          <a:spLocks noChangeArrowheads="1"/>
        </xdr:cNvSpPr>
      </xdr:nvSpPr>
      <xdr:spPr bwMode="auto">
        <a:xfrm>
          <a:off x="2330450" y="526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104</xdr:row>
      <xdr:rowOff>152400</xdr:rowOff>
    </xdr:from>
    <xdr:to>
      <xdr:col>2</xdr:col>
      <xdr:colOff>0</xdr:colOff>
      <xdr:row>106</xdr:row>
      <xdr:rowOff>6350</xdr:rowOff>
    </xdr:to>
    <xdr:sp macro="" textlink="">
      <xdr:nvSpPr>
        <xdr:cNvPr id="309" name="TextBox 308"/>
        <xdr:cNvSpPr txBox="1">
          <a:spLocks noChangeArrowheads="1"/>
        </xdr:cNvSpPr>
      </xdr:nvSpPr>
      <xdr:spPr bwMode="auto">
        <a:xfrm>
          <a:off x="2330450" y="526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105</xdr:row>
      <xdr:rowOff>152400</xdr:rowOff>
    </xdr:from>
    <xdr:to>
      <xdr:col>2</xdr:col>
      <xdr:colOff>0</xdr:colOff>
      <xdr:row>107</xdr:row>
      <xdr:rowOff>6350</xdr:rowOff>
    </xdr:to>
    <xdr:sp macro="" textlink="">
      <xdr:nvSpPr>
        <xdr:cNvPr id="310" name="TextBox 309"/>
        <xdr:cNvSpPr txBox="1">
          <a:spLocks noChangeArrowheads="1"/>
        </xdr:cNvSpPr>
      </xdr:nvSpPr>
      <xdr:spPr bwMode="auto">
        <a:xfrm>
          <a:off x="2330450" y="542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105</xdr:row>
      <xdr:rowOff>152400</xdr:rowOff>
    </xdr:from>
    <xdr:to>
      <xdr:col>2</xdr:col>
      <xdr:colOff>0</xdr:colOff>
      <xdr:row>107</xdr:row>
      <xdr:rowOff>6350</xdr:rowOff>
    </xdr:to>
    <xdr:sp macro="" textlink="">
      <xdr:nvSpPr>
        <xdr:cNvPr id="311" name="TextBox 310"/>
        <xdr:cNvSpPr txBox="1">
          <a:spLocks noChangeArrowheads="1"/>
        </xdr:cNvSpPr>
      </xdr:nvSpPr>
      <xdr:spPr bwMode="auto">
        <a:xfrm>
          <a:off x="2330450" y="542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106</xdr:row>
      <xdr:rowOff>152400</xdr:rowOff>
    </xdr:from>
    <xdr:to>
      <xdr:col>2</xdr:col>
      <xdr:colOff>0</xdr:colOff>
      <xdr:row>108</xdr:row>
      <xdr:rowOff>6350</xdr:rowOff>
    </xdr:to>
    <xdr:sp macro="" textlink="">
      <xdr:nvSpPr>
        <xdr:cNvPr id="312" name="TextBox 311"/>
        <xdr:cNvSpPr txBox="1">
          <a:spLocks noChangeArrowheads="1"/>
        </xdr:cNvSpPr>
      </xdr:nvSpPr>
      <xdr:spPr bwMode="auto">
        <a:xfrm>
          <a:off x="2330450" y="558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106</xdr:row>
      <xdr:rowOff>152400</xdr:rowOff>
    </xdr:from>
    <xdr:to>
      <xdr:col>2</xdr:col>
      <xdr:colOff>0</xdr:colOff>
      <xdr:row>108</xdr:row>
      <xdr:rowOff>6350</xdr:rowOff>
    </xdr:to>
    <xdr:sp macro="" textlink="">
      <xdr:nvSpPr>
        <xdr:cNvPr id="313" name="TextBox 312"/>
        <xdr:cNvSpPr txBox="1">
          <a:spLocks noChangeArrowheads="1"/>
        </xdr:cNvSpPr>
      </xdr:nvSpPr>
      <xdr:spPr bwMode="auto">
        <a:xfrm>
          <a:off x="2330450" y="558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107</xdr:row>
      <xdr:rowOff>152400</xdr:rowOff>
    </xdr:from>
    <xdr:to>
      <xdr:col>2</xdr:col>
      <xdr:colOff>0</xdr:colOff>
      <xdr:row>109</xdr:row>
      <xdr:rowOff>6350</xdr:rowOff>
    </xdr:to>
    <xdr:sp macro="" textlink="">
      <xdr:nvSpPr>
        <xdr:cNvPr id="314" name="TextBox 313"/>
        <xdr:cNvSpPr txBox="1">
          <a:spLocks noChangeArrowheads="1"/>
        </xdr:cNvSpPr>
      </xdr:nvSpPr>
      <xdr:spPr bwMode="auto">
        <a:xfrm>
          <a:off x="23304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107</xdr:row>
      <xdr:rowOff>152400</xdr:rowOff>
    </xdr:from>
    <xdr:to>
      <xdr:col>2</xdr:col>
      <xdr:colOff>0</xdr:colOff>
      <xdr:row>109</xdr:row>
      <xdr:rowOff>6350</xdr:rowOff>
    </xdr:to>
    <xdr:sp macro="" textlink="">
      <xdr:nvSpPr>
        <xdr:cNvPr id="315" name="TextBox 314"/>
        <xdr:cNvSpPr txBox="1">
          <a:spLocks noChangeArrowheads="1"/>
        </xdr:cNvSpPr>
      </xdr:nvSpPr>
      <xdr:spPr bwMode="auto">
        <a:xfrm>
          <a:off x="23304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108</xdr:row>
      <xdr:rowOff>152400</xdr:rowOff>
    </xdr:from>
    <xdr:to>
      <xdr:col>2</xdr:col>
      <xdr:colOff>0</xdr:colOff>
      <xdr:row>110</xdr:row>
      <xdr:rowOff>6350</xdr:rowOff>
    </xdr:to>
    <xdr:sp macro="" textlink="">
      <xdr:nvSpPr>
        <xdr:cNvPr id="316" name="TextBox 315"/>
        <xdr:cNvSpPr txBox="1">
          <a:spLocks noChangeArrowheads="1"/>
        </xdr:cNvSpPr>
      </xdr:nvSpPr>
      <xdr:spPr bwMode="auto">
        <a:xfrm>
          <a:off x="23304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108</xdr:row>
      <xdr:rowOff>152400</xdr:rowOff>
    </xdr:from>
    <xdr:to>
      <xdr:col>2</xdr:col>
      <xdr:colOff>0</xdr:colOff>
      <xdr:row>110</xdr:row>
      <xdr:rowOff>6350</xdr:rowOff>
    </xdr:to>
    <xdr:sp macro="" textlink="">
      <xdr:nvSpPr>
        <xdr:cNvPr id="317" name="TextBox 316"/>
        <xdr:cNvSpPr txBox="1">
          <a:spLocks noChangeArrowheads="1"/>
        </xdr:cNvSpPr>
      </xdr:nvSpPr>
      <xdr:spPr bwMode="auto">
        <a:xfrm>
          <a:off x="23304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109</xdr:row>
      <xdr:rowOff>152400</xdr:rowOff>
    </xdr:from>
    <xdr:to>
      <xdr:col>2</xdr:col>
      <xdr:colOff>0</xdr:colOff>
      <xdr:row>111</xdr:row>
      <xdr:rowOff>6350</xdr:rowOff>
    </xdr:to>
    <xdr:sp macro="" textlink="">
      <xdr:nvSpPr>
        <xdr:cNvPr id="318" name="TextBox 317"/>
        <xdr:cNvSpPr txBox="1">
          <a:spLocks noChangeArrowheads="1"/>
        </xdr:cNvSpPr>
      </xdr:nvSpPr>
      <xdr:spPr bwMode="auto">
        <a:xfrm>
          <a:off x="23304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109</xdr:row>
      <xdr:rowOff>152400</xdr:rowOff>
    </xdr:from>
    <xdr:to>
      <xdr:col>2</xdr:col>
      <xdr:colOff>0</xdr:colOff>
      <xdr:row>111</xdr:row>
      <xdr:rowOff>6350</xdr:rowOff>
    </xdr:to>
    <xdr:sp macro="" textlink="">
      <xdr:nvSpPr>
        <xdr:cNvPr id="319" name="TextBox 318"/>
        <xdr:cNvSpPr txBox="1">
          <a:spLocks noChangeArrowheads="1"/>
        </xdr:cNvSpPr>
      </xdr:nvSpPr>
      <xdr:spPr bwMode="auto">
        <a:xfrm>
          <a:off x="23304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110</xdr:row>
      <xdr:rowOff>152400</xdr:rowOff>
    </xdr:from>
    <xdr:to>
      <xdr:col>2</xdr:col>
      <xdr:colOff>0</xdr:colOff>
      <xdr:row>112</xdr:row>
      <xdr:rowOff>6350</xdr:rowOff>
    </xdr:to>
    <xdr:sp macro="" textlink="">
      <xdr:nvSpPr>
        <xdr:cNvPr id="320" name="TextBox 319"/>
        <xdr:cNvSpPr txBox="1">
          <a:spLocks noChangeArrowheads="1"/>
        </xdr:cNvSpPr>
      </xdr:nvSpPr>
      <xdr:spPr bwMode="auto">
        <a:xfrm>
          <a:off x="23304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110</xdr:row>
      <xdr:rowOff>152400</xdr:rowOff>
    </xdr:from>
    <xdr:to>
      <xdr:col>2</xdr:col>
      <xdr:colOff>0</xdr:colOff>
      <xdr:row>112</xdr:row>
      <xdr:rowOff>6350</xdr:rowOff>
    </xdr:to>
    <xdr:sp macro="" textlink="">
      <xdr:nvSpPr>
        <xdr:cNvPr id="321" name="TextBox 320"/>
        <xdr:cNvSpPr txBox="1">
          <a:spLocks noChangeArrowheads="1"/>
        </xdr:cNvSpPr>
      </xdr:nvSpPr>
      <xdr:spPr bwMode="auto">
        <a:xfrm>
          <a:off x="23304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111</xdr:row>
      <xdr:rowOff>152400</xdr:rowOff>
    </xdr:from>
    <xdr:to>
      <xdr:col>2</xdr:col>
      <xdr:colOff>0</xdr:colOff>
      <xdr:row>113</xdr:row>
      <xdr:rowOff>6350</xdr:rowOff>
    </xdr:to>
    <xdr:sp macro="" textlink="">
      <xdr:nvSpPr>
        <xdr:cNvPr id="322" name="TextBox 321"/>
        <xdr:cNvSpPr txBox="1">
          <a:spLocks noChangeArrowheads="1"/>
        </xdr:cNvSpPr>
      </xdr:nvSpPr>
      <xdr:spPr bwMode="auto">
        <a:xfrm>
          <a:off x="2330450" y="637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111</xdr:row>
      <xdr:rowOff>152400</xdr:rowOff>
    </xdr:from>
    <xdr:to>
      <xdr:col>2</xdr:col>
      <xdr:colOff>0</xdr:colOff>
      <xdr:row>113</xdr:row>
      <xdr:rowOff>6350</xdr:rowOff>
    </xdr:to>
    <xdr:sp macro="" textlink="">
      <xdr:nvSpPr>
        <xdr:cNvPr id="323" name="TextBox 322"/>
        <xdr:cNvSpPr txBox="1">
          <a:spLocks noChangeArrowheads="1"/>
        </xdr:cNvSpPr>
      </xdr:nvSpPr>
      <xdr:spPr bwMode="auto">
        <a:xfrm>
          <a:off x="2330450" y="637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112</xdr:row>
      <xdr:rowOff>152400</xdr:rowOff>
    </xdr:from>
    <xdr:to>
      <xdr:col>2</xdr:col>
      <xdr:colOff>0</xdr:colOff>
      <xdr:row>114</xdr:row>
      <xdr:rowOff>6350</xdr:rowOff>
    </xdr:to>
    <xdr:sp macro="" textlink="">
      <xdr:nvSpPr>
        <xdr:cNvPr id="324" name="TextBox 323"/>
        <xdr:cNvSpPr txBox="1">
          <a:spLocks noChangeArrowheads="1"/>
        </xdr:cNvSpPr>
      </xdr:nvSpPr>
      <xdr:spPr bwMode="auto">
        <a:xfrm>
          <a:off x="2330450" y="653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112</xdr:row>
      <xdr:rowOff>152400</xdr:rowOff>
    </xdr:from>
    <xdr:to>
      <xdr:col>2</xdr:col>
      <xdr:colOff>0</xdr:colOff>
      <xdr:row>114</xdr:row>
      <xdr:rowOff>6350</xdr:rowOff>
    </xdr:to>
    <xdr:sp macro="" textlink="">
      <xdr:nvSpPr>
        <xdr:cNvPr id="325" name="TextBox 324"/>
        <xdr:cNvSpPr txBox="1">
          <a:spLocks noChangeArrowheads="1"/>
        </xdr:cNvSpPr>
      </xdr:nvSpPr>
      <xdr:spPr bwMode="auto">
        <a:xfrm>
          <a:off x="2330450" y="653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113</xdr:row>
      <xdr:rowOff>152400</xdr:rowOff>
    </xdr:from>
    <xdr:to>
      <xdr:col>2</xdr:col>
      <xdr:colOff>0</xdr:colOff>
      <xdr:row>115</xdr:row>
      <xdr:rowOff>6350</xdr:rowOff>
    </xdr:to>
    <xdr:sp macro="" textlink="">
      <xdr:nvSpPr>
        <xdr:cNvPr id="326" name="TextBox 325"/>
        <xdr:cNvSpPr txBox="1">
          <a:spLocks noChangeArrowheads="1"/>
        </xdr:cNvSpPr>
      </xdr:nvSpPr>
      <xdr:spPr bwMode="auto">
        <a:xfrm>
          <a:off x="2330450" y="669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113</xdr:row>
      <xdr:rowOff>152400</xdr:rowOff>
    </xdr:from>
    <xdr:to>
      <xdr:col>2</xdr:col>
      <xdr:colOff>0</xdr:colOff>
      <xdr:row>115</xdr:row>
      <xdr:rowOff>6350</xdr:rowOff>
    </xdr:to>
    <xdr:sp macro="" textlink="">
      <xdr:nvSpPr>
        <xdr:cNvPr id="327" name="TextBox 326"/>
        <xdr:cNvSpPr txBox="1">
          <a:spLocks noChangeArrowheads="1"/>
        </xdr:cNvSpPr>
      </xdr:nvSpPr>
      <xdr:spPr bwMode="auto">
        <a:xfrm>
          <a:off x="2330450" y="669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114</xdr:row>
      <xdr:rowOff>152400</xdr:rowOff>
    </xdr:from>
    <xdr:to>
      <xdr:col>2</xdr:col>
      <xdr:colOff>0</xdr:colOff>
      <xdr:row>116</xdr:row>
      <xdr:rowOff>6350</xdr:rowOff>
    </xdr:to>
    <xdr:sp macro="" textlink="">
      <xdr:nvSpPr>
        <xdr:cNvPr id="328" name="TextBox 327"/>
        <xdr:cNvSpPr txBox="1">
          <a:spLocks noChangeArrowheads="1"/>
        </xdr:cNvSpPr>
      </xdr:nvSpPr>
      <xdr:spPr bwMode="auto">
        <a:xfrm>
          <a:off x="2330450" y="685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114</xdr:row>
      <xdr:rowOff>152400</xdr:rowOff>
    </xdr:from>
    <xdr:to>
      <xdr:col>2</xdr:col>
      <xdr:colOff>0</xdr:colOff>
      <xdr:row>116</xdr:row>
      <xdr:rowOff>6350</xdr:rowOff>
    </xdr:to>
    <xdr:sp macro="" textlink="">
      <xdr:nvSpPr>
        <xdr:cNvPr id="329" name="TextBox 328"/>
        <xdr:cNvSpPr txBox="1">
          <a:spLocks noChangeArrowheads="1"/>
        </xdr:cNvSpPr>
      </xdr:nvSpPr>
      <xdr:spPr bwMode="auto">
        <a:xfrm>
          <a:off x="2330450" y="685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115</xdr:row>
      <xdr:rowOff>152400</xdr:rowOff>
    </xdr:from>
    <xdr:to>
      <xdr:col>2</xdr:col>
      <xdr:colOff>0</xdr:colOff>
      <xdr:row>117</xdr:row>
      <xdr:rowOff>6350</xdr:rowOff>
    </xdr:to>
    <xdr:sp macro="" textlink="">
      <xdr:nvSpPr>
        <xdr:cNvPr id="330" name="TextBox 329"/>
        <xdr:cNvSpPr txBox="1">
          <a:spLocks noChangeArrowheads="1"/>
        </xdr:cNvSpPr>
      </xdr:nvSpPr>
      <xdr:spPr bwMode="auto">
        <a:xfrm>
          <a:off x="2330450" y="701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115</xdr:row>
      <xdr:rowOff>152400</xdr:rowOff>
    </xdr:from>
    <xdr:to>
      <xdr:col>2</xdr:col>
      <xdr:colOff>0</xdr:colOff>
      <xdr:row>117</xdr:row>
      <xdr:rowOff>6350</xdr:rowOff>
    </xdr:to>
    <xdr:sp macro="" textlink="">
      <xdr:nvSpPr>
        <xdr:cNvPr id="331" name="TextBox 330"/>
        <xdr:cNvSpPr txBox="1">
          <a:spLocks noChangeArrowheads="1"/>
        </xdr:cNvSpPr>
      </xdr:nvSpPr>
      <xdr:spPr bwMode="auto">
        <a:xfrm>
          <a:off x="2330450" y="701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116</xdr:row>
      <xdr:rowOff>152400</xdr:rowOff>
    </xdr:from>
    <xdr:to>
      <xdr:col>2</xdr:col>
      <xdr:colOff>0</xdr:colOff>
      <xdr:row>118</xdr:row>
      <xdr:rowOff>6350</xdr:rowOff>
    </xdr:to>
    <xdr:sp macro="" textlink="">
      <xdr:nvSpPr>
        <xdr:cNvPr id="332" name="TextBox 331"/>
        <xdr:cNvSpPr txBox="1">
          <a:spLocks noChangeArrowheads="1"/>
        </xdr:cNvSpPr>
      </xdr:nvSpPr>
      <xdr:spPr bwMode="auto">
        <a:xfrm>
          <a:off x="2330450" y="716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116</xdr:row>
      <xdr:rowOff>152400</xdr:rowOff>
    </xdr:from>
    <xdr:to>
      <xdr:col>2</xdr:col>
      <xdr:colOff>0</xdr:colOff>
      <xdr:row>118</xdr:row>
      <xdr:rowOff>6350</xdr:rowOff>
    </xdr:to>
    <xdr:sp macro="" textlink="">
      <xdr:nvSpPr>
        <xdr:cNvPr id="333" name="TextBox 332"/>
        <xdr:cNvSpPr txBox="1">
          <a:spLocks noChangeArrowheads="1"/>
        </xdr:cNvSpPr>
      </xdr:nvSpPr>
      <xdr:spPr bwMode="auto">
        <a:xfrm>
          <a:off x="2330450" y="716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117</xdr:row>
      <xdr:rowOff>152400</xdr:rowOff>
    </xdr:from>
    <xdr:to>
      <xdr:col>2</xdr:col>
      <xdr:colOff>0</xdr:colOff>
      <xdr:row>119</xdr:row>
      <xdr:rowOff>6350</xdr:rowOff>
    </xdr:to>
    <xdr:sp macro="" textlink="">
      <xdr:nvSpPr>
        <xdr:cNvPr id="334" name="TextBox 333"/>
        <xdr:cNvSpPr txBox="1">
          <a:spLocks noChangeArrowheads="1"/>
        </xdr:cNvSpPr>
      </xdr:nvSpPr>
      <xdr:spPr bwMode="auto">
        <a:xfrm>
          <a:off x="2330450" y="732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117</xdr:row>
      <xdr:rowOff>152400</xdr:rowOff>
    </xdr:from>
    <xdr:to>
      <xdr:col>2</xdr:col>
      <xdr:colOff>0</xdr:colOff>
      <xdr:row>119</xdr:row>
      <xdr:rowOff>6350</xdr:rowOff>
    </xdr:to>
    <xdr:sp macro="" textlink="">
      <xdr:nvSpPr>
        <xdr:cNvPr id="335" name="TextBox 334"/>
        <xdr:cNvSpPr txBox="1">
          <a:spLocks noChangeArrowheads="1"/>
        </xdr:cNvSpPr>
      </xdr:nvSpPr>
      <xdr:spPr bwMode="auto">
        <a:xfrm>
          <a:off x="2330450" y="732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118</xdr:row>
      <xdr:rowOff>152400</xdr:rowOff>
    </xdr:from>
    <xdr:to>
      <xdr:col>2</xdr:col>
      <xdr:colOff>0</xdr:colOff>
      <xdr:row>120</xdr:row>
      <xdr:rowOff>6350</xdr:rowOff>
    </xdr:to>
    <xdr:sp macro="" textlink="">
      <xdr:nvSpPr>
        <xdr:cNvPr id="336" name="TextBox 335"/>
        <xdr:cNvSpPr txBox="1">
          <a:spLocks noChangeArrowheads="1"/>
        </xdr:cNvSpPr>
      </xdr:nvSpPr>
      <xdr:spPr bwMode="auto">
        <a:xfrm>
          <a:off x="2330450" y="748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118</xdr:row>
      <xdr:rowOff>152400</xdr:rowOff>
    </xdr:from>
    <xdr:to>
      <xdr:col>2</xdr:col>
      <xdr:colOff>0</xdr:colOff>
      <xdr:row>120</xdr:row>
      <xdr:rowOff>6350</xdr:rowOff>
    </xdr:to>
    <xdr:sp macro="" textlink="">
      <xdr:nvSpPr>
        <xdr:cNvPr id="337" name="TextBox 336"/>
        <xdr:cNvSpPr txBox="1">
          <a:spLocks noChangeArrowheads="1"/>
        </xdr:cNvSpPr>
      </xdr:nvSpPr>
      <xdr:spPr bwMode="auto">
        <a:xfrm>
          <a:off x="2330450" y="748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119</xdr:row>
      <xdr:rowOff>152400</xdr:rowOff>
    </xdr:from>
    <xdr:to>
      <xdr:col>2</xdr:col>
      <xdr:colOff>0</xdr:colOff>
      <xdr:row>121</xdr:row>
      <xdr:rowOff>6350</xdr:rowOff>
    </xdr:to>
    <xdr:sp macro="" textlink="">
      <xdr:nvSpPr>
        <xdr:cNvPr id="338" name="TextBox 337"/>
        <xdr:cNvSpPr txBox="1">
          <a:spLocks noChangeArrowheads="1"/>
        </xdr:cNvSpPr>
      </xdr:nvSpPr>
      <xdr:spPr bwMode="auto">
        <a:xfrm>
          <a:off x="2330450" y="764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119</xdr:row>
      <xdr:rowOff>152400</xdr:rowOff>
    </xdr:from>
    <xdr:to>
      <xdr:col>2</xdr:col>
      <xdr:colOff>0</xdr:colOff>
      <xdr:row>121</xdr:row>
      <xdr:rowOff>6350</xdr:rowOff>
    </xdr:to>
    <xdr:sp macro="" textlink="">
      <xdr:nvSpPr>
        <xdr:cNvPr id="339" name="TextBox 338"/>
        <xdr:cNvSpPr txBox="1">
          <a:spLocks noChangeArrowheads="1"/>
        </xdr:cNvSpPr>
      </xdr:nvSpPr>
      <xdr:spPr bwMode="auto">
        <a:xfrm>
          <a:off x="2330450" y="764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120</xdr:row>
      <xdr:rowOff>152400</xdr:rowOff>
    </xdr:from>
    <xdr:to>
      <xdr:col>2</xdr:col>
      <xdr:colOff>0</xdr:colOff>
      <xdr:row>122</xdr:row>
      <xdr:rowOff>6350</xdr:rowOff>
    </xdr:to>
    <xdr:sp macro="" textlink="">
      <xdr:nvSpPr>
        <xdr:cNvPr id="340" name="TextBox 339"/>
        <xdr:cNvSpPr txBox="1">
          <a:spLocks noChangeArrowheads="1"/>
        </xdr:cNvSpPr>
      </xdr:nvSpPr>
      <xdr:spPr bwMode="auto">
        <a:xfrm>
          <a:off x="2330450" y="780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120</xdr:row>
      <xdr:rowOff>152400</xdr:rowOff>
    </xdr:from>
    <xdr:to>
      <xdr:col>2</xdr:col>
      <xdr:colOff>0</xdr:colOff>
      <xdr:row>122</xdr:row>
      <xdr:rowOff>6350</xdr:rowOff>
    </xdr:to>
    <xdr:sp macro="" textlink="">
      <xdr:nvSpPr>
        <xdr:cNvPr id="341" name="TextBox 340"/>
        <xdr:cNvSpPr txBox="1">
          <a:spLocks noChangeArrowheads="1"/>
        </xdr:cNvSpPr>
      </xdr:nvSpPr>
      <xdr:spPr bwMode="auto">
        <a:xfrm>
          <a:off x="2330450" y="780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121</xdr:row>
      <xdr:rowOff>152400</xdr:rowOff>
    </xdr:from>
    <xdr:to>
      <xdr:col>2</xdr:col>
      <xdr:colOff>0</xdr:colOff>
      <xdr:row>123</xdr:row>
      <xdr:rowOff>6350</xdr:rowOff>
    </xdr:to>
    <xdr:sp macro="" textlink="">
      <xdr:nvSpPr>
        <xdr:cNvPr id="342" name="TextBox 341"/>
        <xdr:cNvSpPr txBox="1">
          <a:spLocks noChangeArrowheads="1"/>
        </xdr:cNvSpPr>
      </xdr:nvSpPr>
      <xdr:spPr bwMode="auto">
        <a:xfrm>
          <a:off x="2330450" y="796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121</xdr:row>
      <xdr:rowOff>152400</xdr:rowOff>
    </xdr:from>
    <xdr:to>
      <xdr:col>2</xdr:col>
      <xdr:colOff>0</xdr:colOff>
      <xdr:row>123</xdr:row>
      <xdr:rowOff>6350</xdr:rowOff>
    </xdr:to>
    <xdr:sp macro="" textlink="">
      <xdr:nvSpPr>
        <xdr:cNvPr id="343" name="TextBox 342"/>
        <xdr:cNvSpPr txBox="1">
          <a:spLocks noChangeArrowheads="1"/>
        </xdr:cNvSpPr>
      </xdr:nvSpPr>
      <xdr:spPr bwMode="auto">
        <a:xfrm>
          <a:off x="2330450" y="796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122</xdr:row>
      <xdr:rowOff>152400</xdr:rowOff>
    </xdr:from>
    <xdr:to>
      <xdr:col>2</xdr:col>
      <xdr:colOff>0</xdr:colOff>
      <xdr:row>124</xdr:row>
      <xdr:rowOff>6350</xdr:rowOff>
    </xdr:to>
    <xdr:sp macro="" textlink="">
      <xdr:nvSpPr>
        <xdr:cNvPr id="344" name="TextBox 343"/>
        <xdr:cNvSpPr txBox="1">
          <a:spLocks noChangeArrowheads="1"/>
        </xdr:cNvSpPr>
      </xdr:nvSpPr>
      <xdr:spPr bwMode="auto">
        <a:xfrm>
          <a:off x="2330450" y="812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122</xdr:row>
      <xdr:rowOff>152400</xdr:rowOff>
    </xdr:from>
    <xdr:to>
      <xdr:col>2</xdr:col>
      <xdr:colOff>0</xdr:colOff>
      <xdr:row>124</xdr:row>
      <xdr:rowOff>6350</xdr:rowOff>
    </xdr:to>
    <xdr:sp macro="" textlink="">
      <xdr:nvSpPr>
        <xdr:cNvPr id="345" name="TextBox 344"/>
        <xdr:cNvSpPr txBox="1">
          <a:spLocks noChangeArrowheads="1"/>
        </xdr:cNvSpPr>
      </xdr:nvSpPr>
      <xdr:spPr bwMode="auto">
        <a:xfrm>
          <a:off x="2330450" y="812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123</xdr:row>
      <xdr:rowOff>152400</xdr:rowOff>
    </xdr:from>
    <xdr:to>
      <xdr:col>2</xdr:col>
      <xdr:colOff>0</xdr:colOff>
      <xdr:row>125</xdr:row>
      <xdr:rowOff>6350</xdr:rowOff>
    </xdr:to>
    <xdr:sp macro="" textlink="">
      <xdr:nvSpPr>
        <xdr:cNvPr id="346" name="TextBox 345"/>
        <xdr:cNvSpPr txBox="1">
          <a:spLocks noChangeArrowheads="1"/>
        </xdr:cNvSpPr>
      </xdr:nvSpPr>
      <xdr:spPr bwMode="auto">
        <a:xfrm>
          <a:off x="2330450" y="828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123</xdr:row>
      <xdr:rowOff>152400</xdr:rowOff>
    </xdr:from>
    <xdr:to>
      <xdr:col>2</xdr:col>
      <xdr:colOff>0</xdr:colOff>
      <xdr:row>125</xdr:row>
      <xdr:rowOff>6350</xdr:rowOff>
    </xdr:to>
    <xdr:sp macro="" textlink="">
      <xdr:nvSpPr>
        <xdr:cNvPr id="347" name="TextBox 346"/>
        <xdr:cNvSpPr txBox="1">
          <a:spLocks noChangeArrowheads="1"/>
        </xdr:cNvSpPr>
      </xdr:nvSpPr>
      <xdr:spPr bwMode="auto">
        <a:xfrm>
          <a:off x="2330450" y="828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124</xdr:row>
      <xdr:rowOff>152400</xdr:rowOff>
    </xdr:from>
    <xdr:to>
      <xdr:col>2</xdr:col>
      <xdr:colOff>0</xdr:colOff>
      <xdr:row>126</xdr:row>
      <xdr:rowOff>6350</xdr:rowOff>
    </xdr:to>
    <xdr:sp macro="" textlink="">
      <xdr:nvSpPr>
        <xdr:cNvPr id="348" name="TextBox 347"/>
        <xdr:cNvSpPr txBox="1">
          <a:spLocks noChangeArrowheads="1"/>
        </xdr:cNvSpPr>
      </xdr:nvSpPr>
      <xdr:spPr bwMode="auto">
        <a:xfrm>
          <a:off x="2330450" y="843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124</xdr:row>
      <xdr:rowOff>152400</xdr:rowOff>
    </xdr:from>
    <xdr:to>
      <xdr:col>2</xdr:col>
      <xdr:colOff>0</xdr:colOff>
      <xdr:row>126</xdr:row>
      <xdr:rowOff>6350</xdr:rowOff>
    </xdr:to>
    <xdr:sp macro="" textlink="">
      <xdr:nvSpPr>
        <xdr:cNvPr id="349" name="TextBox 348"/>
        <xdr:cNvSpPr txBox="1">
          <a:spLocks noChangeArrowheads="1"/>
        </xdr:cNvSpPr>
      </xdr:nvSpPr>
      <xdr:spPr bwMode="auto">
        <a:xfrm>
          <a:off x="2330450" y="843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125</xdr:row>
      <xdr:rowOff>152400</xdr:rowOff>
    </xdr:from>
    <xdr:to>
      <xdr:col>2</xdr:col>
      <xdr:colOff>0</xdr:colOff>
      <xdr:row>127</xdr:row>
      <xdr:rowOff>6350</xdr:rowOff>
    </xdr:to>
    <xdr:sp macro="" textlink="">
      <xdr:nvSpPr>
        <xdr:cNvPr id="350" name="TextBox 349"/>
        <xdr:cNvSpPr txBox="1">
          <a:spLocks noChangeArrowheads="1"/>
        </xdr:cNvSpPr>
      </xdr:nvSpPr>
      <xdr:spPr bwMode="auto">
        <a:xfrm>
          <a:off x="2330450" y="859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125</xdr:row>
      <xdr:rowOff>152400</xdr:rowOff>
    </xdr:from>
    <xdr:to>
      <xdr:col>2</xdr:col>
      <xdr:colOff>0</xdr:colOff>
      <xdr:row>127</xdr:row>
      <xdr:rowOff>6350</xdr:rowOff>
    </xdr:to>
    <xdr:sp macro="" textlink="">
      <xdr:nvSpPr>
        <xdr:cNvPr id="351" name="TextBox 350"/>
        <xdr:cNvSpPr txBox="1">
          <a:spLocks noChangeArrowheads="1"/>
        </xdr:cNvSpPr>
      </xdr:nvSpPr>
      <xdr:spPr bwMode="auto">
        <a:xfrm>
          <a:off x="2330450" y="859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126</xdr:row>
      <xdr:rowOff>152400</xdr:rowOff>
    </xdr:from>
    <xdr:to>
      <xdr:col>2</xdr:col>
      <xdr:colOff>0</xdr:colOff>
      <xdr:row>128</xdr:row>
      <xdr:rowOff>6350</xdr:rowOff>
    </xdr:to>
    <xdr:sp macro="" textlink="">
      <xdr:nvSpPr>
        <xdr:cNvPr id="352" name="TextBox 351"/>
        <xdr:cNvSpPr txBox="1">
          <a:spLocks noChangeArrowheads="1"/>
        </xdr:cNvSpPr>
      </xdr:nvSpPr>
      <xdr:spPr bwMode="auto">
        <a:xfrm>
          <a:off x="2330450" y="875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126</xdr:row>
      <xdr:rowOff>152400</xdr:rowOff>
    </xdr:from>
    <xdr:to>
      <xdr:col>2</xdr:col>
      <xdr:colOff>0</xdr:colOff>
      <xdr:row>128</xdr:row>
      <xdr:rowOff>6350</xdr:rowOff>
    </xdr:to>
    <xdr:sp macro="" textlink="">
      <xdr:nvSpPr>
        <xdr:cNvPr id="353" name="TextBox 352"/>
        <xdr:cNvSpPr txBox="1">
          <a:spLocks noChangeArrowheads="1"/>
        </xdr:cNvSpPr>
      </xdr:nvSpPr>
      <xdr:spPr bwMode="auto">
        <a:xfrm>
          <a:off x="2330450" y="875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127</xdr:row>
      <xdr:rowOff>152400</xdr:rowOff>
    </xdr:from>
    <xdr:to>
      <xdr:col>2</xdr:col>
      <xdr:colOff>0</xdr:colOff>
      <xdr:row>129</xdr:row>
      <xdr:rowOff>6350</xdr:rowOff>
    </xdr:to>
    <xdr:sp macro="" textlink="">
      <xdr:nvSpPr>
        <xdr:cNvPr id="354" name="TextBox 353"/>
        <xdr:cNvSpPr txBox="1">
          <a:spLocks noChangeArrowheads="1"/>
        </xdr:cNvSpPr>
      </xdr:nvSpPr>
      <xdr:spPr bwMode="auto">
        <a:xfrm>
          <a:off x="2330450" y="891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127</xdr:row>
      <xdr:rowOff>152400</xdr:rowOff>
    </xdr:from>
    <xdr:to>
      <xdr:col>2</xdr:col>
      <xdr:colOff>0</xdr:colOff>
      <xdr:row>129</xdr:row>
      <xdr:rowOff>6350</xdr:rowOff>
    </xdr:to>
    <xdr:sp macro="" textlink="">
      <xdr:nvSpPr>
        <xdr:cNvPr id="355" name="TextBox 354"/>
        <xdr:cNvSpPr txBox="1">
          <a:spLocks noChangeArrowheads="1"/>
        </xdr:cNvSpPr>
      </xdr:nvSpPr>
      <xdr:spPr bwMode="auto">
        <a:xfrm>
          <a:off x="2330450" y="891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128</xdr:row>
      <xdr:rowOff>152400</xdr:rowOff>
    </xdr:from>
    <xdr:to>
      <xdr:col>2</xdr:col>
      <xdr:colOff>0</xdr:colOff>
      <xdr:row>130</xdr:row>
      <xdr:rowOff>6350</xdr:rowOff>
    </xdr:to>
    <xdr:sp macro="" textlink="">
      <xdr:nvSpPr>
        <xdr:cNvPr id="356" name="TextBox 355"/>
        <xdr:cNvSpPr txBox="1">
          <a:spLocks noChangeArrowheads="1"/>
        </xdr:cNvSpPr>
      </xdr:nvSpPr>
      <xdr:spPr bwMode="auto">
        <a:xfrm>
          <a:off x="2330450" y="907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128</xdr:row>
      <xdr:rowOff>152400</xdr:rowOff>
    </xdr:from>
    <xdr:to>
      <xdr:col>2</xdr:col>
      <xdr:colOff>0</xdr:colOff>
      <xdr:row>130</xdr:row>
      <xdr:rowOff>6350</xdr:rowOff>
    </xdr:to>
    <xdr:sp macro="" textlink="">
      <xdr:nvSpPr>
        <xdr:cNvPr id="357" name="TextBox 356"/>
        <xdr:cNvSpPr txBox="1">
          <a:spLocks noChangeArrowheads="1"/>
        </xdr:cNvSpPr>
      </xdr:nvSpPr>
      <xdr:spPr bwMode="auto">
        <a:xfrm>
          <a:off x="2330450" y="907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129</xdr:row>
      <xdr:rowOff>152400</xdr:rowOff>
    </xdr:from>
    <xdr:to>
      <xdr:col>2</xdr:col>
      <xdr:colOff>0</xdr:colOff>
      <xdr:row>131</xdr:row>
      <xdr:rowOff>6350</xdr:rowOff>
    </xdr:to>
    <xdr:sp macro="" textlink="">
      <xdr:nvSpPr>
        <xdr:cNvPr id="358" name="TextBox 357"/>
        <xdr:cNvSpPr txBox="1">
          <a:spLocks noChangeArrowheads="1"/>
        </xdr:cNvSpPr>
      </xdr:nvSpPr>
      <xdr:spPr bwMode="auto">
        <a:xfrm>
          <a:off x="2330450" y="923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129</xdr:row>
      <xdr:rowOff>152400</xdr:rowOff>
    </xdr:from>
    <xdr:to>
      <xdr:col>2</xdr:col>
      <xdr:colOff>0</xdr:colOff>
      <xdr:row>131</xdr:row>
      <xdr:rowOff>6350</xdr:rowOff>
    </xdr:to>
    <xdr:sp macro="" textlink="">
      <xdr:nvSpPr>
        <xdr:cNvPr id="359" name="TextBox 358"/>
        <xdr:cNvSpPr txBox="1">
          <a:spLocks noChangeArrowheads="1"/>
        </xdr:cNvSpPr>
      </xdr:nvSpPr>
      <xdr:spPr bwMode="auto">
        <a:xfrm>
          <a:off x="2330450" y="923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130</xdr:row>
      <xdr:rowOff>152400</xdr:rowOff>
    </xdr:from>
    <xdr:to>
      <xdr:col>2</xdr:col>
      <xdr:colOff>0</xdr:colOff>
      <xdr:row>132</xdr:row>
      <xdr:rowOff>6350</xdr:rowOff>
    </xdr:to>
    <xdr:sp macro="" textlink="">
      <xdr:nvSpPr>
        <xdr:cNvPr id="360" name="TextBox 359"/>
        <xdr:cNvSpPr txBox="1">
          <a:spLocks noChangeArrowheads="1"/>
        </xdr:cNvSpPr>
      </xdr:nvSpPr>
      <xdr:spPr bwMode="auto">
        <a:xfrm>
          <a:off x="2330450" y="939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130</xdr:row>
      <xdr:rowOff>152400</xdr:rowOff>
    </xdr:from>
    <xdr:to>
      <xdr:col>2</xdr:col>
      <xdr:colOff>0</xdr:colOff>
      <xdr:row>132</xdr:row>
      <xdr:rowOff>6350</xdr:rowOff>
    </xdr:to>
    <xdr:sp macro="" textlink="">
      <xdr:nvSpPr>
        <xdr:cNvPr id="361" name="TextBox 360"/>
        <xdr:cNvSpPr txBox="1">
          <a:spLocks noChangeArrowheads="1"/>
        </xdr:cNvSpPr>
      </xdr:nvSpPr>
      <xdr:spPr bwMode="auto">
        <a:xfrm>
          <a:off x="2330450" y="939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131</xdr:row>
      <xdr:rowOff>152400</xdr:rowOff>
    </xdr:from>
    <xdr:to>
      <xdr:col>2</xdr:col>
      <xdr:colOff>0</xdr:colOff>
      <xdr:row>133</xdr:row>
      <xdr:rowOff>6350</xdr:rowOff>
    </xdr:to>
    <xdr:sp macro="" textlink="">
      <xdr:nvSpPr>
        <xdr:cNvPr id="362" name="TextBox 361"/>
        <xdr:cNvSpPr txBox="1">
          <a:spLocks noChangeArrowheads="1"/>
        </xdr:cNvSpPr>
      </xdr:nvSpPr>
      <xdr:spPr bwMode="auto">
        <a:xfrm>
          <a:off x="2330450" y="955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131</xdr:row>
      <xdr:rowOff>152400</xdr:rowOff>
    </xdr:from>
    <xdr:to>
      <xdr:col>2</xdr:col>
      <xdr:colOff>0</xdr:colOff>
      <xdr:row>133</xdr:row>
      <xdr:rowOff>6350</xdr:rowOff>
    </xdr:to>
    <xdr:sp macro="" textlink="">
      <xdr:nvSpPr>
        <xdr:cNvPr id="363" name="TextBox 362"/>
        <xdr:cNvSpPr txBox="1">
          <a:spLocks noChangeArrowheads="1"/>
        </xdr:cNvSpPr>
      </xdr:nvSpPr>
      <xdr:spPr bwMode="auto">
        <a:xfrm>
          <a:off x="2330450" y="955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132</xdr:row>
      <xdr:rowOff>152400</xdr:rowOff>
    </xdr:from>
    <xdr:to>
      <xdr:col>2</xdr:col>
      <xdr:colOff>0</xdr:colOff>
      <xdr:row>134</xdr:row>
      <xdr:rowOff>6350</xdr:rowOff>
    </xdr:to>
    <xdr:sp macro="" textlink="">
      <xdr:nvSpPr>
        <xdr:cNvPr id="364" name="TextBox 363"/>
        <xdr:cNvSpPr txBox="1">
          <a:spLocks noChangeArrowheads="1"/>
        </xdr:cNvSpPr>
      </xdr:nvSpPr>
      <xdr:spPr bwMode="auto">
        <a:xfrm>
          <a:off x="2330450" y="970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132</xdr:row>
      <xdr:rowOff>152400</xdr:rowOff>
    </xdr:from>
    <xdr:to>
      <xdr:col>2</xdr:col>
      <xdr:colOff>0</xdr:colOff>
      <xdr:row>134</xdr:row>
      <xdr:rowOff>6350</xdr:rowOff>
    </xdr:to>
    <xdr:sp macro="" textlink="">
      <xdr:nvSpPr>
        <xdr:cNvPr id="365" name="TextBox 364"/>
        <xdr:cNvSpPr txBox="1">
          <a:spLocks noChangeArrowheads="1"/>
        </xdr:cNvSpPr>
      </xdr:nvSpPr>
      <xdr:spPr bwMode="auto">
        <a:xfrm>
          <a:off x="2330450" y="970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133</xdr:row>
      <xdr:rowOff>152400</xdr:rowOff>
    </xdr:from>
    <xdr:to>
      <xdr:col>2</xdr:col>
      <xdr:colOff>0</xdr:colOff>
      <xdr:row>135</xdr:row>
      <xdr:rowOff>6350</xdr:rowOff>
    </xdr:to>
    <xdr:sp macro="" textlink="">
      <xdr:nvSpPr>
        <xdr:cNvPr id="366" name="TextBox 365"/>
        <xdr:cNvSpPr txBox="1">
          <a:spLocks noChangeArrowheads="1"/>
        </xdr:cNvSpPr>
      </xdr:nvSpPr>
      <xdr:spPr bwMode="auto">
        <a:xfrm>
          <a:off x="2330450" y="986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133</xdr:row>
      <xdr:rowOff>152400</xdr:rowOff>
    </xdr:from>
    <xdr:to>
      <xdr:col>2</xdr:col>
      <xdr:colOff>0</xdr:colOff>
      <xdr:row>135</xdr:row>
      <xdr:rowOff>6350</xdr:rowOff>
    </xdr:to>
    <xdr:sp macro="" textlink="">
      <xdr:nvSpPr>
        <xdr:cNvPr id="367" name="TextBox 366"/>
        <xdr:cNvSpPr txBox="1">
          <a:spLocks noChangeArrowheads="1"/>
        </xdr:cNvSpPr>
      </xdr:nvSpPr>
      <xdr:spPr bwMode="auto">
        <a:xfrm>
          <a:off x="2330450" y="986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134</xdr:row>
      <xdr:rowOff>152400</xdr:rowOff>
    </xdr:from>
    <xdr:to>
      <xdr:col>2</xdr:col>
      <xdr:colOff>0</xdr:colOff>
      <xdr:row>136</xdr:row>
      <xdr:rowOff>6350</xdr:rowOff>
    </xdr:to>
    <xdr:sp macro="" textlink="">
      <xdr:nvSpPr>
        <xdr:cNvPr id="368" name="TextBox 367"/>
        <xdr:cNvSpPr txBox="1">
          <a:spLocks noChangeArrowheads="1"/>
        </xdr:cNvSpPr>
      </xdr:nvSpPr>
      <xdr:spPr bwMode="auto">
        <a:xfrm>
          <a:off x="2330450" y="1002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134</xdr:row>
      <xdr:rowOff>152400</xdr:rowOff>
    </xdr:from>
    <xdr:to>
      <xdr:col>2</xdr:col>
      <xdr:colOff>0</xdr:colOff>
      <xdr:row>136</xdr:row>
      <xdr:rowOff>6350</xdr:rowOff>
    </xdr:to>
    <xdr:sp macro="" textlink="">
      <xdr:nvSpPr>
        <xdr:cNvPr id="369" name="TextBox 368"/>
        <xdr:cNvSpPr txBox="1">
          <a:spLocks noChangeArrowheads="1"/>
        </xdr:cNvSpPr>
      </xdr:nvSpPr>
      <xdr:spPr bwMode="auto">
        <a:xfrm>
          <a:off x="2330450" y="1002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135</xdr:row>
      <xdr:rowOff>152400</xdr:rowOff>
    </xdr:from>
    <xdr:to>
      <xdr:col>2</xdr:col>
      <xdr:colOff>0</xdr:colOff>
      <xdr:row>137</xdr:row>
      <xdr:rowOff>6350</xdr:rowOff>
    </xdr:to>
    <xdr:sp macro="" textlink="">
      <xdr:nvSpPr>
        <xdr:cNvPr id="370" name="TextBox 369"/>
        <xdr:cNvSpPr txBox="1">
          <a:spLocks noChangeArrowheads="1"/>
        </xdr:cNvSpPr>
      </xdr:nvSpPr>
      <xdr:spPr bwMode="auto">
        <a:xfrm>
          <a:off x="2330450" y="1018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135</xdr:row>
      <xdr:rowOff>152400</xdr:rowOff>
    </xdr:from>
    <xdr:to>
      <xdr:col>2</xdr:col>
      <xdr:colOff>0</xdr:colOff>
      <xdr:row>137</xdr:row>
      <xdr:rowOff>6350</xdr:rowOff>
    </xdr:to>
    <xdr:sp macro="" textlink="">
      <xdr:nvSpPr>
        <xdr:cNvPr id="371" name="TextBox 370"/>
        <xdr:cNvSpPr txBox="1">
          <a:spLocks noChangeArrowheads="1"/>
        </xdr:cNvSpPr>
      </xdr:nvSpPr>
      <xdr:spPr bwMode="auto">
        <a:xfrm>
          <a:off x="2330450" y="1018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136</xdr:row>
      <xdr:rowOff>152400</xdr:rowOff>
    </xdr:from>
    <xdr:to>
      <xdr:col>2</xdr:col>
      <xdr:colOff>0</xdr:colOff>
      <xdr:row>138</xdr:row>
      <xdr:rowOff>6350</xdr:rowOff>
    </xdr:to>
    <xdr:sp macro="" textlink="">
      <xdr:nvSpPr>
        <xdr:cNvPr id="372" name="TextBox 371"/>
        <xdr:cNvSpPr txBox="1">
          <a:spLocks noChangeArrowheads="1"/>
        </xdr:cNvSpPr>
      </xdr:nvSpPr>
      <xdr:spPr bwMode="auto">
        <a:xfrm>
          <a:off x="2330450" y="1034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136</xdr:row>
      <xdr:rowOff>152400</xdr:rowOff>
    </xdr:from>
    <xdr:to>
      <xdr:col>2</xdr:col>
      <xdr:colOff>0</xdr:colOff>
      <xdr:row>138</xdr:row>
      <xdr:rowOff>6350</xdr:rowOff>
    </xdr:to>
    <xdr:sp macro="" textlink="">
      <xdr:nvSpPr>
        <xdr:cNvPr id="373" name="TextBox 372"/>
        <xdr:cNvSpPr txBox="1">
          <a:spLocks noChangeArrowheads="1"/>
        </xdr:cNvSpPr>
      </xdr:nvSpPr>
      <xdr:spPr bwMode="auto">
        <a:xfrm>
          <a:off x="2330450" y="1034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137</xdr:row>
      <xdr:rowOff>152400</xdr:rowOff>
    </xdr:from>
    <xdr:to>
      <xdr:col>2</xdr:col>
      <xdr:colOff>0</xdr:colOff>
      <xdr:row>139</xdr:row>
      <xdr:rowOff>6350</xdr:rowOff>
    </xdr:to>
    <xdr:sp macro="" textlink="">
      <xdr:nvSpPr>
        <xdr:cNvPr id="374" name="TextBox 373"/>
        <xdr:cNvSpPr txBox="1">
          <a:spLocks noChangeArrowheads="1"/>
        </xdr:cNvSpPr>
      </xdr:nvSpPr>
      <xdr:spPr bwMode="auto">
        <a:xfrm>
          <a:off x="2330450" y="1050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137</xdr:row>
      <xdr:rowOff>152400</xdr:rowOff>
    </xdr:from>
    <xdr:to>
      <xdr:col>2</xdr:col>
      <xdr:colOff>0</xdr:colOff>
      <xdr:row>139</xdr:row>
      <xdr:rowOff>6350</xdr:rowOff>
    </xdr:to>
    <xdr:sp macro="" textlink="">
      <xdr:nvSpPr>
        <xdr:cNvPr id="375" name="TextBox 374"/>
        <xdr:cNvSpPr txBox="1">
          <a:spLocks noChangeArrowheads="1"/>
        </xdr:cNvSpPr>
      </xdr:nvSpPr>
      <xdr:spPr bwMode="auto">
        <a:xfrm>
          <a:off x="2330450" y="1050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138</xdr:row>
      <xdr:rowOff>152400</xdr:rowOff>
    </xdr:from>
    <xdr:to>
      <xdr:col>2</xdr:col>
      <xdr:colOff>0</xdr:colOff>
      <xdr:row>140</xdr:row>
      <xdr:rowOff>12700</xdr:rowOff>
    </xdr:to>
    <xdr:sp macro="" textlink="">
      <xdr:nvSpPr>
        <xdr:cNvPr id="376" name="TextBox 375"/>
        <xdr:cNvSpPr txBox="1">
          <a:spLocks noChangeArrowheads="1"/>
        </xdr:cNvSpPr>
      </xdr:nvSpPr>
      <xdr:spPr bwMode="auto">
        <a:xfrm>
          <a:off x="2330450" y="106616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138</xdr:row>
      <xdr:rowOff>152400</xdr:rowOff>
    </xdr:from>
    <xdr:to>
      <xdr:col>2</xdr:col>
      <xdr:colOff>0</xdr:colOff>
      <xdr:row>140</xdr:row>
      <xdr:rowOff>12700</xdr:rowOff>
    </xdr:to>
    <xdr:sp macro="" textlink="">
      <xdr:nvSpPr>
        <xdr:cNvPr id="377" name="TextBox 376"/>
        <xdr:cNvSpPr txBox="1">
          <a:spLocks noChangeArrowheads="1"/>
        </xdr:cNvSpPr>
      </xdr:nvSpPr>
      <xdr:spPr bwMode="auto">
        <a:xfrm>
          <a:off x="2330450" y="106616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139</xdr:row>
      <xdr:rowOff>152400</xdr:rowOff>
    </xdr:from>
    <xdr:to>
      <xdr:col>2</xdr:col>
      <xdr:colOff>0</xdr:colOff>
      <xdr:row>141</xdr:row>
      <xdr:rowOff>6350</xdr:rowOff>
    </xdr:to>
    <xdr:sp macro="" textlink="">
      <xdr:nvSpPr>
        <xdr:cNvPr id="378" name="TextBox 377"/>
        <xdr:cNvSpPr txBox="1">
          <a:spLocks noChangeArrowheads="1"/>
        </xdr:cNvSpPr>
      </xdr:nvSpPr>
      <xdr:spPr bwMode="auto">
        <a:xfrm>
          <a:off x="2330450" y="10820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83</xdr:row>
      <xdr:rowOff>152400</xdr:rowOff>
    </xdr:from>
    <xdr:to>
      <xdr:col>2</xdr:col>
      <xdr:colOff>0</xdr:colOff>
      <xdr:row>85</xdr:row>
      <xdr:rowOff>0</xdr:rowOff>
    </xdr:to>
    <xdr:sp macro="" textlink="">
      <xdr:nvSpPr>
        <xdr:cNvPr id="379" name="TextBox 378"/>
        <xdr:cNvSpPr txBox="1">
          <a:spLocks noChangeArrowheads="1"/>
        </xdr:cNvSpPr>
      </xdr:nvSpPr>
      <xdr:spPr bwMode="auto">
        <a:xfrm>
          <a:off x="2330450" y="1854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84</xdr:row>
      <xdr:rowOff>146050</xdr:rowOff>
    </xdr:from>
    <xdr:to>
      <xdr:col>2</xdr:col>
      <xdr:colOff>0</xdr:colOff>
      <xdr:row>85</xdr:row>
      <xdr:rowOff>158750</xdr:rowOff>
    </xdr:to>
    <xdr:sp macro="" textlink="">
      <xdr:nvSpPr>
        <xdr:cNvPr id="380" name="TextBox 379"/>
        <xdr:cNvSpPr txBox="1">
          <a:spLocks noChangeArrowheads="1"/>
        </xdr:cNvSpPr>
      </xdr:nvSpPr>
      <xdr:spPr bwMode="auto">
        <a:xfrm>
          <a:off x="2330450" y="20129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84</xdr:row>
      <xdr:rowOff>146050</xdr:rowOff>
    </xdr:from>
    <xdr:to>
      <xdr:col>2</xdr:col>
      <xdr:colOff>0</xdr:colOff>
      <xdr:row>85</xdr:row>
      <xdr:rowOff>158750</xdr:rowOff>
    </xdr:to>
    <xdr:sp macro="" textlink="">
      <xdr:nvSpPr>
        <xdr:cNvPr id="381" name="TextBox 380"/>
        <xdr:cNvSpPr txBox="1">
          <a:spLocks noChangeArrowheads="1"/>
        </xdr:cNvSpPr>
      </xdr:nvSpPr>
      <xdr:spPr bwMode="auto">
        <a:xfrm>
          <a:off x="2330450" y="20129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85</xdr:row>
      <xdr:rowOff>146050</xdr:rowOff>
    </xdr:from>
    <xdr:to>
      <xdr:col>2</xdr:col>
      <xdr:colOff>0</xdr:colOff>
      <xdr:row>87</xdr:row>
      <xdr:rowOff>0</xdr:rowOff>
    </xdr:to>
    <xdr:sp macro="" textlink="">
      <xdr:nvSpPr>
        <xdr:cNvPr id="382" name="TextBox 381"/>
        <xdr:cNvSpPr txBox="1">
          <a:spLocks noChangeArrowheads="1"/>
        </xdr:cNvSpPr>
      </xdr:nvSpPr>
      <xdr:spPr bwMode="auto">
        <a:xfrm>
          <a:off x="2330450" y="21780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85</xdr:row>
      <xdr:rowOff>146050</xdr:rowOff>
    </xdr:from>
    <xdr:to>
      <xdr:col>2</xdr:col>
      <xdr:colOff>0</xdr:colOff>
      <xdr:row>87</xdr:row>
      <xdr:rowOff>0</xdr:rowOff>
    </xdr:to>
    <xdr:sp macro="" textlink="">
      <xdr:nvSpPr>
        <xdr:cNvPr id="383" name="TextBox 382"/>
        <xdr:cNvSpPr txBox="1">
          <a:spLocks noChangeArrowheads="1"/>
        </xdr:cNvSpPr>
      </xdr:nvSpPr>
      <xdr:spPr bwMode="auto">
        <a:xfrm>
          <a:off x="2330450" y="21780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85</xdr:row>
      <xdr:rowOff>146050</xdr:rowOff>
    </xdr:from>
    <xdr:to>
      <xdr:col>2</xdr:col>
      <xdr:colOff>0</xdr:colOff>
      <xdr:row>87</xdr:row>
      <xdr:rowOff>0</xdr:rowOff>
    </xdr:to>
    <xdr:sp macro="" textlink="">
      <xdr:nvSpPr>
        <xdr:cNvPr id="384" name="TextBox 383"/>
        <xdr:cNvSpPr txBox="1">
          <a:spLocks noChangeArrowheads="1"/>
        </xdr:cNvSpPr>
      </xdr:nvSpPr>
      <xdr:spPr bwMode="auto">
        <a:xfrm>
          <a:off x="2330450" y="21780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86</xdr:row>
      <xdr:rowOff>152400</xdr:rowOff>
    </xdr:from>
    <xdr:to>
      <xdr:col>2</xdr:col>
      <xdr:colOff>0</xdr:colOff>
      <xdr:row>88</xdr:row>
      <xdr:rowOff>0</xdr:rowOff>
    </xdr:to>
    <xdr:sp macro="" textlink="">
      <xdr:nvSpPr>
        <xdr:cNvPr id="385" name="TextBox 384"/>
        <xdr:cNvSpPr txBox="1">
          <a:spLocks noChangeArrowheads="1"/>
        </xdr:cNvSpPr>
      </xdr:nvSpPr>
      <xdr:spPr bwMode="auto">
        <a:xfrm>
          <a:off x="2330450" y="23495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86</xdr:row>
      <xdr:rowOff>152400</xdr:rowOff>
    </xdr:from>
    <xdr:to>
      <xdr:col>2</xdr:col>
      <xdr:colOff>0</xdr:colOff>
      <xdr:row>88</xdr:row>
      <xdr:rowOff>0</xdr:rowOff>
    </xdr:to>
    <xdr:sp macro="" textlink="">
      <xdr:nvSpPr>
        <xdr:cNvPr id="386" name="TextBox 385"/>
        <xdr:cNvSpPr txBox="1">
          <a:spLocks noChangeArrowheads="1"/>
        </xdr:cNvSpPr>
      </xdr:nvSpPr>
      <xdr:spPr bwMode="auto">
        <a:xfrm>
          <a:off x="2330450" y="23495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86</xdr:row>
      <xdr:rowOff>152400</xdr:rowOff>
    </xdr:from>
    <xdr:to>
      <xdr:col>2</xdr:col>
      <xdr:colOff>0</xdr:colOff>
      <xdr:row>88</xdr:row>
      <xdr:rowOff>0</xdr:rowOff>
    </xdr:to>
    <xdr:sp macro="" textlink="">
      <xdr:nvSpPr>
        <xdr:cNvPr id="387" name="TextBox 386"/>
        <xdr:cNvSpPr txBox="1">
          <a:spLocks noChangeArrowheads="1"/>
        </xdr:cNvSpPr>
      </xdr:nvSpPr>
      <xdr:spPr bwMode="auto">
        <a:xfrm>
          <a:off x="2330450" y="23495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388" name="TextBox 387"/>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389" name="TextBox 388"/>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390" name="TextBox 389"/>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90</xdr:row>
      <xdr:rowOff>146050</xdr:rowOff>
    </xdr:from>
    <xdr:to>
      <xdr:col>2</xdr:col>
      <xdr:colOff>0</xdr:colOff>
      <xdr:row>91</xdr:row>
      <xdr:rowOff>158750</xdr:rowOff>
    </xdr:to>
    <xdr:sp macro="" textlink="">
      <xdr:nvSpPr>
        <xdr:cNvPr id="391" name="TextBox 390"/>
        <xdr:cNvSpPr txBox="1">
          <a:spLocks noChangeArrowheads="1"/>
        </xdr:cNvSpPr>
      </xdr:nvSpPr>
      <xdr:spPr bwMode="auto">
        <a:xfrm>
          <a:off x="2330450" y="2997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90</xdr:row>
      <xdr:rowOff>146050</xdr:rowOff>
    </xdr:from>
    <xdr:to>
      <xdr:col>2</xdr:col>
      <xdr:colOff>0</xdr:colOff>
      <xdr:row>91</xdr:row>
      <xdr:rowOff>158750</xdr:rowOff>
    </xdr:to>
    <xdr:sp macro="" textlink="">
      <xdr:nvSpPr>
        <xdr:cNvPr id="392" name="TextBox 391"/>
        <xdr:cNvSpPr txBox="1">
          <a:spLocks noChangeArrowheads="1"/>
        </xdr:cNvSpPr>
      </xdr:nvSpPr>
      <xdr:spPr bwMode="auto">
        <a:xfrm>
          <a:off x="2330450" y="2997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90</xdr:row>
      <xdr:rowOff>146050</xdr:rowOff>
    </xdr:from>
    <xdr:to>
      <xdr:col>2</xdr:col>
      <xdr:colOff>0</xdr:colOff>
      <xdr:row>91</xdr:row>
      <xdr:rowOff>158750</xdr:rowOff>
    </xdr:to>
    <xdr:sp macro="" textlink="">
      <xdr:nvSpPr>
        <xdr:cNvPr id="393" name="TextBox 392"/>
        <xdr:cNvSpPr txBox="1">
          <a:spLocks noChangeArrowheads="1"/>
        </xdr:cNvSpPr>
      </xdr:nvSpPr>
      <xdr:spPr bwMode="auto">
        <a:xfrm>
          <a:off x="2330450" y="2997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394" name="TextBox 393"/>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395" name="TextBox 394"/>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396" name="TextBox 395"/>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397" name="TextBox 396"/>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398" name="TextBox 397"/>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399" name="TextBox 398"/>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400" name="TextBox 399"/>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401" name="TextBox 400"/>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402" name="TextBox 401"/>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92</xdr:row>
      <xdr:rowOff>146050</xdr:rowOff>
    </xdr:from>
    <xdr:to>
      <xdr:col>2</xdr:col>
      <xdr:colOff>0</xdr:colOff>
      <xdr:row>93</xdr:row>
      <xdr:rowOff>158750</xdr:rowOff>
    </xdr:to>
    <xdr:sp macro="" textlink="">
      <xdr:nvSpPr>
        <xdr:cNvPr id="403" name="TextBox 402"/>
        <xdr:cNvSpPr txBox="1">
          <a:spLocks noChangeArrowheads="1"/>
        </xdr:cNvSpPr>
      </xdr:nvSpPr>
      <xdr:spPr bwMode="auto">
        <a:xfrm>
          <a:off x="23304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92</xdr:row>
      <xdr:rowOff>146050</xdr:rowOff>
    </xdr:from>
    <xdr:to>
      <xdr:col>2</xdr:col>
      <xdr:colOff>0</xdr:colOff>
      <xdr:row>93</xdr:row>
      <xdr:rowOff>158750</xdr:rowOff>
    </xdr:to>
    <xdr:sp macro="" textlink="">
      <xdr:nvSpPr>
        <xdr:cNvPr id="404" name="TextBox 403"/>
        <xdr:cNvSpPr txBox="1">
          <a:spLocks noChangeArrowheads="1"/>
        </xdr:cNvSpPr>
      </xdr:nvSpPr>
      <xdr:spPr bwMode="auto">
        <a:xfrm>
          <a:off x="23304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92</xdr:row>
      <xdr:rowOff>146050</xdr:rowOff>
    </xdr:from>
    <xdr:to>
      <xdr:col>2</xdr:col>
      <xdr:colOff>0</xdr:colOff>
      <xdr:row>93</xdr:row>
      <xdr:rowOff>158750</xdr:rowOff>
    </xdr:to>
    <xdr:sp macro="" textlink="">
      <xdr:nvSpPr>
        <xdr:cNvPr id="405" name="TextBox 404"/>
        <xdr:cNvSpPr txBox="1">
          <a:spLocks noChangeArrowheads="1"/>
        </xdr:cNvSpPr>
      </xdr:nvSpPr>
      <xdr:spPr bwMode="auto">
        <a:xfrm>
          <a:off x="23304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93</xdr:row>
      <xdr:rowOff>146050</xdr:rowOff>
    </xdr:from>
    <xdr:to>
      <xdr:col>2</xdr:col>
      <xdr:colOff>0</xdr:colOff>
      <xdr:row>95</xdr:row>
      <xdr:rowOff>0</xdr:rowOff>
    </xdr:to>
    <xdr:sp macro="" textlink="">
      <xdr:nvSpPr>
        <xdr:cNvPr id="406" name="TextBox 405"/>
        <xdr:cNvSpPr txBox="1">
          <a:spLocks noChangeArrowheads="1"/>
        </xdr:cNvSpPr>
      </xdr:nvSpPr>
      <xdr:spPr bwMode="auto">
        <a:xfrm>
          <a:off x="23304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93</xdr:row>
      <xdr:rowOff>146050</xdr:rowOff>
    </xdr:from>
    <xdr:to>
      <xdr:col>2</xdr:col>
      <xdr:colOff>0</xdr:colOff>
      <xdr:row>95</xdr:row>
      <xdr:rowOff>0</xdr:rowOff>
    </xdr:to>
    <xdr:sp macro="" textlink="">
      <xdr:nvSpPr>
        <xdr:cNvPr id="407" name="TextBox 406"/>
        <xdr:cNvSpPr txBox="1">
          <a:spLocks noChangeArrowheads="1"/>
        </xdr:cNvSpPr>
      </xdr:nvSpPr>
      <xdr:spPr bwMode="auto">
        <a:xfrm>
          <a:off x="23304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93</xdr:row>
      <xdr:rowOff>146050</xdr:rowOff>
    </xdr:from>
    <xdr:to>
      <xdr:col>2</xdr:col>
      <xdr:colOff>0</xdr:colOff>
      <xdr:row>95</xdr:row>
      <xdr:rowOff>0</xdr:rowOff>
    </xdr:to>
    <xdr:sp macro="" textlink="">
      <xdr:nvSpPr>
        <xdr:cNvPr id="408" name="TextBox 407"/>
        <xdr:cNvSpPr txBox="1">
          <a:spLocks noChangeArrowheads="1"/>
        </xdr:cNvSpPr>
      </xdr:nvSpPr>
      <xdr:spPr bwMode="auto">
        <a:xfrm>
          <a:off x="2330450" y="34925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94</xdr:row>
      <xdr:rowOff>152400</xdr:rowOff>
    </xdr:from>
    <xdr:to>
      <xdr:col>2</xdr:col>
      <xdr:colOff>0</xdr:colOff>
      <xdr:row>96</xdr:row>
      <xdr:rowOff>6350</xdr:rowOff>
    </xdr:to>
    <xdr:sp macro="" textlink="">
      <xdr:nvSpPr>
        <xdr:cNvPr id="409" name="TextBox 408"/>
        <xdr:cNvSpPr txBox="1">
          <a:spLocks noChangeArrowheads="1"/>
        </xdr:cNvSpPr>
      </xdr:nvSpPr>
      <xdr:spPr bwMode="auto">
        <a:xfrm>
          <a:off x="23304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94</xdr:row>
      <xdr:rowOff>152400</xdr:rowOff>
    </xdr:from>
    <xdr:to>
      <xdr:col>2</xdr:col>
      <xdr:colOff>0</xdr:colOff>
      <xdr:row>96</xdr:row>
      <xdr:rowOff>6350</xdr:rowOff>
    </xdr:to>
    <xdr:sp macro="" textlink="">
      <xdr:nvSpPr>
        <xdr:cNvPr id="410" name="TextBox 409"/>
        <xdr:cNvSpPr txBox="1">
          <a:spLocks noChangeArrowheads="1"/>
        </xdr:cNvSpPr>
      </xdr:nvSpPr>
      <xdr:spPr bwMode="auto">
        <a:xfrm>
          <a:off x="23304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94</xdr:row>
      <xdr:rowOff>152400</xdr:rowOff>
    </xdr:from>
    <xdr:to>
      <xdr:col>2</xdr:col>
      <xdr:colOff>0</xdr:colOff>
      <xdr:row>96</xdr:row>
      <xdr:rowOff>6350</xdr:rowOff>
    </xdr:to>
    <xdr:sp macro="" textlink="">
      <xdr:nvSpPr>
        <xdr:cNvPr id="411" name="TextBox 410"/>
        <xdr:cNvSpPr txBox="1">
          <a:spLocks noChangeArrowheads="1"/>
        </xdr:cNvSpPr>
      </xdr:nvSpPr>
      <xdr:spPr bwMode="auto">
        <a:xfrm>
          <a:off x="2330450" y="36639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95</xdr:row>
      <xdr:rowOff>152400</xdr:rowOff>
    </xdr:from>
    <xdr:to>
      <xdr:col>2</xdr:col>
      <xdr:colOff>0</xdr:colOff>
      <xdr:row>97</xdr:row>
      <xdr:rowOff>0</xdr:rowOff>
    </xdr:to>
    <xdr:sp macro="" textlink="">
      <xdr:nvSpPr>
        <xdr:cNvPr id="412" name="TextBox 411"/>
        <xdr:cNvSpPr txBox="1">
          <a:spLocks noChangeArrowheads="1"/>
        </xdr:cNvSpPr>
      </xdr:nvSpPr>
      <xdr:spPr bwMode="auto">
        <a:xfrm>
          <a:off x="23304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95</xdr:row>
      <xdr:rowOff>152400</xdr:rowOff>
    </xdr:from>
    <xdr:to>
      <xdr:col>2</xdr:col>
      <xdr:colOff>0</xdr:colOff>
      <xdr:row>97</xdr:row>
      <xdr:rowOff>0</xdr:rowOff>
    </xdr:to>
    <xdr:sp macro="" textlink="">
      <xdr:nvSpPr>
        <xdr:cNvPr id="413" name="TextBox 412"/>
        <xdr:cNvSpPr txBox="1">
          <a:spLocks noChangeArrowheads="1"/>
        </xdr:cNvSpPr>
      </xdr:nvSpPr>
      <xdr:spPr bwMode="auto">
        <a:xfrm>
          <a:off x="23304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95</xdr:row>
      <xdr:rowOff>152400</xdr:rowOff>
    </xdr:from>
    <xdr:to>
      <xdr:col>2</xdr:col>
      <xdr:colOff>0</xdr:colOff>
      <xdr:row>97</xdr:row>
      <xdr:rowOff>0</xdr:rowOff>
    </xdr:to>
    <xdr:sp macro="" textlink="">
      <xdr:nvSpPr>
        <xdr:cNvPr id="414" name="TextBox 413"/>
        <xdr:cNvSpPr txBox="1">
          <a:spLocks noChangeArrowheads="1"/>
        </xdr:cNvSpPr>
      </xdr:nvSpPr>
      <xdr:spPr bwMode="auto">
        <a:xfrm>
          <a:off x="2330450" y="38227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415" name="TextBox 414"/>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416" name="TextBox 415"/>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417" name="TextBox 416"/>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418" name="TextBox 417"/>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419" name="TextBox 418"/>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420" name="TextBox 419"/>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421" name="TextBox 420"/>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422" name="TextBox 421"/>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423" name="TextBox 422"/>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424" name="TextBox 423"/>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425" name="TextBox 424"/>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426" name="TextBox 425"/>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98</xdr:row>
      <xdr:rowOff>152400</xdr:rowOff>
    </xdr:from>
    <xdr:to>
      <xdr:col>2</xdr:col>
      <xdr:colOff>0</xdr:colOff>
      <xdr:row>100</xdr:row>
      <xdr:rowOff>6350</xdr:rowOff>
    </xdr:to>
    <xdr:sp macro="" textlink="">
      <xdr:nvSpPr>
        <xdr:cNvPr id="427" name="TextBox 426"/>
        <xdr:cNvSpPr txBox="1">
          <a:spLocks noChangeArrowheads="1"/>
        </xdr:cNvSpPr>
      </xdr:nvSpPr>
      <xdr:spPr bwMode="auto">
        <a:xfrm>
          <a:off x="2330450" y="4305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98</xdr:row>
      <xdr:rowOff>152400</xdr:rowOff>
    </xdr:from>
    <xdr:to>
      <xdr:col>2</xdr:col>
      <xdr:colOff>0</xdr:colOff>
      <xdr:row>100</xdr:row>
      <xdr:rowOff>6350</xdr:rowOff>
    </xdr:to>
    <xdr:sp macro="" textlink="">
      <xdr:nvSpPr>
        <xdr:cNvPr id="428" name="TextBox 427"/>
        <xdr:cNvSpPr txBox="1">
          <a:spLocks noChangeArrowheads="1"/>
        </xdr:cNvSpPr>
      </xdr:nvSpPr>
      <xdr:spPr bwMode="auto">
        <a:xfrm>
          <a:off x="2330450" y="4305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98</xdr:row>
      <xdr:rowOff>152400</xdr:rowOff>
    </xdr:from>
    <xdr:to>
      <xdr:col>2</xdr:col>
      <xdr:colOff>0</xdr:colOff>
      <xdr:row>100</xdr:row>
      <xdr:rowOff>6350</xdr:rowOff>
    </xdr:to>
    <xdr:sp macro="" textlink="">
      <xdr:nvSpPr>
        <xdr:cNvPr id="429" name="TextBox 428"/>
        <xdr:cNvSpPr txBox="1">
          <a:spLocks noChangeArrowheads="1"/>
        </xdr:cNvSpPr>
      </xdr:nvSpPr>
      <xdr:spPr bwMode="auto">
        <a:xfrm>
          <a:off x="2330450" y="4305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103</xdr:row>
      <xdr:rowOff>152400</xdr:rowOff>
    </xdr:from>
    <xdr:to>
      <xdr:col>2</xdr:col>
      <xdr:colOff>0</xdr:colOff>
      <xdr:row>105</xdr:row>
      <xdr:rowOff>6350</xdr:rowOff>
    </xdr:to>
    <xdr:sp macro="" textlink="">
      <xdr:nvSpPr>
        <xdr:cNvPr id="430" name="TextBox 429"/>
        <xdr:cNvSpPr txBox="1">
          <a:spLocks noChangeArrowheads="1"/>
        </xdr:cNvSpPr>
      </xdr:nvSpPr>
      <xdr:spPr bwMode="auto">
        <a:xfrm>
          <a:off x="2330450" y="510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103</xdr:row>
      <xdr:rowOff>152400</xdr:rowOff>
    </xdr:from>
    <xdr:to>
      <xdr:col>2</xdr:col>
      <xdr:colOff>0</xdr:colOff>
      <xdr:row>105</xdr:row>
      <xdr:rowOff>6350</xdr:rowOff>
    </xdr:to>
    <xdr:sp macro="" textlink="">
      <xdr:nvSpPr>
        <xdr:cNvPr id="431" name="TextBox 430"/>
        <xdr:cNvSpPr txBox="1">
          <a:spLocks noChangeArrowheads="1"/>
        </xdr:cNvSpPr>
      </xdr:nvSpPr>
      <xdr:spPr bwMode="auto">
        <a:xfrm>
          <a:off x="2330450" y="510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103</xdr:row>
      <xdr:rowOff>152400</xdr:rowOff>
    </xdr:from>
    <xdr:to>
      <xdr:col>2</xdr:col>
      <xdr:colOff>0</xdr:colOff>
      <xdr:row>105</xdr:row>
      <xdr:rowOff>6350</xdr:rowOff>
    </xdr:to>
    <xdr:sp macro="" textlink="">
      <xdr:nvSpPr>
        <xdr:cNvPr id="432" name="TextBox 431"/>
        <xdr:cNvSpPr txBox="1">
          <a:spLocks noChangeArrowheads="1"/>
        </xdr:cNvSpPr>
      </xdr:nvSpPr>
      <xdr:spPr bwMode="auto">
        <a:xfrm>
          <a:off x="2330450" y="510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104</xdr:row>
      <xdr:rowOff>152400</xdr:rowOff>
    </xdr:from>
    <xdr:to>
      <xdr:col>2</xdr:col>
      <xdr:colOff>0</xdr:colOff>
      <xdr:row>106</xdr:row>
      <xdr:rowOff>6350</xdr:rowOff>
    </xdr:to>
    <xdr:sp macro="" textlink="">
      <xdr:nvSpPr>
        <xdr:cNvPr id="433" name="TextBox 432"/>
        <xdr:cNvSpPr txBox="1">
          <a:spLocks noChangeArrowheads="1"/>
        </xdr:cNvSpPr>
      </xdr:nvSpPr>
      <xdr:spPr bwMode="auto">
        <a:xfrm>
          <a:off x="2330450" y="526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104</xdr:row>
      <xdr:rowOff>152400</xdr:rowOff>
    </xdr:from>
    <xdr:to>
      <xdr:col>2</xdr:col>
      <xdr:colOff>0</xdr:colOff>
      <xdr:row>106</xdr:row>
      <xdr:rowOff>6350</xdr:rowOff>
    </xdr:to>
    <xdr:sp macro="" textlink="">
      <xdr:nvSpPr>
        <xdr:cNvPr id="434" name="TextBox 433"/>
        <xdr:cNvSpPr txBox="1">
          <a:spLocks noChangeArrowheads="1"/>
        </xdr:cNvSpPr>
      </xdr:nvSpPr>
      <xdr:spPr bwMode="auto">
        <a:xfrm>
          <a:off x="2330450" y="526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104</xdr:row>
      <xdr:rowOff>152400</xdr:rowOff>
    </xdr:from>
    <xdr:to>
      <xdr:col>2</xdr:col>
      <xdr:colOff>0</xdr:colOff>
      <xdr:row>106</xdr:row>
      <xdr:rowOff>6350</xdr:rowOff>
    </xdr:to>
    <xdr:sp macro="" textlink="">
      <xdr:nvSpPr>
        <xdr:cNvPr id="435" name="TextBox 434"/>
        <xdr:cNvSpPr txBox="1">
          <a:spLocks noChangeArrowheads="1"/>
        </xdr:cNvSpPr>
      </xdr:nvSpPr>
      <xdr:spPr bwMode="auto">
        <a:xfrm>
          <a:off x="2330450" y="526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105</xdr:row>
      <xdr:rowOff>152400</xdr:rowOff>
    </xdr:from>
    <xdr:to>
      <xdr:col>2</xdr:col>
      <xdr:colOff>0</xdr:colOff>
      <xdr:row>107</xdr:row>
      <xdr:rowOff>6350</xdr:rowOff>
    </xdr:to>
    <xdr:sp macro="" textlink="">
      <xdr:nvSpPr>
        <xdr:cNvPr id="436" name="TextBox 435"/>
        <xdr:cNvSpPr txBox="1">
          <a:spLocks noChangeArrowheads="1"/>
        </xdr:cNvSpPr>
      </xdr:nvSpPr>
      <xdr:spPr bwMode="auto">
        <a:xfrm>
          <a:off x="2330450" y="542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105</xdr:row>
      <xdr:rowOff>152400</xdr:rowOff>
    </xdr:from>
    <xdr:to>
      <xdr:col>2</xdr:col>
      <xdr:colOff>0</xdr:colOff>
      <xdr:row>107</xdr:row>
      <xdr:rowOff>6350</xdr:rowOff>
    </xdr:to>
    <xdr:sp macro="" textlink="">
      <xdr:nvSpPr>
        <xdr:cNvPr id="437" name="TextBox 436"/>
        <xdr:cNvSpPr txBox="1">
          <a:spLocks noChangeArrowheads="1"/>
        </xdr:cNvSpPr>
      </xdr:nvSpPr>
      <xdr:spPr bwMode="auto">
        <a:xfrm>
          <a:off x="2330450" y="542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105</xdr:row>
      <xdr:rowOff>152400</xdr:rowOff>
    </xdr:from>
    <xdr:to>
      <xdr:col>2</xdr:col>
      <xdr:colOff>0</xdr:colOff>
      <xdr:row>107</xdr:row>
      <xdr:rowOff>6350</xdr:rowOff>
    </xdr:to>
    <xdr:sp macro="" textlink="">
      <xdr:nvSpPr>
        <xdr:cNvPr id="438" name="TextBox 437"/>
        <xdr:cNvSpPr txBox="1">
          <a:spLocks noChangeArrowheads="1"/>
        </xdr:cNvSpPr>
      </xdr:nvSpPr>
      <xdr:spPr bwMode="auto">
        <a:xfrm>
          <a:off x="2330450" y="542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106</xdr:row>
      <xdr:rowOff>152400</xdr:rowOff>
    </xdr:from>
    <xdr:to>
      <xdr:col>2</xdr:col>
      <xdr:colOff>0</xdr:colOff>
      <xdr:row>108</xdr:row>
      <xdr:rowOff>6350</xdr:rowOff>
    </xdr:to>
    <xdr:sp macro="" textlink="">
      <xdr:nvSpPr>
        <xdr:cNvPr id="439" name="TextBox 438"/>
        <xdr:cNvSpPr txBox="1">
          <a:spLocks noChangeArrowheads="1"/>
        </xdr:cNvSpPr>
      </xdr:nvSpPr>
      <xdr:spPr bwMode="auto">
        <a:xfrm>
          <a:off x="2330450" y="558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106</xdr:row>
      <xdr:rowOff>152400</xdr:rowOff>
    </xdr:from>
    <xdr:to>
      <xdr:col>2</xdr:col>
      <xdr:colOff>0</xdr:colOff>
      <xdr:row>108</xdr:row>
      <xdr:rowOff>6350</xdr:rowOff>
    </xdr:to>
    <xdr:sp macro="" textlink="">
      <xdr:nvSpPr>
        <xdr:cNvPr id="440" name="TextBox 439"/>
        <xdr:cNvSpPr txBox="1">
          <a:spLocks noChangeArrowheads="1"/>
        </xdr:cNvSpPr>
      </xdr:nvSpPr>
      <xdr:spPr bwMode="auto">
        <a:xfrm>
          <a:off x="2330450" y="558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106</xdr:row>
      <xdr:rowOff>152400</xdr:rowOff>
    </xdr:from>
    <xdr:to>
      <xdr:col>2</xdr:col>
      <xdr:colOff>0</xdr:colOff>
      <xdr:row>108</xdr:row>
      <xdr:rowOff>6350</xdr:rowOff>
    </xdr:to>
    <xdr:sp macro="" textlink="">
      <xdr:nvSpPr>
        <xdr:cNvPr id="441" name="TextBox 440"/>
        <xdr:cNvSpPr txBox="1">
          <a:spLocks noChangeArrowheads="1"/>
        </xdr:cNvSpPr>
      </xdr:nvSpPr>
      <xdr:spPr bwMode="auto">
        <a:xfrm>
          <a:off x="2330450" y="558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107</xdr:row>
      <xdr:rowOff>152400</xdr:rowOff>
    </xdr:from>
    <xdr:to>
      <xdr:col>2</xdr:col>
      <xdr:colOff>0</xdr:colOff>
      <xdr:row>109</xdr:row>
      <xdr:rowOff>6350</xdr:rowOff>
    </xdr:to>
    <xdr:sp macro="" textlink="">
      <xdr:nvSpPr>
        <xdr:cNvPr id="442" name="TextBox 441"/>
        <xdr:cNvSpPr txBox="1">
          <a:spLocks noChangeArrowheads="1"/>
        </xdr:cNvSpPr>
      </xdr:nvSpPr>
      <xdr:spPr bwMode="auto">
        <a:xfrm>
          <a:off x="23304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107</xdr:row>
      <xdr:rowOff>152400</xdr:rowOff>
    </xdr:from>
    <xdr:to>
      <xdr:col>2</xdr:col>
      <xdr:colOff>0</xdr:colOff>
      <xdr:row>109</xdr:row>
      <xdr:rowOff>6350</xdr:rowOff>
    </xdr:to>
    <xdr:sp macro="" textlink="">
      <xdr:nvSpPr>
        <xdr:cNvPr id="443" name="TextBox 442"/>
        <xdr:cNvSpPr txBox="1">
          <a:spLocks noChangeArrowheads="1"/>
        </xdr:cNvSpPr>
      </xdr:nvSpPr>
      <xdr:spPr bwMode="auto">
        <a:xfrm>
          <a:off x="23304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107</xdr:row>
      <xdr:rowOff>152400</xdr:rowOff>
    </xdr:from>
    <xdr:to>
      <xdr:col>2</xdr:col>
      <xdr:colOff>0</xdr:colOff>
      <xdr:row>109</xdr:row>
      <xdr:rowOff>6350</xdr:rowOff>
    </xdr:to>
    <xdr:sp macro="" textlink="">
      <xdr:nvSpPr>
        <xdr:cNvPr id="444" name="TextBox 443"/>
        <xdr:cNvSpPr txBox="1">
          <a:spLocks noChangeArrowheads="1"/>
        </xdr:cNvSpPr>
      </xdr:nvSpPr>
      <xdr:spPr bwMode="auto">
        <a:xfrm>
          <a:off x="23304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108</xdr:row>
      <xdr:rowOff>152400</xdr:rowOff>
    </xdr:from>
    <xdr:to>
      <xdr:col>2</xdr:col>
      <xdr:colOff>0</xdr:colOff>
      <xdr:row>110</xdr:row>
      <xdr:rowOff>6350</xdr:rowOff>
    </xdr:to>
    <xdr:sp macro="" textlink="">
      <xdr:nvSpPr>
        <xdr:cNvPr id="445" name="TextBox 444"/>
        <xdr:cNvSpPr txBox="1">
          <a:spLocks noChangeArrowheads="1"/>
        </xdr:cNvSpPr>
      </xdr:nvSpPr>
      <xdr:spPr bwMode="auto">
        <a:xfrm>
          <a:off x="23304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108</xdr:row>
      <xdr:rowOff>152400</xdr:rowOff>
    </xdr:from>
    <xdr:to>
      <xdr:col>2</xdr:col>
      <xdr:colOff>0</xdr:colOff>
      <xdr:row>110</xdr:row>
      <xdr:rowOff>6350</xdr:rowOff>
    </xdr:to>
    <xdr:sp macro="" textlink="">
      <xdr:nvSpPr>
        <xdr:cNvPr id="446" name="TextBox 445"/>
        <xdr:cNvSpPr txBox="1">
          <a:spLocks noChangeArrowheads="1"/>
        </xdr:cNvSpPr>
      </xdr:nvSpPr>
      <xdr:spPr bwMode="auto">
        <a:xfrm>
          <a:off x="23304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108</xdr:row>
      <xdr:rowOff>152400</xdr:rowOff>
    </xdr:from>
    <xdr:to>
      <xdr:col>2</xdr:col>
      <xdr:colOff>0</xdr:colOff>
      <xdr:row>110</xdr:row>
      <xdr:rowOff>6350</xdr:rowOff>
    </xdr:to>
    <xdr:sp macro="" textlink="">
      <xdr:nvSpPr>
        <xdr:cNvPr id="447" name="TextBox 446"/>
        <xdr:cNvSpPr txBox="1">
          <a:spLocks noChangeArrowheads="1"/>
        </xdr:cNvSpPr>
      </xdr:nvSpPr>
      <xdr:spPr bwMode="auto">
        <a:xfrm>
          <a:off x="23304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109</xdr:row>
      <xdr:rowOff>152400</xdr:rowOff>
    </xdr:from>
    <xdr:to>
      <xdr:col>2</xdr:col>
      <xdr:colOff>0</xdr:colOff>
      <xdr:row>111</xdr:row>
      <xdr:rowOff>6350</xdr:rowOff>
    </xdr:to>
    <xdr:sp macro="" textlink="">
      <xdr:nvSpPr>
        <xdr:cNvPr id="448" name="TextBox 447"/>
        <xdr:cNvSpPr txBox="1">
          <a:spLocks noChangeArrowheads="1"/>
        </xdr:cNvSpPr>
      </xdr:nvSpPr>
      <xdr:spPr bwMode="auto">
        <a:xfrm>
          <a:off x="23304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109</xdr:row>
      <xdr:rowOff>152400</xdr:rowOff>
    </xdr:from>
    <xdr:to>
      <xdr:col>2</xdr:col>
      <xdr:colOff>0</xdr:colOff>
      <xdr:row>111</xdr:row>
      <xdr:rowOff>6350</xdr:rowOff>
    </xdr:to>
    <xdr:sp macro="" textlink="">
      <xdr:nvSpPr>
        <xdr:cNvPr id="449" name="TextBox 448"/>
        <xdr:cNvSpPr txBox="1">
          <a:spLocks noChangeArrowheads="1"/>
        </xdr:cNvSpPr>
      </xdr:nvSpPr>
      <xdr:spPr bwMode="auto">
        <a:xfrm>
          <a:off x="23304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109</xdr:row>
      <xdr:rowOff>152400</xdr:rowOff>
    </xdr:from>
    <xdr:to>
      <xdr:col>2</xdr:col>
      <xdr:colOff>0</xdr:colOff>
      <xdr:row>111</xdr:row>
      <xdr:rowOff>6350</xdr:rowOff>
    </xdr:to>
    <xdr:sp macro="" textlink="">
      <xdr:nvSpPr>
        <xdr:cNvPr id="450" name="TextBox 449"/>
        <xdr:cNvSpPr txBox="1">
          <a:spLocks noChangeArrowheads="1"/>
        </xdr:cNvSpPr>
      </xdr:nvSpPr>
      <xdr:spPr bwMode="auto">
        <a:xfrm>
          <a:off x="23304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110</xdr:row>
      <xdr:rowOff>152400</xdr:rowOff>
    </xdr:from>
    <xdr:to>
      <xdr:col>2</xdr:col>
      <xdr:colOff>0</xdr:colOff>
      <xdr:row>112</xdr:row>
      <xdr:rowOff>6350</xdr:rowOff>
    </xdr:to>
    <xdr:sp macro="" textlink="">
      <xdr:nvSpPr>
        <xdr:cNvPr id="451" name="TextBox 450"/>
        <xdr:cNvSpPr txBox="1">
          <a:spLocks noChangeArrowheads="1"/>
        </xdr:cNvSpPr>
      </xdr:nvSpPr>
      <xdr:spPr bwMode="auto">
        <a:xfrm>
          <a:off x="23304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110</xdr:row>
      <xdr:rowOff>152400</xdr:rowOff>
    </xdr:from>
    <xdr:to>
      <xdr:col>2</xdr:col>
      <xdr:colOff>0</xdr:colOff>
      <xdr:row>112</xdr:row>
      <xdr:rowOff>6350</xdr:rowOff>
    </xdr:to>
    <xdr:sp macro="" textlink="">
      <xdr:nvSpPr>
        <xdr:cNvPr id="452" name="TextBox 451"/>
        <xdr:cNvSpPr txBox="1">
          <a:spLocks noChangeArrowheads="1"/>
        </xdr:cNvSpPr>
      </xdr:nvSpPr>
      <xdr:spPr bwMode="auto">
        <a:xfrm>
          <a:off x="23304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110</xdr:row>
      <xdr:rowOff>152400</xdr:rowOff>
    </xdr:from>
    <xdr:to>
      <xdr:col>2</xdr:col>
      <xdr:colOff>0</xdr:colOff>
      <xdr:row>112</xdr:row>
      <xdr:rowOff>6350</xdr:rowOff>
    </xdr:to>
    <xdr:sp macro="" textlink="">
      <xdr:nvSpPr>
        <xdr:cNvPr id="453" name="TextBox 452"/>
        <xdr:cNvSpPr txBox="1">
          <a:spLocks noChangeArrowheads="1"/>
        </xdr:cNvSpPr>
      </xdr:nvSpPr>
      <xdr:spPr bwMode="auto">
        <a:xfrm>
          <a:off x="23304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111</xdr:row>
      <xdr:rowOff>152400</xdr:rowOff>
    </xdr:from>
    <xdr:to>
      <xdr:col>2</xdr:col>
      <xdr:colOff>0</xdr:colOff>
      <xdr:row>113</xdr:row>
      <xdr:rowOff>6350</xdr:rowOff>
    </xdr:to>
    <xdr:sp macro="" textlink="">
      <xdr:nvSpPr>
        <xdr:cNvPr id="454" name="TextBox 453"/>
        <xdr:cNvSpPr txBox="1">
          <a:spLocks noChangeArrowheads="1"/>
        </xdr:cNvSpPr>
      </xdr:nvSpPr>
      <xdr:spPr bwMode="auto">
        <a:xfrm>
          <a:off x="2330450" y="637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111</xdr:row>
      <xdr:rowOff>152400</xdr:rowOff>
    </xdr:from>
    <xdr:to>
      <xdr:col>2</xdr:col>
      <xdr:colOff>0</xdr:colOff>
      <xdr:row>113</xdr:row>
      <xdr:rowOff>6350</xdr:rowOff>
    </xdr:to>
    <xdr:sp macro="" textlink="">
      <xdr:nvSpPr>
        <xdr:cNvPr id="455" name="TextBox 454"/>
        <xdr:cNvSpPr txBox="1">
          <a:spLocks noChangeArrowheads="1"/>
        </xdr:cNvSpPr>
      </xdr:nvSpPr>
      <xdr:spPr bwMode="auto">
        <a:xfrm>
          <a:off x="2330450" y="637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111</xdr:row>
      <xdr:rowOff>152400</xdr:rowOff>
    </xdr:from>
    <xdr:to>
      <xdr:col>2</xdr:col>
      <xdr:colOff>0</xdr:colOff>
      <xdr:row>113</xdr:row>
      <xdr:rowOff>6350</xdr:rowOff>
    </xdr:to>
    <xdr:sp macro="" textlink="">
      <xdr:nvSpPr>
        <xdr:cNvPr id="456" name="TextBox 455"/>
        <xdr:cNvSpPr txBox="1">
          <a:spLocks noChangeArrowheads="1"/>
        </xdr:cNvSpPr>
      </xdr:nvSpPr>
      <xdr:spPr bwMode="auto">
        <a:xfrm>
          <a:off x="2330450" y="637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112</xdr:row>
      <xdr:rowOff>152400</xdr:rowOff>
    </xdr:from>
    <xdr:to>
      <xdr:col>2</xdr:col>
      <xdr:colOff>0</xdr:colOff>
      <xdr:row>114</xdr:row>
      <xdr:rowOff>6350</xdr:rowOff>
    </xdr:to>
    <xdr:sp macro="" textlink="">
      <xdr:nvSpPr>
        <xdr:cNvPr id="457" name="TextBox 456"/>
        <xdr:cNvSpPr txBox="1">
          <a:spLocks noChangeArrowheads="1"/>
        </xdr:cNvSpPr>
      </xdr:nvSpPr>
      <xdr:spPr bwMode="auto">
        <a:xfrm>
          <a:off x="2330450" y="653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112</xdr:row>
      <xdr:rowOff>152400</xdr:rowOff>
    </xdr:from>
    <xdr:to>
      <xdr:col>2</xdr:col>
      <xdr:colOff>0</xdr:colOff>
      <xdr:row>114</xdr:row>
      <xdr:rowOff>6350</xdr:rowOff>
    </xdr:to>
    <xdr:sp macro="" textlink="">
      <xdr:nvSpPr>
        <xdr:cNvPr id="458" name="TextBox 457"/>
        <xdr:cNvSpPr txBox="1">
          <a:spLocks noChangeArrowheads="1"/>
        </xdr:cNvSpPr>
      </xdr:nvSpPr>
      <xdr:spPr bwMode="auto">
        <a:xfrm>
          <a:off x="2330450" y="653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112</xdr:row>
      <xdr:rowOff>152400</xdr:rowOff>
    </xdr:from>
    <xdr:to>
      <xdr:col>2</xdr:col>
      <xdr:colOff>0</xdr:colOff>
      <xdr:row>114</xdr:row>
      <xdr:rowOff>6350</xdr:rowOff>
    </xdr:to>
    <xdr:sp macro="" textlink="">
      <xdr:nvSpPr>
        <xdr:cNvPr id="459" name="TextBox 458"/>
        <xdr:cNvSpPr txBox="1">
          <a:spLocks noChangeArrowheads="1"/>
        </xdr:cNvSpPr>
      </xdr:nvSpPr>
      <xdr:spPr bwMode="auto">
        <a:xfrm>
          <a:off x="2330450" y="653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113</xdr:row>
      <xdr:rowOff>152400</xdr:rowOff>
    </xdr:from>
    <xdr:to>
      <xdr:col>2</xdr:col>
      <xdr:colOff>0</xdr:colOff>
      <xdr:row>115</xdr:row>
      <xdr:rowOff>6350</xdr:rowOff>
    </xdr:to>
    <xdr:sp macro="" textlink="">
      <xdr:nvSpPr>
        <xdr:cNvPr id="460" name="TextBox 459"/>
        <xdr:cNvSpPr txBox="1">
          <a:spLocks noChangeArrowheads="1"/>
        </xdr:cNvSpPr>
      </xdr:nvSpPr>
      <xdr:spPr bwMode="auto">
        <a:xfrm>
          <a:off x="2330450" y="669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113</xdr:row>
      <xdr:rowOff>152400</xdr:rowOff>
    </xdr:from>
    <xdr:to>
      <xdr:col>2</xdr:col>
      <xdr:colOff>0</xdr:colOff>
      <xdr:row>115</xdr:row>
      <xdr:rowOff>6350</xdr:rowOff>
    </xdr:to>
    <xdr:sp macro="" textlink="">
      <xdr:nvSpPr>
        <xdr:cNvPr id="461" name="TextBox 460"/>
        <xdr:cNvSpPr txBox="1">
          <a:spLocks noChangeArrowheads="1"/>
        </xdr:cNvSpPr>
      </xdr:nvSpPr>
      <xdr:spPr bwMode="auto">
        <a:xfrm>
          <a:off x="2330450" y="669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113</xdr:row>
      <xdr:rowOff>152400</xdr:rowOff>
    </xdr:from>
    <xdr:to>
      <xdr:col>2</xdr:col>
      <xdr:colOff>0</xdr:colOff>
      <xdr:row>115</xdr:row>
      <xdr:rowOff>6350</xdr:rowOff>
    </xdr:to>
    <xdr:sp macro="" textlink="">
      <xdr:nvSpPr>
        <xdr:cNvPr id="462" name="TextBox 461"/>
        <xdr:cNvSpPr txBox="1">
          <a:spLocks noChangeArrowheads="1"/>
        </xdr:cNvSpPr>
      </xdr:nvSpPr>
      <xdr:spPr bwMode="auto">
        <a:xfrm>
          <a:off x="2330450" y="669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114</xdr:row>
      <xdr:rowOff>152400</xdr:rowOff>
    </xdr:from>
    <xdr:to>
      <xdr:col>2</xdr:col>
      <xdr:colOff>0</xdr:colOff>
      <xdr:row>116</xdr:row>
      <xdr:rowOff>6350</xdr:rowOff>
    </xdr:to>
    <xdr:sp macro="" textlink="">
      <xdr:nvSpPr>
        <xdr:cNvPr id="463" name="TextBox 462"/>
        <xdr:cNvSpPr txBox="1">
          <a:spLocks noChangeArrowheads="1"/>
        </xdr:cNvSpPr>
      </xdr:nvSpPr>
      <xdr:spPr bwMode="auto">
        <a:xfrm>
          <a:off x="2330450" y="685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114</xdr:row>
      <xdr:rowOff>152400</xdr:rowOff>
    </xdr:from>
    <xdr:to>
      <xdr:col>2</xdr:col>
      <xdr:colOff>0</xdr:colOff>
      <xdr:row>116</xdr:row>
      <xdr:rowOff>6350</xdr:rowOff>
    </xdr:to>
    <xdr:sp macro="" textlink="">
      <xdr:nvSpPr>
        <xdr:cNvPr id="464" name="TextBox 463"/>
        <xdr:cNvSpPr txBox="1">
          <a:spLocks noChangeArrowheads="1"/>
        </xdr:cNvSpPr>
      </xdr:nvSpPr>
      <xdr:spPr bwMode="auto">
        <a:xfrm>
          <a:off x="2330450" y="685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114</xdr:row>
      <xdr:rowOff>152400</xdr:rowOff>
    </xdr:from>
    <xdr:to>
      <xdr:col>2</xdr:col>
      <xdr:colOff>0</xdr:colOff>
      <xdr:row>116</xdr:row>
      <xdr:rowOff>6350</xdr:rowOff>
    </xdr:to>
    <xdr:sp macro="" textlink="">
      <xdr:nvSpPr>
        <xdr:cNvPr id="465" name="TextBox 464"/>
        <xdr:cNvSpPr txBox="1">
          <a:spLocks noChangeArrowheads="1"/>
        </xdr:cNvSpPr>
      </xdr:nvSpPr>
      <xdr:spPr bwMode="auto">
        <a:xfrm>
          <a:off x="2330450" y="685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115</xdr:row>
      <xdr:rowOff>152400</xdr:rowOff>
    </xdr:from>
    <xdr:to>
      <xdr:col>2</xdr:col>
      <xdr:colOff>0</xdr:colOff>
      <xdr:row>117</xdr:row>
      <xdr:rowOff>6350</xdr:rowOff>
    </xdr:to>
    <xdr:sp macro="" textlink="">
      <xdr:nvSpPr>
        <xdr:cNvPr id="466" name="TextBox 465"/>
        <xdr:cNvSpPr txBox="1">
          <a:spLocks noChangeArrowheads="1"/>
        </xdr:cNvSpPr>
      </xdr:nvSpPr>
      <xdr:spPr bwMode="auto">
        <a:xfrm>
          <a:off x="2330450" y="701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115</xdr:row>
      <xdr:rowOff>152400</xdr:rowOff>
    </xdr:from>
    <xdr:to>
      <xdr:col>2</xdr:col>
      <xdr:colOff>0</xdr:colOff>
      <xdr:row>117</xdr:row>
      <xdr:rowOff>6350</xdr:rowOff>
    </xdr:to>
    <xdr:sp macro="" textlink="">
      <xdr:nvSpPr>
        <xdr:cNvPr id="467" name="TextBox 466"/>
        <xdr:cNvSpPr txBox="1">
          <a:spLocks noChangeArrowheads="1"/>
        </xdr:cNvSpPr>
      </xdr:nvSpPr>
      <xdr:spPr bwMode="auto">
        <a:xfrm>
          <a:off x="2330450" y="701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115</xdr:row>
      <xdr:rowOff>152400</xdr:rowOff>
    </xdr:from>
    <xdr:to>
      <xdr:col>2</xdr:col>
      <xdr:colOff>0</xdr:colOff>
      <xdr:row>117</xdr:row>
      <xdr:rowOff>6350</xdr:rowOff>
    </xdr:to>
    <xdr:sp macro="" textlink="">
      <xdr:nvSpPr>
        <xdr:cNvPr id="468" name="TextBox 467"/>
        <xdr:cNvSpPr txBox="1">
          <a:spLocks noChangeArrowheads="1"/>
        </xdr:cNvSpPr>
      </xdr:nvSpPr>
      <xdr:spPr bwMode="auto">
        <a:xfrm>
          <a:off x="2330450" y="701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116</xdr:row>
      <xdr:rowOff>152400</xdr:rowOff>
    </xdr:from>
    <xdr:to>
      <xdr:col>2</xdr:col>
      <xdr:colOff>0</xdr:colOff>
      <xdr:row>118</xdr:row>
      <xdr:rowOff>6350</xdr:rowOff>
    </xdr:to>
    <xdr:sp macro="" textlink="">
      <xdr:nvSpPr>
        <xdr:cNvPr id="469" name="TextBox 468"/>
        <xdr:cNvSpPr txBox="1">
          <a:spLocks noChangeArrowheads="1"/>
        </xdr:cNvSpPr>
      </xdr:nvSpPr>
      <xdr:spPr bwMode="auto">
        <a:xfrm>
          <a:off x="2330450" y="716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116</xdr:row>
      <xdr:rowOff>152400</xdr:rowOff>
    </xdr:from>
    <xdr:to>
      <xdr:col>2</xdr:col>
      <xdr:colOff>0</xdr:colOff>
      <xdr:row>118</xdr:row>
      <xdr:rowOff>6350</xdr:rowOff>
    </xdr:to>
    <xdr:sp macro="" textlink="">
      <xdr:nvSpPr>
        <xdr:cNvPr id="470" name="TextBox 469"/>
        <xdr:cNvSpPr txBox="1">
          <a:spLocks noChangeArrowheads="1"/>
        </xdr:cNvSpPr>
      </xdr:nvSpPr>
      <xdr:spPr bwMode="auto">
        <a:xfrm>
          <a:off x="2330450" y="716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116</xdr:row>
      <xdr:rowOff>152400</xdr:rowOff>
    </xdr:from>
    <xdr:to>
      <xdr:col>2</xdr:col>
      <xdr:colOff>0</xdr:colOff>
      <xdr:row>118</xdr:row>
      <xdr:rowOff>6350</xdr:rowOff>
    </xdr:to>
    <xdr:sp macro="" textlink="">
      <xdr:nvSpPr>
        <xdr:cNvPr id="471" name="TextBox 470"/>
        <xdr:cNvSpPr txBox="1">
          <a:spLocks noChangeArrowheads="1"/>
        </xdr:cNvSpPr>
      </xdr:nvSpPr>
      <xdr:spPr bwMode="auto">
        <a:xfrm>
          <a:off x="2330450" y="716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117</xdr:row>
      <xdr:rowOff>152400</xdr:rowOff>
    </xdr:from>
    <xdr:to>
      <xdr:col>2</xdr:col>
      <xdr:colOff>0</xdr:colOff>
      <xdr:row>119</xdr:row>
      <xdr:rowOff>6350</xdr:rowOff>
    </xdr:to>
    <xdr:sp macro="" textlink="">
      <xdr:nvSpPr>
        <xdr:cNvPr id="472" name="TextBox 471"/>
        <xdr:cNvSpPr txBox="1">
          <a:spLocks noChangeArrowheads="1"/>
        </xdr:cNvSpPr>
      </xdr:nvSpPr>
      <xdr:spPr bwMode="auto">
        <a:xfrm>
          <a:off x="2330450" y="732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117</xdr:row>
      <xdr:rowOff>152400</xdr:rowOff>
    </xdr:from>
    <xdr:to>
      <xdr:col>2</xdr:col>
      <xdr:colOff>0</xdr:colOff>
      <xdr:row>119</xdr:row>
      <xdr:rowOff>6350</xdr:rowOff>
    </xdr:to>
    <xdr:sp macro="" textlink="">
      <xdr:nvSpPr>
        <xdr:cNvPr id="473" name="TextBox 472"/>
        <xdr:cNvSpPr txBox="1">
          <a:spLocks noChangeArrowheads="1"/>
        </xdr:cNvSpPr>
      </xdr:nvSpPr>
      <xdr:spPr bwMode="auto">
        <a:xfrm>
          <a:off x="2330450" y="732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117</xdr:row>
      <xdr:rowOff>152400</xdr:rowOff>
    </xdr:from>
    <xdr:to>
      <xdr:col>2</xdr:col>
      <xdr:colOff>0</xdr:colOff>
      <xdr:row>119</xdr:row>
      <xdr:rowOff>6350</xdr:rowOff>
    </xdr:to>
    <xdr:sp macro="" textlink="">
      <xdr:nvSpPr>
        <xdr:cNvPr id="474" name="TextBox 473"/>
        <xdr:cNvSpPr txBox="1">
          <a:spLocks noChangeArrowheads="1"/>
        </xdr:cNvSpPr>
      </xdr:nvSpPr>
      <xdr:spPr bwMode="auto">
        <a:xfrm>
          <a:off x="2330450" y="732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118</xdr:row>
      <xdr:rowOff>152400</xdr:rowOff>
    </xdr:from>
    <xdr:to>
      <xdr:col>2</xdr:col>
      <xdr:colOff>0</xdr:colOff>
      <xdr:row>120</xdr:row>
      <xdr:rowOff>6350</xdr:rowOff>
    </xdr:to>
    <xdr:sp macro="" textlink="">
      <xdr:nvSpPr>
        <xdr:cNvPr id="475" name="TextBox 474"/>
        <xdr:cNvSpPr txBox="1">
          <a:spLocks noChangeArrowheads="1"/>
        </xdr:cNvSpPr>
      </xdr:nvSpPr>
      <xdr:spPr bwMode="auto">
        <a:xfrm>
          <a:off x="2330450" y="748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118</xdr:row>
      <xdr:rowOff>152400</xdr:rowOff>
    </xdr:from>
    <xdr:to>
      <xdr:col>2</xdr:col>
      <xdr:colOff>0</xdr:colOff>
      <xdr:row>120</xdr:row>
      <xdr:rowOff>6350</xdr:rowOff>
    </xdr:to>
    <xdr:sp macro="" textlink="">
      <xdr:nvSpPr>
        <xdr:cNvPr id="476" name="TextBox 475"/>
        <xdr:cNvSpPr txBox="1">
          <a:spLocks noChangeArrowheads="1"/>
        </xdr:cNvSpPr>
      </xdr:nvSpPr>
      <xdr:spPr bwMode="auto">
        <a:xfrm>
          <a:off x="2330450" y="748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118</xdr:row>
      <xdr:rowOff>152400</xdr:rowOff>
    </xdr:from>
    <xdr:to>
      <xdr:col>2</xdr:col>
      <xdr:colOff>0</xdr:colOff>
      <xdr:row>120</xdr:row>
      <xdr:rowOff>6350</xdr:rowOff>
    </xdr:to>
    <xdr:sp macro="" textlink="">
      <xdr:nvSpPr>
        <xdr:cNvPr id="477" name="TextBox 476"/>
        <xdr:cNvSpPr txBox="1">
          <a:spLocks noChangeArrowheads="1"/>
        </xdr:cNvSpPr>
      </xdr:nvSpPr>
      <xdr:spPr bwMode="auto">
        <a:xfrm>
          <a:off x="2330450" y="748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119</xdr:row>
      <xdr:rowOff>152400</xdr:rowOff>
    </xdr:from>
    <xdr:to>
      <xdr:col>2</xdr:col>
      <xdr:colOff>0</xdr:colOff>
      <xdr:row>121</xdr:row>
      <xdr:rowOff>6350</xdr:rowOff>
    </xdr:to>
    <xdr:sp macro="" textlink="">
      <xdr:nvSpPr>
        <xdr:cNvPr id="478" name="TextBox 477"/>
        <xdr:cNvSpPr txBox="1">
          <a:spLocks noChangeArrowheads="1"/>
        </xdr:cNvSpPr>
      </xdr:nvSpPr>
      <xdr:spPr bwMode="auto">
        <a:xfrm>
          <a:off x="2330450" y="764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119</xdr:row>
      <xdr:rowOff>152400</xdr:rowOff>
    </xdr:from>
    <xdr:to>
      <xdr:col>2</xdr:col>
      <xdr:colOff>0</xdr:colOff>
      <xdr:row>121</xdr:row>
      <xdr:rowOff>6350</xdr:rowOff>
    </xdr:to>
    <xdr:sp macro="" textlink="">
      <xdr:nvSpPr>
        <xdr:cNvPr id="479" name="TextBox 478"/>
        <xdr:cNvSpPr txBox="1">
          <a:spLocks noChangeArrowheads="1"/>
        </xdr:cNvSpPr>
      </xdr:nvSpPr>
      <xdr:spPr bwMode="auto">
        <a:xfrm>
          <a:off x="2330450" y="764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119</xdr:row>
      <xdr:rowOff>152400</xdr:rowOff>
    </xdr:from>
    <xdr:to>
      <xdr:col>2</xdr:col>
      <xdr:colOff>0</xdr:colOff>
      <xdr:row>121</xdr:row>
      <xdr:rowOff>6350</xdr:rowOff>
    </xdr:to>
    <xdr:sp macro="" textlink="">
      <xdr:nvSpPr>
        <xdr:cNvPr id="480" name="TextBox 479"/>
        <xdr:cNvSpPr txBox="1">
          <a:spLocks noChangeArrowheads="1"/>
        </xdr:cNvSpPr>
      </xdr:nvSpPr>
      <xdr:spPr bwMode="auto">
        <a:xfrm>
          <a:off x="2330450" y="764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120</xdr:row>
      <xdr:rowOff>152400</xdr:rowOff>
    </xdr:from>
    <xdr:to>
      <xdr:col>2</xdr:col>
      <xdr:colOff>0</xdr:colOff>
      <xdr:row>122</xdr:row>
      <xdr:rowOff>6350</xdr:rowOff>
    </xdr:to>
    <xdr:sp macro="" textlink="">
      <xdr:nvSpPr>
        <xdr:cNvPr id="481" name="TextBox 480"/>
        <xdr:cNvSpPr txBox="1">
          <a:spLocks noChangeArrowheads="1"/>
        </xdr:cNvSpPr>
      </xdr:nvSpPr>
      <xdr:spPr bwMode="auto">
        <a:xfrm>
          <a:off x="2330450" y="780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120</xdr:row>
      <xdr:rowOff>152400</xdr:rowOff>
    </xdr:from>
    <xdr:to>
      <xdr:col>2</xdr:col>
      <xdr:colOff>0</xdr:colOff>
      <xdr:row>122</xdr:row>
      <xdr:rowOff>6350</xdr:rowOff>
    </xdr:to>
    <xdr:sp macro="" textlink="">
      <xdr:nvSpPr>
        <xdr:cNvPr id="482" name="TextBox 481"/>
        <xdr:cNvSpPr txBox="1">
          <a:spLocks noChangeArrowheads="1"/>
        </xdr:cNvSpPr>
      </xdr:nvSpPr>
      <xdr:spPr bwMode="auto">
        <a:xfrm>
          <a:off x="2330450" y="780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120</xdr:row>
      <xdr:rowOff>152400</xdr:rowOff>
    </xdr:from>
    <xdr:to>
      <xdr:col>2</xdr:col>
      <xdr:colOff>0</xdr:colOff>
      <xdr:row>122</xdr:row>
      <xdr:rowOff>6350</xdr:rowOff>
    </xdr:to>
    <xdr:sp macro="" textlink="">
      <xdr:nvSpPr>
        <xdr:cNvPr id="483" name="TextBox 482"/>
        <xdr:cNvSpPr txBox="1">
          <a:spLocks noChangeArrowheads="1"/>
        </xdr:cNvSpPr>
      </xdr:nvSpPr>
      <xdr:spPr bwMode="auto">
        <a:xfrm>
          <a:off x="2330450" y="780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121</xdr:row>
      <xdr:rowOff>152400</xdr:rowOff>
    </xdr:from>
    <xdr:to>
      <xdr:col>2</xdr:col>
      <xdr:colOff>0</xdr:colOff>
      <xdr:row>123</xdr:row>
      <xdr:rowOff>6350</xdr:rowOff>
    </xdr:to>
    <xdr:sp macro="" textlink="">
      <xdr:nvSpPr>
        <xdr:cNvPr id="484" name="TextBox 483"/>
        <xdr:cNvSpPr txBox="1">
          <a:spLocks noChangeArrowheads="1"/>
        </xdr:cNvSpPr>
      </xdr:nvSpPr>
      <xdr:spPr bwMode="auto">
        <a:xfrm>
          <a:off x="2330450" y="796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121</xdr:row>
      <xdr:rowOff>152400</xdr:rowOff>
    </xdr:from>
    <xdr:to>
      <xdr:col>2</xdr:col>
      <xdr:colOff>0</xdr:colOff>
      <xdr:row>123</xdr:row>
      <xdr:rowOff>6350</xdr:rowOff>
    </xdr:to>
    <xdr:sp macro="" textlink="">
      <xdr:nvSpPr>
        <xdr:cNvPr id="485" name="TextBox 484"/>
        <xdr:cNvSpPr txBox="1">
          <a:spLocks noChangeArrowheads="1"/>
        </xdr:cNvSpPr>
      </xdr:nvSpPr>
      <xdr:spPr bwMode="auto">
        <a:xfrm>
          <a:off x="2330450" y="796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121</xdr:row>
      <xdr:rowOff>152400</xdr:rowOff>
    </xdr:from>
    <xdr:to>
      <xdr:col>2</xdr:col>
      <xdr:colOff>0</xdr:colOff>
      <xdr:row>123</xdr:row>
      <xdr:rowOff>6350</xdr:rowOff>
    </xdr:to>
    <xdr:sp macro="" textlink="">
      <xdr:nvSpPr>
        <xdr:cNvPr id="486" name="TextBox 485"/>
        <xdr:cNvSpPr txBox="1">
          <a:spLocks noChangeArrowheads="1"/>
        </xdr:cNvSpPr>
      </xdr:nvSpPr>
      <xdr:spPr bwMode="auto">
        <a:xfrm>
          <a:off x="2330450" y="796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122</xdr:row>
      <xdr:rowOff>152400</xdr:rowOff>
    </xdr:from>
    <xdr:to>
      <xdr:col>2</xdr:col>
      <xdr:colOff>0</xdr:colOff>
      <xdr:row>124</xdr:row>
      <xdr:rowOff>6350</xdr:rowOff>
    </xdr:to>
    <xdr:sp macro="" textlink="">
      <xdr:nvSpPr>
        <xdr:cNvPr id="487" name="TextBox 486"/>
        <xdr:cNvSpPr txBox="1">
          <a:spLocks noChangeArrowheads="1"/>
        </xdr:cNvSpPr>
      </xdr:nvSpPr>
      <xdr:spPr bwMode="auto">
        <a:xfrm>
          <a:off x="2330450" y="812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122</xdr:row>
      <xdr:rowOff>152400</xdr:rowOff>
    </xdr:from>
    <xdr:to>
      <xdr:col>2</xdr:col>
      <xdr:colOff>0</xdr:colOff>
      <xdr:row>124</xdr:row>
      <xdr:rowOff>6350</xdr:rowOff>
    </xdr:to>
    <xdr:sp macro="" textlink="">
      <xdr:nvSpPr>
        <xdr:cNvPr id="488" name="TextBox 487"/>
        <xdr:cNvSpPr txBox="1">
          <a:spLocks noChangeArrowheads="1"/>
        </xdr:cNvSpPr>
      </xdr:nvSpPr>
      <xdr:spPr bwMode="auto">
        <a:xfrm>
          <a:off x="2330450" y="812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122</xdr:row>
      <xdr:rowOff>152400</xdr:rowOff>
    </xdr:from>
    <xdr:to>
      <xdr:col>2</xdr:col>
      <xdr:colOff>0</xdr:colOff>
      <xdr:row>124</xdr:row>
      <xdr:rowOff>6350</xdr:rowOff>
    </xdr:to>
    <xdr:sp macro="" textlink="">
      <xdr:nvSpPr>
        <xdr:cNvPr id="489" name="TextBox 488"/>
        <xdr:cNvSpPr txBox="1">
          <a:spLocks noChangeArrowheads="1"/>
        </xdr:cNvSpPr>
      </xdr:nvSpPr>
      <xdr:spPr bwMode="auto">
        <a:xfrm>
          <a:off x="2330450" y="812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123</xdr:row>
      <xdr:rowOff>152400</xdr:rowOff>
    </xdr:from>
    <xdr:to>
      <xdr:col>2</xdr:col>
      <xdr:colOff>0</xdr:colOff>
      <xdr:row>125</xdr:row>
      <xdr:rowOff>6350</xdr:rowOff>
    </xdr:to>
    <xdr:sp macro="" textlink="">
      <xdr:nvSpPr>
        <xdr:cNvPr id="490" name="TextBox 489"/>
        <xdr:cNvSpPr txBox="1">
          <a:spLocks noChangeArrowheads="1"/>
        </xdr:cNvSpPr>
      </xdr:nvSpPr>
      <xdr:spPr bwMode="auto">
        <a:xfrm>
          <a:off x="2330450" y="828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123</xdr:row>
      <xdr:rowOff>152400</xdr:rowOff>
    </xdr:from>
    <xdr:to>
      <xdr:col>2</xdr:col>
      <xdr:colOff>0</xdr:colOff>
      <xdr:row>125</xdr:row>
      <xdr:rowOff>6350</xdr:rowOff>
    </xdr:to>
    <xdr:sp macro="" textlink="">
      <xdr:nvSpPr>
        <xdr:cNvPr id="491" name="TextBox 490"/>
        <xdr:cNvSpPr txBox="1">
          <a:spLocks noChangeArrowheads="1"/>
        </xdr:cNvSpPr>
      </xdr:nvSpPr>
      <xdr:spPr bwMode="auto">
        <a:xfrm>
          <a:off x="2330450" y="828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123</xdr:row>
      <xdr:rowOff>152400</xdr:rowOff>
    </xdr:from>
    <xdr:to>
      <xdr:col>2</xdr:col>
      <xdr:colOff>0</xdr:colOff>
      <xdr:row>125</xdr:row>
      <xdr:rowOff>6350</xdr:rowOff>
    </xdr:to>
    <xdr:sp macro="" textlink="">
      <xdr:nvSpPr>
        <xdr:cNvPr id="492" name="TextBox 491"/>
        <xdr:cNvSpPr txBox="1">
          <a:spLocks noChangeArrowheads="1"/>
        </xdr:cNvSpPr>
      </xdr:nvSpPr>
      <xdr:spPr bwMode="auto">
        <a:xfrm>
          <a:off x="2330450" y="828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124</xdr:row>
      <xdr:rowOff>152400</xdr:rowOff>
    </xdr:from>
    <xdr:to>
      <xdr:col>2</xdr:col>
      <xdr:colOff>0</xdr:colOff>
      <xdr:row>126</xdr:row>
      <xdr:rowOff>6350</xdr:rowOff>
    </xdr:to>
    <xdr:sp macro="" textlink="">
      <xdr:nvSpPr>
        <xdr:cNvPr id="493" name="TextBox 492"/>
        <xdr:cNvSpPr txBox="1">
          <a:spLocks noChangeArrowheads="1"/>
        </xdr:cNvSpPr>
      </xdr:nvSpPr>
      <xdr:spPr bwMode="auto">
        <a:xfrm>
          <a:off x="2330450" y="843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124</xdr:row>
      <xdr:rowOff>152400</xdr:rowOff>
    </xdr:from>
    <xdr:to>
      <xdr:col>2</xdr:col>
      <xdr:colOff>0</xdr:colOff>
      <xdr:row>126</xdr:row>
      <xdr:rowOff>6350</xdr:rowOff>
    </xdr:to>
    <xdr:sp macro="" textlink="">
      <xdr:nvSpPr>
        <xdr:cNvPr id="494" name="TextBox 493"/>
        <xdr:cNvSpPr txBox="1">
          <a:spLocks noChangeArrowheads="1"/>
        </xdr:cNvSpPr>
      </xdr:nvSpPr>
      <xdr:spPr bwMode="auto">
        <a:xfrm>
          <a:off x="2330450" y="843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124</xdr:row>
      <xdr:rowOff>152400</xdr:rowOff>
    </xdr:from>
    <xdr:to>
      <xdr:col>2</xdr:col>
      <xdr:colOff>0</xdr:colOff>
      <xdr:row>126</xdr:row>
      <xdr:rowOff>6350</xdr:rowOff>
    </xdr:to>
    <xdr:sp macro="" textlink="">
      <xdr:nvSpPr>
        <xdr:cNvPr id="495" name="TextBox 494"/>
        <xdr:cNvSpPr txBox="1">
          <a:spLocks noChangeArrowheads="1"/>
        </xdr:cNvSpPr>
      </xdr:nvSpPr>
      <xdr:spPr bwMode="auto">
        <a:xfrm>
          <a:off x="2330450" y="843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125</xdr:row>
      <xdr:rowOff>152400</xdr:rowOff>
    </xdr:from>
    <xdr:to>
      <xdr:col>2</xdr:col>
      <xdr:colOff>0</xdr:colOff>
      <xdr:row>127</xdr:row>
      <xdr:rowOff>6350</xdr:rowOff>
    </xdr:to>
    <xdr:sp macro="" textlink="">
      <xdr:nvSpPr>
        <xdr:cNvPr id="496" name="TextBox 495"/>
        <xdr:cNvSpPr txBox="1">
          <a:spLocks noChangeArrowheads="1"/>
        </xdr:cNvSpPr>
      </xdr:nvSpPr>
      <xdr:spPr bwMode="auto">
        <a:xfrm>
          <a:off x="2330450" y="859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125</xdr:row>
      <xdr:rowOff>152400</xdr:rowOff>
    </xdr:from>
    <xdr:to>
      <xdr:col>2</xdr:col>
      <xdr:colOff>0</xdr:colOff>
      <xdr:row>127</xdr:row>
      <xdr:rowOff>6350</xdr:rowOff>
    </xdr:to>
    <xdr:sp macro="" textlink="">
      <xdr:nvSpPr>
        <xdr:cNvPr id="497" name="TextBox 496"/>
        <xdr:cNvSpPr txBox="1">
          <a:spLocks noChangeArrowheads="1"/>
        </xdr:cNvSpPr>
      </xdr:nvSpPr>
      <xdr:spPr bwMode="auto">
        <a:xfrm>
          <a:off x="2330450" y="859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125</xdr:row>
      <xdr:rowOff>152400</xdr:rowOff>
    </xdr:from>
    <xdr:to>
      <xdr:col>2</xdr:col>
      <xdr:colOff>0</xdr:colOff>
      <xdr:row>127</xdr:row>
      <xdr:rowOff>6350</xdr:rowOff>
    </xdr:to>
    <xdr:sp macro="" textlink="">
      <xdr:nvSpPr>
        <xdr:cNvPr id="498" name="TextBox 497"/>
        <xdr:cNvSpPr txBox="1">
          <a:spLocks noChangeArrowheads="1"/>
        </xdr:cNvSpPr>
      </xdr:nvSpPr>
      <xdr:spPr bwMode="auto">
        <a:xfrm>
          <a:off x="2330450" y="859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126</xdr:row>
      <xdr:rowOff>152400</xdr:rowOff>
    </xdr:from>
    <xdr:to>
      <xdr:col>2</xdr:col>
      <xdr:colOff>0</xdr:colOff>
      <xdr:row>128</xdr:row>
      <xdr:rowOff>6350</xdr:rowOff>
    </xdr:to>
    <xdr:sp macro="" textlink="">
      <xdr:nvSpPr>
        <xdr:cNvPr id="499" name="TextBox 498"/>
        <xdr:cNvSpPr txBox="1">
          <a:spLocks noChangeArrowheads="1"/>
        </xdr:cNvSpPr>
      </xdr:nvSpPr>
      <xdr:spPr bwMode="auto">
        <a:xfrm>
          <a:off x="2330450" y="875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126</xdr:row>
      <xdr:rowOff>152400</xdr:rowOff>
    </xdr:from>
    <xdr:to>
      <xdr:col>2</xdr:col>
      <xdr:colOff>0</xdr:colOff>
      <xdr:row>128</xdr:row>
      <xdr:rowOff>6350</xdr:rowOff>
    </xdr:to>
    <xdr:sp macro="" textlink="">
      <xdr:nvSpPr>
        <xdr:cNvPr id="500" name="TextBox 499"/>
        <xdr:cNvSpPr txBox="1">
          <a:spLocks noChangeArrowheads="1"/>
        </xdr:cNvSpPr>
      </xdr:nvSpPr>
      <xdr:spPr bwMode="auto">
        <a:xfrm>
          <a:off x="2330450" y="875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126</xdr:row>
      <xdr:rowOff>152400</xdr:rowOff>
    </xdr:from>
    <xdr:to>
      <xdr:col>2</xdr:col>
      <xdr:colOff>0</xdr:colOff>
      <xdr:row>128</xdr:row>
      <xdr:rowOff>6350</xdr:rowOff>
    </xdr:to>
    <xdr:sp macro="" textlink="">
      <xdr:nvSpPr>
        <xdr:cNvPr id="501" name="TextBox 500"/>
        <xdr:cNvSpPr txBox="1">
          <a:spLocks noChangeArrowheads="1"/>
        </xdr:cNvSpPr>
      </xdr:nvSpPr>
      <xdr:spPr bwMode="auto">
        <a:xfrm>
          <a:off x="2330450" y="875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127</xdr:row>
      <xdr:rowOff>152400</xdr:rowOff>
    </xdr:from>
    <xdr:to>
      <xdr:col>2</xdr:col>
      <xdr:colOff>0</xdr:colOff>
      <xdr:row>129</xdr:row>
      <xdr:rowOff>6350</xdr:rowOff>
    </xdr:to>
    <xdr:sp macro="" textlink="">
      <xdr:nvSpPr>
        <xdr:cNvPr id="502" name="TextBox 501"/>
        <xdr:cNvSpPr txBox="1">
          <a:spLocks noChangeArrowheads="1"/>
        </xdr:cNvSpPr>
      </xdr:nvSpPr>
      <xdr:spPr bwMode="auto">
        <a:xfrm>
          <a:off x="2330450" y="891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127</xdr:row>
      <xdr:rowOff>152400</xdr:rowOff>
    </xdr:from>
    <xdr:to>
      <xdr:col>2</xdr:col>
      <xdr:colOff>0</xdr:colOff>
      <xdr:row>129</xdr:row>
      <xdr:rowOff>6350</xdr:rowOff>
    </xdr:to>
    <xdr:sp macro="" textlink="">
      <xdr:nvSpPr>
        <xdr:cNvPr id="503" name="TextBox 502"/>
        <xdr:cNvSpPr txBox="1">
          <a:spLocks noChangeArrowheads="1"/>
        </xdr:cNvSpPr>
      </xdr:nvSpPr>
      <xdr:spPr bwMode="auto">
        <a:xfrm>
          <a:off x="2330450" y="891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127</xdr:row>
      <xdr:rowOff>152400</xdr:rowOff>
    </xdr:from>
    <xdr:to>
      <xdr:col>2</xdr:col>
      <xdr:colOff>0</xdr:colOff>
      <xdr:row>129</xdr:row>
      <xdr:rowOff>6350</xdr:rowOff>
    </xdr:to>
    <xdr:sp macro="" textlink="">
      <xdr:nvSpPr>
        <xdr:cNvPr id="504" name="TextBox 503"/>
        <xdr:cNvSpPr txBox="1">
          <a:spLocks noChangeArrowheads="1"/>
        </xdr:cNvSpPr>
      </xdr:nvSpPr>
      <xdr:spPr bwMode="auto">
        <a:xfrm>
          <a:off x="2330450" y="891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128</xdr:row>
      <xdr:rowOff>152400</xdr:rowOff>
    </xdr:from>
    <xdr:to>
      <xdr:col>2</xdr:col>
      <xdr:colOff>0</xdr:colOff>
      <xdr:row>130</xdr:row>
      <xdr:rowOff>6350</xdr:rowOff>
    </xdr:to>
    <xdr:sp macro="" textlink="">
      <xdr:nvSpPr>
        <xdr:cNvPr id="505" name="TextBox 504"/>
        <xdr:cNvSpPr txBox="1">
          <a:spLocks noChangeArrowheads="1"/>
        </xdr:cNvSpPr>
      </xdr:nvSpPr>
      <xdr:spPr bwMode="auto">
        <a:xfrm>
          <a:off x="2330450" y="907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128</xdr:row>
      <xdr:rowOff>152400</xdr:rowOff>
    </xdr:from>
    <xdr:to>
      <xdr:col>2</xdr:col>
      <xdr:colOff>0</xdr:colOff>
      <xdr:row>130</xdr:row>
      <xdr:rowOff>6350</xdr:rowOff>
    </xdr:to>
    <xdr:sp macro="" textlink="">
      <xdr:nvSpPr>
        <xdr:cNvPr id="506" name="TextBox 505"/>
        <xdr:cNvSpPr txBox="1">
          <a:spLocks noChangeArrowheads="1"/>
        </xdr:cNvSpPr>
      </xdr:nvSpPr>
      <xdr:spPr bwMode="auto">
        <a:xfrm>
          <a:off x="2330450" y="907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128</xdr:row>
      <xdr:rowOff>152400</xdr:rowOff>
    </xdr:from>
    <xdr:to>
      <xdr:col>2</xdr:col>
      <xdr:colOff>0</xdr:colOff>
      <xdr:row>130</xdr:row>
      <xdr:rowOff>6350</xdr:rowOff>
    </xdr:to>
    <xdr:sp macro="" textlink="">
      <xdr:nvSpPr>
        <xdr:cNvPr id="507" name="TextBox 506"/>
        <xdr:cNvSpPr txBox="1">
          <a:spLocks noChangeArrowheads="1"/>
        </xdr:cNvSpPr>
      </xdr:nvSpPr>
      <xdr:spPr bwMode="auto">
        <a:xfrm>
          <a:off x="2330450" y="907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129</xdr:row>
      <xdr:rowOff>152400</xdr:rowOff>
    </xdr:from>
    <xdr:to>
      <xdr:col>2</xdr:col>
      <xdr:colOff>0</xdr:colOff>
      <xdr:row>131</xdr:row>
      <xdr:rowOff>6350</xdr:rowOff>
    </xdr:to>
    <xdr:sp macro="" textlink="">
      <xdr:nvSpPr>
        <xdr:cNvPr id="508" name="TextBox 507"/>
        <xdr:cNvSpPr txBox="1">
          <a:spLocks noChangeArrowheads="1"/>
        </xdr:cNvSpPr>
      </xdr:nvSpPr>
      <xdr:spPr bwMode="auto">
        <a:xfrm>
          <a:off x="2330450" y="923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129</xdr:row>
      <xdr:rowOff>152400</xdr:rowOff>
    </xdr:from>
    <xdr:to>
      <xdr:col>2</xdr:col>
      <xdr:colOff>0</xdr:colOff>
      <xdr:row>131</xdr:row>
      <xdr:rowOff>6350</xdr:rowOff>
    </xdr:to>
    <xdr:sp macro="" textlink="">
      <xdr:nvSpPr>
        <xdr:cNvPr id="509" name="TextBox 508"/>
        <xdr:cNvSpPr txBox="1">
          <a:spLocks noChangeArrowheads="1"/>
        </xdr:cNvSpPr>
      </xdr:nvSpPr>
      <xdr:spPr bwMode="auto">
        <a:xfrm>
          <a:off x="2330450" y="923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129</xdr:row>
      <xdr:rowOff>152400</xdr:rowOff>
    </xdr:from>
    <xdr:to>
      <xdr:col>2</xdr:col>
      <xdr:colOff>0</xdr:colOff>
      <xdr:row>131</xdr:row>
      <xdr:rowOff>6350</xdr:rowOff>
    </xdr:to>
    <xdr:sp macro="" textlink="">
      <xdr:nvSpPr>
        <xdr:cNvPr id="510" name="TextBox 509"/>
        <xdr:cNvSpPr txBox="1">
          <a:spLocks noChangeArrowheads="1"/>
        </xdr:cNvSpPr>
      </xdr:nvSpPr>
      <xdr:spPr bwMode="auto">
        <a:xfrm>
          <a:off x="2330450" y="923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130</xdr:row>
      <xdr:rowOff>152400</xdr:rowOff>
    </xdr:from>
    <xdr:to>
      <xdr:col>2</xdr:col>
      <xdr:colOff>0</xdr:colOff>
      <xdr:row>132</xdr:row>
      <xdr:rowOff>6350</xdr:rowOff>
    </xdr:to>
    <xdr:sp macro="" textlink="">
      <xdr:nvSpPr>
        <xdr:cNvPr id="511" name="TextBox 510"/>
        <xdr:cNvSpPr txBox="1">
          <a:spLocks noChangeArrowheads="1"/>
        </xdr:cNvSpPr>
      </xdr:nvSpPr>
      <xdr:spPr bwMode="auto">
        <a:xfrm>
          <a:off x="2330450" y="939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130</xdr:row>
      <xdr:rowOff>152400</xdr:rowOff>
    </xdr:from>
    <xdr:to>
      <xdr:col>2</xdr:col>
      <xdr:colOff>0</xdr:colOff>
      <xdr:row>132</xdr:row>
      <xdr:rowOff>6350</xdr:rowOff>
    </xdr:to>
    <xdr:sp macro="" textlink="">
      <xdr:nvSpPr>
        <xdr:cNvPr id="512" name="TextBox 511"/>
        <xdr:cNvSpPr txBox="1">
          <a:spLocks noChangeArrowheads="1"/>
        </xdr:cNvSpPr>
      </xdr:nvSpPr>
      <xdr:spPr bwMode="auto">
        <a:xfrm>
          <a:off x="2330450" y="939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130</xdr:row>
      <xdr:rowOff>152400</xdr:rowOff>
    </xdr:from>
    <xdr:to>
      <xdr:col>2</xdr:col>
      <xdr:colOff>0</xdr:colOff>
      <xdr:row>132</xdr:row>
      <xdr:rowOff>6350</xdr:rowOff>
    </xdr:to>
    <xdr:sp macro="" textlink="">
      <xdr:nvSpPr>
        <xdr:cNvPr id="513" name="TextBox 512"/>
        <xdr:cNvSpPr txBox="1">
          <a:spLocks noChangeArrowheads="1"/>
        </xdr:cNvSpPr>
      </xdr:nvSpPr>
      <xdr:spPr bwMode="auto">
        <a:xfrm>
          <a:off x="2330450" y="9391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131</xdr:row>
      <xdr:rowOff>152400</xdr:rowOff>
    </xdr:from>
    <xdr:to>
      <xdr:col>2</xdr:col>
      <xdr:colOff>0</xdr:colOff>
      <xdr:row>133</xdr:row>
      <xdr:rowOff>6350</xdr:rowOff>
    </xdr:to>
    <xdr:sp macro="" textlink="">
      <xdr:nvSpPr>
        <xdr:cNvPr id="514" name="TextBox 513"/>
        <xdr:cNvSpPr txBox="1">
          <a:spLocks noChangeArrowheads="1"/>
        </xdr:cNvSpPr>
      </xdr:nvSpPr>
      <xdr:spPr bwMode="auto">
        <a:xfrm>
          <a:off x="2330450" y="955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131</xdr:row>
      <xdr:rowOff>152400</xdr:rowOff>
    </xdr:from>
    <xdr:to>
      <xdr:col>2</xdr:col>
      <xdr:colOff>0</xdr:colOff>
      <xdr:row>133</xdr:row>
      <xdr:rowOff>6350</xdr:rowOff>
    </xdr:to>
    <xdr:sp macro="" textlink="">
      <xdr:nvSpPr>
        <xdr:cNvPr id="515" name="TextBox 514"/>
        <xdr:cNvSpPr txBox="1">
          <a:spLocks noChangeArrowheads="1"/>
        </xdr:cNvSpPr>
      </xdr:nvSpPr>
      <xdr:spPr bwMode="auto">
        <a:xfrm>
          <a:off x="2330450" y="955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131</xdr:row>
      <xdr:rowOff>152400</xdr:rowOff>
    </xdr:from>
    <xdr:to>
      <xdr:col>2</xdr:col>
      <xdr:colOff>0</xdr:colOff>
      <xdr:row>133</xdr:row>
      <xdr:rowOff>6350</xdr:rowOff>
    </xdr:to>
    <xdr:sp macro="" textlink="">
      <xdr:nvSpPr>
        <xdr:cNvPr id="516" name="TextBox 515"/>
        <xdr:cNvSpPr txBox="1">
          <a:spLocks noChangeArrowheads="1"/>
        </xdr:cNvSpPr>
      </xdr:nvSpPr>
      <xdr:spPr bwMode="auto">
        <a:xfrm>
          <a:off x="2330450" y="955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132</xdr:row>
      <xdr:rowOff>152400</xdr:rowOff>
    </xdr:from>
    <xdr:to>
      <xdr:col>2</xdr:col>
      <xdr:colOff>0</xdr:colOff>
      <xdr:row>134</xdr:row>
      <xdr:rowOff>6350</xdr:rowOff>
    </xdr:to>
    <xdr:sp macro="" textlink="">
      <xdr:nvSpPr>
        <xdr:cNvPr id="517" name="TextBox 516"/>
        <xdr:cNvSpPr txBox="1">
          <a:spLocks noChangeArrowheads="1"/>
        </xdr:cNvSpPr>
      </xdr:nvSpPr>
      <xdr:spPr bwMode="auto">
        <a:xfrm>
          <a:off x="2330450" y="970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132</xdr:row>
      <xdr:rowOff>152400</xdr:rowOff>
    </xdr:from>
    <xdr:to>
      <xdr:col>2</xdr:col>
      <xdr:colOff>0</xdr:colOff>
      <xdr:row>134</xdr:row>
      <xdr:rowOff>6350</xdr:rowOff>
    </xdr:to>
    <xdr:sp macro="" textlink="">
      <xdr:nvSpPr>
        <xdr:cNvPr id="518" name="TextBox 517"/>
        <xdr:cNvSpPr txBox="1">
          <a:spLocks noChangeArrowheads="1"/>
        </xdr:cNvSpPr>
      </xdr:nvSpPr>
      <xdr:spPr bwMode="auto">
        <a:xfrm>
          <a:off x="2330450" y="970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132</xdr:row>
      <xdr:rowOff>152400</xdr:rowOff>
    </xdr:from>
    <xdr:to>
      <xdr:col>2</xdr:col>
      <xdr:colOff>0</xdr:colOff>
      <xdr:row>134</xdr:row>
      <xdr:rowOff>6350</xdr:rowOff>
    </xdr:to>
    <xdr:sp macro="" textlink="">
      <xdr:nvSpPr>
        <xdr:cNvPr id="519" name="TextBox 518"/>
        <xdr:cNvSpPr txBox="1">
          <a:spLocks noChangeArrowheads="1"/>
        </xdr:cNvSpPr>
      </xdr:nvSpPr>
      <xdr:spPr bwMode="auto">
        <a:xfrm>
          <a:off x="2330450" y="970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133</xdr:row>
      <xdr:rowOff>152400</xdr:rowOff>
    </xdr:from>
    <xdr:to>
      <xdr:col>2</xdr:col>
      <xdr:colOff>0</xdr:colOff>
      <xdr:row>135</xdr:row>
      <xdr:rowOff>6350</xdr:rowOff>
    </xdr:to>
    <xdr:sp macro="" textlink="">
      <xdr:nvSpPr>
        <xdr:cNvPr id="520" name="TextBox 519"/>
        <xdr:cNvSpPr txBox="1">
          <a:spLocks noChangeArrowheads="1"/>
        </xdr:cNvSpPr>
      </xdr:nvSpPr>
      <xdr:spPr bwMode="auto">
        <a:xfrm>
          <a:off x="2330450" y="986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133</xdr:row>
      <xdr:rowOff>152400</xdr:rowOff>
    </xdr:from>
    <xdr:to>
      <xdr:col>2</xdr:col>
      <xdr:colOff>0</xdr:colOff>
      <xdr:row>135</xdr:row>
      <xdr:rowOff>6350</xdr:rowOff>
    </xdr:to>
    <xdr:sp macro="" textlink="">
      <xdr:nvSpPr>
        <xdr:cNvPr id="521" name="TextBox 520"/>
        <xdr:cNvSpPr txBox="1">
          <a:spLocks noChangeArrowheads="1"/>
        </xdr:cNvSpPr>
      </xdr:nvSpPr>
      <xdr:spPr bwMode="auto">
        <a:xfrm>
          <a:off x="2330450" y="986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133</xdr:row>
      <xdr:rowOff>152400</xdr:rowOff>
    </xdr:from>
    <xdr:to>
      <xdr:col>2</xdr:col>
      <xdr:colOff>0</xdr:colOff>
      <xdr:row>135</xdr:row>
      <xdr:rowOff>6350</xdr:rowOff>
    </xdr:to>
    <xdr:sp macro="" textlink="">
      <xdr:nvSpPr>
        <xdr:cNvPr id="522" name="TextBox 521"/>
        <xdr:cNvSpPr txBox="1">
          <a:spLocks noChangeArrowheads="1"/>
        </xdr:cNvSpPr>
      </xdr:nvSpPr>
      <xdr:spPr bwMode="auto">
        <a:xfrm>
          <a:off x="2330450" y="986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134</xdr:row>
      <xdr:rowOff>152400</xdr:rowOff>
    </xdr:from>
    <xdr:to>
      <xdr:col>2</xdr:col>
      <xdr:colOff>0</xdr:colOff>
      <xdr:row>136</xdr:row>
      <xdr:rowOff>6350</xdr:rowOff>
    </xdr:to>
    <xdr:sp macro="" textlink="">
      <xdr:nvSpPr>
        <xdr:cNvPr id="523" name="TextBox 522"/>
        <xdr:cNvSpPr txBox="1">
          <a:spLocks noChangeArrowheads="1"/>
        </xdr:cNvSpPr>
      </xdr:nvSpPr>
      <xdr:spPr bwMode="auto">
        <a:xfrm>
          <a:off x="2330450" y="1002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134</xdr:row>
      <xdr:rowOff>152400</xdr:rowOff>
    </xdr:from>
    <xdr:to>
      <xdr:col>2</xdr:col>
      <xdr:colOff>0</xdr:colOff>
      <xdr:row>136</xdr:row>
      <xdr:rowOff>6350</xdr:rowOff>
    </xdr:to>
    <xdr:sp macro="" textlink="">
      <xdr:nvSpPr>
        <xdr:cNvPr id="524" name="TextBox 523"/>
        <xdr:cNvSpPr txBox="1">
          <a:spLocks noChangeArrowheads="1"/>
        </xdr:cNvSpPr>
      </xdr:nvSpPr>
      <xdr:spPr bwMode="auto">
        <a:xfrm>
          <a:off x="2330450" y="1002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134</xdr:row>
      <xdr:rowOff>152400</xdr:rowOff>
    </xdr:from>
    <xdr:to>
      <xdr:col>2</xdr:col>
      <xdr:colOff>0</xdr:colOff>
      <xdr:row>136</xdr:row>
      <xdr:rowOff>6350</xdr:rowOff>
    </xdr:to>
    <xdr:sp macro="" textlink="">
      <xdr:nvSpPr>
        <xdr:cNvPr id="525" name="TextBox 524"/>
        <xdr:cNvSpPr txBox="1">
          <a:spLocks noChangeArrowheads="1"/>
        </xdr:cNvSpPr>
      </xdr:nvSpPr>
      <xdr:spPr bwMode="auto">
        <a:xfrm>
          <a:off x="2330450" y="1002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135</xdr:row>
      <xdr:rowOff>152400</xdr:rowOff>
    </xdr:from>
    <xdr:to>
      <xdr:col>2</xdr:col>
      <xdr:colOff>0</xdr:colOff>
      <xdr:row>137</xdr:row>
      <xdr:rowOff>6350</xdr:rowOff>
    </xdr:to>
    <xdr:sp macro="" textlink="">
      <xdr:nvSpPr>
        <xdr:cNvPr id="526" name="TextBox 525"/>
        <xdr:cNvSpPr txBox="1">
          <a:spLocks noChangeArrowheads="1"/>
        </xdr:cNvSpPr>
      </xdr:nvSpPr>
      <xdr:spPr bwMode="auto">
        <a:xfrm>
          <a:off x="2330450" y="1018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135</xdr:row>
      <xdr:rowOff>152400</xdr:rowOff>
    </xdr:from>
    <xdr:to>
      <xdr:col>2</xdr:col>
      <xdr:colOff>0</xdr:colOff>
      <xdr:row>137</xdr:row>
      <xdr:rowOff>6350</xdr:rowOff>
    </xdr:to>
    <xdr:sp macro="" textlink="">
      <xdr:nvSpPr>
        <xdr:cNvPr id="527" name="TextBox 526"/>
        <xdr:cNvSpPr txBox="1">
          <a:spLocks noChangeArrowheads="1"/>
        </xdr:cNvSpPr>
      </xdr:nvSpPr>
      <xdr:spPr bwMode="auto">
        <a:xfrm>
          <a:off x="2330450" y="1018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135</xdr:row>
      <xdr:rowOff>152400</xdr:rowOff>
    </xdr:from>
    <xdr:to>
      <xdr:col>2</xdr:col>
      <xdr:colOff>0</xdr:colOff>
      <xdr:row>137</xdr:row>
      <xdr:rowOff>6350</xdr:rowOff>
    </xdr:to>
    <xdr:sp macro="" textlink="">
      <xdr:nvSpPr>
        <xdr:cNvPr id="528" name="TextBox 527"/>
        <xdr:cNvSpPr txBox="1">
          <a:spLocks noChangeArrowheads="1"/>
        </xdr:cNvSpPr>
      </xdr:nvSpPr>
      <xdr:spPr bwMode="auto">
        <a:xfrm>
          <a:off x="2330450" y="10185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136</xdr:row>
      <xdr:rowOff>152400</xdr:rowOff>
    </xdr:from>
    <xdr:to>
      <xdr:col>2</xdr:col>
      <xdr:colOff>0</xdr:colOff>
      <xdr:row>138</xdr:row>
      <xdr:rowOff>6350</xdr:rowOff>
    </xdr:to>
    <xdr:sp macro="" textlink="">
      <xdr:nvSpPr>
        <xdr:cNvPr id="529" name="TextBox 528"/>
        <xdr:cNvSpPr txBox="1">
          <a:spLocks noChangeArrowheads="1"/>
        </xdr:cNvSpPr>
      </xdr:nvSpPr>
      <xdr:spPr bwMode="auto">
        <a:xfrm>
          <a:off x="2330450" y="1034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136</xdr:row>
      <xdr:rowOff>152400</xdr:rowOff>
    </xdr:from>
    <xdr:to>
      <xdr:col>2</xdr:col>
      <xdr:colOff>0</xdr:colOff>
      <xdr:row>138</xdr:row>
      <xdr:rowOff>6350</xdr:rowOff>
    </xdr:to>
    <xdr:sp macro="" textlink="">
      <xdr:nvSpPr>
        <xdr:cNvPr id="530" name="TextBox 529"/>
        <xdr:cNvSpPr txBox="1">
          <a:spLocks noChangeArrowheads="1"/>
        </xdr:cNvSpPr>
      </xdr:nvSpPr>
      <xdr:spPr bwMode="auto">
        <a:xfrm>
          <a:off x="2330450" y="1034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136</xdr:row>
      <xdr:rowOff>152400</xdr:rowOff>
    </xdr:from>
    <xdr:to>
      <xdr:col>2</xdr:col>
      <xdr:colOff>0</xdr:colOff>
      <xdr:row>138</xdr:row>
      <xdr:rowOff>6350</xdr:rowOff>
    </xdr:to>
    <xdr:sp macro="" textlink="">
      <xdr:nvSpPr>
        <xdr:cNvPr id="531" name="TextBox 530"/>
        <xdr:cNvSpPr txBox="1">
          <a:spLocks noChangeArrowheads="1"/>
        </xdr:cNvSpPr>
      </xdr:nvSpPr>
      <xdr:spPr bwMode="auto">
        <a:xfrm>
          <a:off x="2330450" y="10344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137</xdr:row>
      <xdr:rowOff>152400</xdr:rowOff>
    </xdr:from>
    <xdr:to>
      <xdr:col>2</xdr:col>
      <xdr:colOff>0</xdr:colOff>
      <xdr:row>139</xdr:row>
      <xdr:rowOff>6350</xdr:rowOff>
    </xdr:to>
    <xdr:sp macro="" textlink="">
      <xdr:nvSpPr>
        <xdr:cNvPr id="532" name="TextBox 531"/>
        <xdr:cNvSpPr txBox="1">
          <a:spLocks noChangeArrowheads="1"/>
        </xdr:cNvSpPr>
      </xdr:nvSpPr>
      <xdr:spPr bwMode="auto">
        <a:xfrm>
          <a:off x="2330450" y="1050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137</xdr:row>
      <xdr:rowOff>152400</xdr:rowOff>
    </xdr:from>
    <xdr:to>
      <xdr:col>2</xdr:col>
      <xdr:colOff>0</xdr:colOff>
      <xdr:row>139</xdr:row>
      <xdr:rowOff>6350</xdr:rowOff>
    </xdr:to>
    <xdr:sp macro="" textlink="">
      <xdr:nvSpPr>
        <xdr:cNvPr id="533" name="TextBox 532"/>
        <xdr:cNvSpPr txBox="1">
          <a:spLocks noChangeArrowheads="1"/>
        </xdr:cNvSpPr>
      </xdr:nvSpPr>
      <xdr:spPr bwMode="auto">
        <a:xfrm>
          <a:off x="2330450" y="1050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137</xdr:row>
      <xdr:rowOff>152400</xdr:rowOff>
    </xdr:from>
    <xdr:to>
      <xdr:col>2</xdr:col>
      <xdr:colOff>0</xdr:colOff>
      <xdr:row>139</xdr:row>
      <xdr:rowOff>6350</xdr:rowOff>
    </xdr:to>
    <xdr:sp macro="" textlink="">
      <xdr:nvSpPr>
        <xdr:cNvPr id="534" name="TextBox 533"/>
        <xdr:cNvSpPr txBox="1">
          <a:spLocks noChangeArrowheads="1"/>
        </xdr:cNvSpPr>
      </xdr:nvSpPr>
      <xdr:spPr bwMode="auto">
        <a:xfrm>
          <a:off x="2330450" y="10502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138</xdr:row>
      <xdr:rowOff>152400</xdr:rowOff>
    </xdr:from>
    <xdr:to>
      <xdr:col>2</xdr:col>
      <xdr:colOff>0</xdr:colOff>
      <xdr:row>140</xdr:row>
      <xdr:rowOff>12700</xdr:rowOff>
    </xdr:to>
    <xdr:sp macro="" textlink="">
      <xdr:nvSpPr>
        <xdr:cNvPr id="535" name="TextBox 534"/>
        <xdr:cNvSpPr txBox="1">
          <a:spLocks noChangeArrowheads="1"/>
        </xdr:cNvSpPr>
      </xdr:nvSpPr>
      <xdr:spPr bwMode="auto">
        <a:xfrm>
          <a:off x="2330450" y="106616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138</xdr:row>
      <xdr:rowOff>152400</xdr:rowOff>
    </xdr:from>
    <xdr:to>
      <xdr:col>2</xdr:col>
      <xdr:colOff>0</xdr:colOff>
      <xdr:row>140</xdr:row>
      <xdr:rowOff>12700</xdr:rowOff>
    </xdr:to>
    <xdr:sp macro="" textlink="">
      <xdr:nvSpPr>
        <xdr:cNvPr id="536" name="TextBox 535"/>
        <xdr:cNvSpPr txBox="1">
          <a:spLocks noChangeArrowheads="1"/>
        </xdr:cNvSpPr>
      </xdr:nvSpPr>
      <xdr:spPr bwMode="auto">
        <a:xfrm>
          <a:off x="2330450" y="106616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138</xdr:row>
      <xdr:rowOff>152400</xdr:rowOff>
    </xdr:from>
    <xdr:to>
      <xdr:col>2</xdr:col>
      <xdr:colOff>0</xdr:colOff>
      <xdr:row>140</xdr:row>
      <xdr:rowOff>12700</xdr:rowOff>
    </xdr:to>
    <xdr:sp macro="" textlink="">
      <xdr:nvSpPr>
        <xdr:cNvPr id="537" name="TextBox 536"/>
        <xdr:cNvSpPr txBox="1">
          <a:spLocks noChangeArrowheads="1"/>
        </xdr:cNvSpPr>
      </xdr:nvSpPr>
      <xdr:spPr bwMode="auto">
        <a:xfrm>
          <a:off x="2330450" y="106616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139</xdr:row>
      <xdr:rowOff>152400</xdr:rowOff>
    </xdr:from>
    <xdr:to>
      <xdr:col>2</xdr:col>
      <xdr:colOff>0</xdr:colOff>
      <xdr:row>141</xdr:row>
      <xdr:rowOff>6350</xdr:rowOff>
    </xdr:to>
    <xdr:sp macro="" textlink="">
      <xdr:nvSpPr>
        <xdr:cNvPr id="538" name="TextBox 537"/>
        <xdr:cNvSpPr txBox="1">
          <a:spLocks noChangeArrowheads="1"/>
        </xdr:cNvSpPr>
      </xdr:nvSpPr>
      <xdr:spPr bwMode="auto">
        <a:xfrm>
          <a:off x="2330450" y="10820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139</xdr:row>
      <xdr:rowOff>152400</xdr:rowOff>
    </xdr:from>
    <xdr:to>
      <xdr:col>2</xdr:col>
      <xdr:colOff>0</xdr:colOff>
      <xdr:row>141</xdr:row>
      <xdr:rowOff>6350</xdr:rowOff>
    </xdr:to>
    <xdr:sp macro="" textlink="">
      <xdr:nvSpPr>
        <xdr:cNvPr id="539" name="TextBox 538"/>
        <xdr:cNvSpPr txBox="1">
          <a:spLocks noChangeArrowheads="1"/>
        </xdr:cNvSpPr>
      </xdr:nvSpPr>
      <xdr:spPr bwMode="auto">
        <a:xfrm>
          <a:off x="2330450" y="10820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540" name="TextBox 539"/>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541" name="TextBox 540"/>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92</xdr:row>
      <xdr:rowOff>146050</xdr:rowOff>
    </xdr:from>
    <xdr:to>
      <xdr:col>1</xdr:col>
      <xdr:colOff>571500</xdr:colOff>
      <xdr:row>93</xdr:row>
      <xdr:rowOff>158750</xdr:rowOff>
    </xdr:to>
    <xdr:sp macro="" textlink="">
      <xdr:nvSpPr>
        <xdr:cNvPr id="542" name="TextBox 541"/>
        <xdr:cNvSpPr txBox="1">
          <a:spLocks noChangeArrowheads="1"/>
        </xdr:cNvSpPr>
      </xdr:nvSpPr>
      <xdr:spPr bwMode="auto">
        <a:xfrm>
          <a:off x="12382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92</xdr:row>
      <xdr:rowOff>146050</xdr:rowOff>
    </xdr:from>
    <xdr:to>
      <xdr:col>1</xdr:col>
      <xdr:colOff>571500</xdr:colOff>
      <xdr:row>93</xdr:row>
      <xdr:rowOff>158750</xdr:rowOff>
    </xdr:to>
    <xdr:sp macro="" textlink="">
      <xdr:nvSpPr>
        <xdr:cNvPr id="543" name="TextBox 542"/>
        <xdr:cNvSpPr txBox="1">
          <a:spLocks noChangeArrowheads="1"/>
        </xdr:cNvSpPr>
      </xdr:nvSpPr>
      <xdr:spPr bwMode="auto">
        <a:xfrm>
          <a:off x="12382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544" name="TextBox 543"/>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545" name="TextBox 544"/>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546" name="TextBox 545"/>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92</xdr:row>
      <xdr:rowOff>146050</xdr:rowOff>
    </xdr:from>
    <xdr:to>
      <xdr:col>1</xdr:col>
      <xdr:colOff>571500</xdr:colOff>
      <xdr:row>93</xdr:row>
      <xdr:rowOff>158750</xdr:rowOff>
    </xdr:to>
    <xdr:sp macro="" textlink="">
      <xdr:nvSpPr>
        <xdr:cNvPr id="547" name="TextBox 546"/>
        <xdr:cNvSpPr txBox="1">
          <a:spLocks noChangeArrowheads="1"/>
        </xdr:cNvSpPr>
      </xdr:nvSpPr>
      <xdr:spPr bwMode="auto">
        <a:xfrm>
          <a:off x="12382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92</xdr:row>
      <xdr:rowOff>146050</xdr:rowOff>
    </xdr:from>
    <xdr:to>
      <xdr:col>1</xdr:col>
      <xdr:colOff>571500</xdr:colOff>
      <xdr:row>93</xdr:row>
      <xdr:rowOff>158750</xdr:rowOff>
    </xdr:to>
    <xdr:sp macro="" textlink="">
      <xdr:nvSpPr>
        <xdr:cNvPr id="548" name="TextBox 547"/>
        <xdr:cNvSpPr txBox="1">
          <a:spLocks noChangeArrowheads="1"/>
        </xdr:cNvSpPr>
      </xdr:nvSpPr>
      <xdr:spPr bwMode="auto">
        <a:xfrm>
          <a:off x="12382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92</xdr:row>
      <xdr:rowOff>146050</xdr:rowOff>
    </xdr:from>
    <xdr:to>
      <xdr:col>1</xdr:col>
      <xdr:colOff>571500</xdr:colOff>
      <xdr:row>93</xdr:row>
      <xdr:rowOff>158750</xdr:rowOff>
    </xdr:to>
    <xdr:sp macro="" textlink="">
      <xdr:nvSpPr>
        <xdr:cNvPr id="549" name="TextBox 548"/>
        <xdr:cNvSpPr txBox="1">
          <a:spLocks noChangeArrowheads="1"/>
        </xdr:cNvSpPr>
      </xdr:nvSpPr>
      <xdr:spPr bwMode="auto">
        <a:xfrm>
          <a:off x="12382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550" name="TextBox 549"/>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551" name="TextBox 550"/>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92</xdr:row>
      <xdr:rowOff>146050</xdr:rowOff>
    </xdr:from>
    <xdr:to>
      <xdr:col>2</xdr:col>
      <xdr:colOff>0</xdr:colOff>
      <xdr:row>93</xdr:row>
      <xdr:rowOff>158750</xdr:rowOff>
    </xdr:to>
    <xdr:sp macro="" textlink="">
      <xdr:nvSpPr>
        <xdr:cNvPr id="552" name="TextBox 551"/>
        <xdr:cNvSpPr txBox="1">
          <a:spLocks noChangeArrowheads="1"/>
        </xdr:cNvSpPr>
      </xdr:nvSpPr>
      <xdr:spPr bwMode="auto">
        <a:xfrm>
          <a:off x="23304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92</xdr:row>
      <xdr:rowOff>146050</xdr:rowOff>
    </xdr:from>
    <xdr:to>
      <xdr:col>2</xdr:col>
      <xdr:colOff>0</xdr:colOff>
      <xdr:row>93</xdr:row>
      <xdr:rowOff>158750</xdr:rowOff>
    </xdr:to>
    <xdr:sp macro="" textlink="">
      <xdr:nvSpPr>
        <xdr:cNvPr id="553" name="TextBox 552"/>
        <xdr:cNvSpPr txBox="1">
          <a:spLocks noChangeArrowheads="1"/>
        </xdr:cNvSpPr>
      </xdr:nvSpPr>
      <xdr:spPr bwMode="auto">
        <a:xfrm>
          <a:off x="23304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554" name="TextBox 553"/>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555" name="TextBox 554"/>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556" name="TextBox 555"/>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92</xdr:row>
      <xdr:rowOff>146050</xdr:rowOff>
    </xdr:from>
    <xdr:to>
      <xdr:col>2</xdr:col>
      <xdr:colOff>0</xdr:colOff>
      <xdr:row>93</xdr:row>
      <xdr:rowOff>158750</xdr:rowOff>
    </xdr:to>
    <xdr:sp macro="" textlink="">
      <xdr:nvSpPr>
        <xdr:cNvPr id="557" name="TextBox 556"/>
        <xdr:cNvSpPr txBox="1">
          <a:spLocks noChangeArrowheads="1"/>
        </xdr:cNvSpPr>
      </xdr:nvSpPr>
      <xdr:spPr bwMode="auto">
        <a:xfrm>
          <a:off x="23304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92</xdr:row>
      <xdr:rowOff>146050</xdr:rowOff>
    </xdr:from>
    <xdr:to>
      <xdr:col>2</xdr:col>
      <xdr:colOff>0</xdr:colOff>
      <xdr:row>93</xdr:row>
      <xdr:rowOff>158750</xdr:rowOff>
    </xdr:to>
    <xdr:sp macro="" textlink="">
      <xdr:nvSpPr>
        <xdr:cNvPr id="558" name="TextBox 557"/>
        <xdr:cNvSpPr txBox="1">
          <a:spLocks noChangeArrowheads="1"/>
        </xdr:cNvSpPr>
      </xdr:nvSpPr>
      <xdr:spPr bwMode="auto">
        <a:xfrm>
          <a:off x="23304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92</xdr:row>
      <xdr:rowOff>146050</xdr:rowOff>
    </xdr:from>
    <xdr:to>
      <xdr:col>2</xdr:col>
      <xdr:colOff>0</xdr:colOff>
      <xdr:row>93</xdr:row>
      <xdr:rowOff>158750</xdr:rowOff>
    </xdr:to>
    <xdr:sp macro="" textlink="">
      <xdr:nvSpPr>
        <xdr:cNvPr id="559" name="TextBox 558"/>
        <xdr:cNvSpPr txBox="1">
          <a:spLocks noChangeArrowheads="1"/>
        </xdr:cNvSpPr>
      </xdr:nvSpPr>
      <xdr:spPr bwMode="auto">
        <a:xfrm>
          <a:off x="2330450" y="33274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83</xdr:row>
      <xdr:rowOff>152400</xdr:rowOff>
    </xdr:from>
    <xdr:to>
      <xdr:col>2</xdr:col>
      <xdr:colOff>0</xdr:colOff>
      <xdr:row>85</xdr:row>
      <xdr:rowOff>0</xdr:rowOff>
    </xdr:to>
    <xdr:sp macro="" textlink="">
      <xdr:nvSpPr>
        <xdr:cNvPr id="560" name="TextBox 559"/>
        <xdr:cNvSpPr txBox="1">
          <a:spLocks noChangeArrowheads="1"/>
        </xdr:cNvSpPr>
      </xdr:nvSpPr>
      <xdr:spPr bwMode="auto">
        <a:xfrm>
          <a:off x="2330450" y="18542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84</xdr:row>
      <xdr:rowOff>146050</xdr:rowOff>
    </xdr:from>
    <xdr:to>
      <xdr:col>2</xdr:col>
      <xdr:colOff>0</xdr:colOff>
      <xdr:row>85</xdr:row>
      <xdr:rowOff>158750</xdr:rowOff>
    </xdr:to>
    <xdr:sp macro="" textlink="">
      <xdr:nvSpPr>
        <xdr:cNvPr id="561" name="TextBox 560"/>
        <xdr:cNvSpPr txBox="1">
          <a:spLocks noChangeArrowheads="1"/>
        </xdr:cNvSpPr>
      </xdr:nvSpPr>
      <xdr:spPr bwMode="auto">
        <a:xfrm>
          <a:off x="2330450" y="20129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84</xdr:row>
      <xdr:rowOff>146050</xdr:rowOff>
    </xdr:from>
    <xdr:to>
      <xdr:col>2</xdr:col>
      <xdr:colOff>0</xdr:colOff>
      <xdr:row>85</xdr:row>
      <xdr:rowOff>158750</xdr:rowOff>
    </xdr:to>
    <xdr:sp macro="" textlink="">
      <xdr:nvSpPr>
        <xdr:cNvPr id="562" name="TextBox 561"/>
        <xdr:cNvSpPr txBox="1">
          <a:spLocks noChangeArrowheads="1"/>
        </xdr:cNvSpPr>
      </xdr:nvSpPr>
      <xdr:spPr bwMode="auto">
        <a:xfrm>
          <a:off x="2330450" y="201295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563" name="TextBox 562"/>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564" name="TextBox 563"/>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565" name="TextBox 564"/>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566" name="TextBox 565"/>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96</xdr:row>
      <xdr:rowOff>146050</xdr:rowOff>
    </xdr:from>
    <xdr:to>
      <xdr:col>1</xdr:col>
      <xdr:colOff>571500</xdr:colOff>
      <xdr:row>98</xdr:row>
      <xdr:rowOff>0</xdr:rowOff>
    </xdr:to>
    <xdr:sp macro="" textlink="">
      <xdr:nvSpPr>
        <xdr:cNvPr id="567" name="TextBox 566"/>
        <xdr:cNvSpPr txBox="1">
          <a:spLocks noChangeArrowheads="1"/>
        </xdr:cNvSpPr>
      </xdr:nvSpPr>
      <xdr:spPr bwMode="auto">
        <a:xfrm>
          <a:off x="12382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568" name="TextBox 567"/>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569" name="TextBox 568"/>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570" name="TextBox 569"/>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571" name="TextBox 570"/>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96</xdr:row>
      <xdr:rowOff>146050</xdr:rowOff>
    </xdr:from>
    <xdr:to>
      <xdr:col>2</xdr:col>
      <xdr:colOff>0</xdr:colOff>
      <xdr:row>98</xdr:row>
      <xdr:rowOff>0</xdr:rowOff>
    </xdr:to>
    <xdr:sp macro="" textlink="">
      <xdr:nvSpPr>
        <xdr:cNvPr id="572" name="TextBox 571"/>
        <xdr:cNvSpPr txBox="1">
          <a:spLocks noChangeArrowheads="1"/>
        </xdr:cNvSpPr>
      </xdr:nvSpPr>
      <xdr:spPr bwMode="auto">
        <a:xfrm>
          <a:off x="2330450" y="39751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573" name="TextBox 572"/>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574" name="TextBox 573"/>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575" name="TextBox 574"/>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576" name="TextBox 575"/>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577" name="TextBox 576"/>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578" name="TextBox 577"/>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91</xdr:row>
      <xdr:rowOff>146050</xdr:rowOff>
    </xdr:from>
    <xdr:to>
      <xdr:col>1</xdr:col>
      <xdr:colOff>571500</xdr:colOff>
      <xdr:row>92</xdr:row>
      <xdr:rowOff>158750</xdr:rowOff>
    </xdr:to>
    <xdr:sp macro="" textlink="">
      <xdr:nvSpPr>
        <xdr:cNvPr id="579" name="TextBox 578"/>
        <xdr:cNvSpPr txBox="1">
          <a:spLocks noChangeArrowheads="1"/>
        </xdr:cNvSpPr>
      </xdr:nvSpPr>
      <xdr:spPr bwMode="auto">
        <a:xfrm>
          <a:off x="12382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580" name="TextBox 579"/>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581" name="TextBox 580"/>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88</xdr:row>
      <xdr:rowOff>146050</xdr:rowOff>
    </xdr:from>
    <xdr:to>
      <xdr:col>1</xdr:col>
      <xdr:colOff>571500</xdr:colOff>
      <xdr:row>89</xdr:row>
      <xdr:rowOff>158750</xdr:rowOff>
    </xdr:to>
    <xdr:sp macro="" textlink="">
      <xdr:nvSpPr>
        <xdr:cNvPr id="582" name="TextBox 581"/>
        <xdr:cNvSpPr txBox="1">
          <a:spLocks noChangeArrowheads="1"/>
        </xdr:cNvSpPr>
      </xdr:nvSpPr>
      <xdr:spPr bwMode="auto">
        <a:xfrm>
          <a:off x="12382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583" name="TextBox 582"/>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584" name="TextBox 583"/>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585" name="TextBox 584"/>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586" name="TextBox 585"/>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587" name="TextBox 586"/>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588" name="TextBox 587"/>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91</xdr:row>
      <xdr:rowOff>146050</xdr:rowOff>
    </xdr:from>
    <xdr:to>
      <xdr:col>2</xdr:col>
      <xdr:colOff>0</xdr:colOff>
      <xdr:row>92</xdr:row>
      <xdr:rowOff>158750</xdr:rowOff>
    </xdr:to>
    <xdr:sp macro="" textlink="">
      <xdr:nvSpPr>
        <xdr:cNvPr id="589" name="TextBox 588"/>
        <xdr:cNvSpPr txBox="1">
          <a:spLocks noChangeArrowheads="1"/>
        </xdr:cNvSpPr>
      </xdr:nvSpPr>
      <xdr:spPr bwMode="auto">
        <a:xfrm>
          <a:off x="2330450" y="31623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590" name="TextBox 589"/>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591" name="TextBox 590"/>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592" name="TextBox 591"/>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107</xdr:row>
      <xdr:rowOff>152400</xdr:rowOff>
    </xdr:from>
    <xdr:to>
      <xdr:col>1</xdr:col>
      <xdr:colOff>571500</xdr:colOff>
      <xdr:row>109</xdr:row>
      <xdr:rowOff>6350</xdr:rowOff>
    </xdr:to>
    <xdr:sp macro="" textlink="">
      <xdr:nvSpPr>
        <xdr:cNvPr id="593" name="TextBox 592"/>
        <xdr:cNvSpPr txBox="1">
          <a:spLocks noChangeArrowheads="1"/>
        </xdr:cNvSpPr>
      </xdr:nvSpPr>
      <xdr:spPr bwMode="auto">
        <a:xfrm>
          <a:off x="12382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107</xdr:row>
      <xdr:rowOff>152400</xdr:rowOff>
    </xdr:from>
    <xdr:to>
      <xdr:col>1</xdr:col>
      <xdr:colOff>571500</xdr:colOff>
      <xdr:row>109</xdr:row>
      <xdr:rowOff>6350</xdr:rowOff>
    </xdr:to>
    <xdr:sp macro="" textlink="">
      <xdr:nvSpPr>
        <xdr:cNvPr id="594" name="TextBox 593"/>
        <xdr:cNvSpPr txBox="1">
          <a:spLocks noChangeArrowheads="1"/>
        </xdr:cNvSpPr>
      </xdr:nvSpPr>
      <xdr:spPr bwMode="auto">
        <a:xfrm>
          <a:off x="12382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107</xdr:row>
      <xdr:rowOff>152400</xdr:rowOff>
    </xdr:from>
    <xdr:to>
      <xdr:col>1</xdr:col>
      <xdr:colOff>571500</xdr:colOff>
      <xdr:row>109</xdr:row>
      <xdr:rowOff>6350</xdr:rowOff>
    </xdr:to>
    <xdr:sp macro="" textlink="">
      <xdr:nvSpPr>
        <xdr:cNvPr id="595" name="TextBox 594"/>
        <xdr:cNvSpPr txBox="1">
          <a:spLocks noChangeArrowheads="1"/>
        </xdr:cNvSpPr>
      </xdr:nvSpPr>
      <xdr:spPr bwMode="auto">
        <a:xfrm>
          <a:off x="12382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107</xdr:row>
      <xdr:rowOff>152400</xdr:rowOff>
    </xdr:from>
    <xdr:to>
      <xdr:col>1</xdr:col>
      <xdr:colOff>571500</xdr:colOff>
      <xdr:row>109</xdr:row>
      <xdr:rowOff>6350</xdr:rowOff>
    </xdr:to>
    <xdr:sp macro="" textlink="">
      <xdr:nvSpPr>
        <xdr:cNvPr id="596" name="TextBox 595"/>
        <xdr:cNvSpPr txBox="1">
          <a:spLocks noChangeArrowheads="1"/>
        </xdr:cNvSpPr>
      </xdr:nvSpPr>
      <xdr:spPr bwMode="auto">
        <a:xfrm>
          <a:off x="12382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107</xdr:row>
      <xdr:rowOff>152400</xdr:rowOff>
    </xdr:from>
    <xdr:to>
      <xdr:col>1</xdr:col>
      <xdr:colOff>571500</xdr:colOff>
      <xdr:row>109</xdr:row>
      <xdr:rowOff>6350</xdr:rowOff>
    </xdr:to>
    <xdr:sp macro="" textlink="">
      <xdr:nvSpPr>
        <xdr:cNvPr id="597" name="TextBox 596"/>
        <xdr:cNvSpPr txBox="1">
          <a:spLocks noChangeArrowheads="1"/>
        </xdr:cNvSpPr>
      </xdr:nvSpPr>
      <xdr:spPr bwMode="auto">
        <a:xfrm>
          <a:off x="12382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107</xdr:row>
      <xdr:rowOff>152400</xdr:rowOff>
    </xdr:from>
    <xdr:to>
      <xdr:col>2</xdr:col>
      <xdr:colOff>0</xdr:colOff>
      <xdr:row>109</xdr:row>
      <xdr:rowOff>6350</xdr:rowOff>
    </xdr:to>
    <xdr:sp macro="" textlink="">
      <xdr:nvSpPr>
        <xdr:cNvPr id="598" name="TextBox 597"/>
        <xdr:cNvSpPr txBox="1">
          <a:spLocks noChangeArrowheads="1"/>
        </xdr:cNvSpPr>
      </xdr:nvSpPr>
      <xdr:spPr bwMode="auto">
        <a:xfrm>
          <a:off x="23304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107</xdr:row>
      <xdr:rowOff>152400</xdr:rowOff>
    </xdr:from>
    <xdr:to>
      <xdr:col>2</xdr:col>
      <xdr:colOff>0</xdr:colOff>
      <xdr:row>109</xdr:row>
      <xdr:rowOff>6350</xdr:rowOff>
    </xdr:to>
    <xdr:sp macro="" textlink="">
      <xdr:nvSpPr>
        <xdr:cNvPr id="599" name="TextBox 598"/>
        <xdr:cNvSpPr txBox="1">
          <a:spLocks noChangeArrowheads="1"/>
        </xdr:cNvSpPr>
      </xdr:nvSpPr>
      <xdr:spPr bwMode="auto">
        <a:xfrm>
          <a:off x="23304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107</xdr:row>
      <xdr:rowOff>152400</xdr:rowOff>
    </xdr:from>
    <xdr:to>
      <xdr:col>2</xdr:col>
      <xdr:colOff>0</xdr:colOff>
      <xdr:row>109</xdr:row>
      <xdr:rowOff>6350</xdr:rowOff>
    </xdr:to>
    <xdr:sp macro="" textlink="">
      <xdr:nvSpPr>
        <xdr:cNvPr id="600" name="TextBox 599"/>
        <xdr:cNvSpPr txBox="1">
          <a:spLocks noChangeArrowheads="1"/>
        </xdr:cNvSpPr>
      </xdr:nvSpPr>
      <xdr:spPr bwMode="auto">
        <a:xfrm>
          <a:off x="23304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107</xdr:row>
      <xdr:rowOff>152400</xdr:rowOff>
    </xdr:from>
    <xdr:to>
      <xdr:col>2</xdr:col>
      <xdr:colOff>0</xdr:colOff>
      <xdr:row>109</xdr:row>
      <xdr:rowOff>6350</xdr:rowOff>
    </xdr:to>
    <xdr:sp macro="" textlink="">
      <xdr:nvSpPr>
        <xdr:cNvPr id="601" name="TextBox 600"/>
        <xdr:cNvSpPr txBox="1">
          <a:spLocks noChangeArrowheads="1"/>
        </xdr:cNvSpPr>
      </xdr:nvSpPr>
      <xdr:spPr bwMode="auto">
        <a:xfrm>
          <a:off x="23304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107</xdr:row>
      <xdr:rowOff>152400</xdr:rowOff>
    </xdr:from>
    <xdr:to>
      <xdr:col>2</xdr:col>
      <xdr:colOff>0</xdr:colOff>
      <xdr:row>109</xdr:row>
      <xdr:rowOff>6350</xdr:rowOff>
    </xdr:to>
    <xdr:sp macro="" textlink="">
      <xdr:nvSpPr>
        <xdr:cNvPr id="602" name="TextBox 601"/>
        <xdr:cNvSpPr txBox="1">
          <a:spLocks noChangeArrowheads="1"/>
        </xdr:cNvSpPr>
      </xdr:nvSpPr>
      <xdr:spPr bwMode="auto">
        <a:xfrm>
          <a:off x="2330450" y="57404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108</xdr:row>
      <xdr:rowOff>152400</xdr:rowOff>
    </xdr:from>
    <xdr:to>
      <xdr:col>1</xdr:col>
      <xdr:colOff>571500</xdr:colOff>
      <xdr:row>110</xdr:row>
      <xdr:rowOff>6350</xdr:rowOff>
    </xdr:to>
    <xdr:sp macro="" textlink="">
      <xdr:nvSpPr>
        <xdr:cNvPr id="603" name="TextBox 602"/>
        <xdr:cNvSpPr txBox="1">
          <a:spLocks noChangeArrowheads="1"/>
        </xdr:cNvSpPr>
      </xdr:nvSpPr>
      <xdr:spPr bwMode="auto">
        <a:xfrm>
          <a:off x="12382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108</xdr:row>
      <xdr:rowOff>152400</xdr:rowOff>
    </xdr:from>
    <xdr:to>
      <xdr:col>1</xdr:col>
      <xdr:colOff>571500</xdr:colOff>
      <xdr:row>110</xdr:row>
      <xdr:rowOff>6350</xdr:rowOff>
    </xdr:to>
    <xdr:sp macro="" textlink="">
      <xdr:nvSpPr>
        <xdr:cNvPr id="604" name="TextBox 603"/>
        <xdr:cNvSpPr txBox="1">
          <a:spLocks noChangeArrowheads="1"/>
        </xdr:cNvSpPr>
      </xdr:nvSpPr>
      <xdr:spPr bwMode="auto">
        <a:xfrm>
          <a:off x="12382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108</xdr:row>
      <xdr:rowOff>152400</xdr:rowOff>
    </xdr:from>
    <xdr:to>
      <xdr:col>1</xdr:col>
      <xdr:colOff>571500</xdr:colOff>
      <xdr:row>110</xdr:row>
      <xdr:rowOff>6350</xdr:rowOff>
    </xdr:to>
    <xdr:sp macro="" textlink="">
      <xdr:nvSpPr>
        <xdr:cNvPr id="605" name="TextBox 604"/>
        <xdr:cNvSpPr txBox="1">
          <a:spLocks noChangeArrowheads="1"/>
        </xdr:cNvSpPr>
      </xdr:nvSpPr>
      <xdr:spPr bwMode="auto">
        <a:xfrm>
          <a:off x="12382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108</xdr:row>
      <xdr:rowOff>152400</xdr:rowOff>
    </xdr:from>
    <xdr:to>
      <xdr:col>1</xdr:col>
      <xdr:colOff>571500</xdr:colOff>
      <xdr:row>110</xdr:row>
      <xdr:rowOff>6350</xdr:rowOff>
    </xdr:to>
    <xdr:sp macro="" textlink="">
      <xdr:nvSpPr>
        <xdr:cNvPr id="606" name="TextBox 605"/>
        <xdr:cNvSpPr txBox="1">
          <a:spLocks noChangeArrowheads="1"/>
        </xdr:cNvSpPr>
      </xdr:nvSpPr>
      <xdr:spPr bwMode="auto">
        <a:xfrm>
          <a:off x="12382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108</xdr:row>
      <xdr:rowOff>152400</xdr:rowOff>
    </xdr:from>
    <xdr:to>
      <xdr:col>1</xdr:col>
      <xdr:colOff>571500</xdr:colOff>
      <xdr:row>110</xdr:row>
      <xdr:rowOff>6350</xdr:rowOff>
    </xdr:to>
    <xdr:sp macro="" textlink="">
      <xdr:nvSpPr>
        <xdr:cNvPr id="607" name="TextBox 606"/>
        <xdr:cNvSpPr txBox="1">
          <a:spLocks noChangeArrowheads="1"/>
        </xdr:cNvSpPr>
      </xdr:nvSpPr>
      <xdr:spPr bwMode="auto">
        <a:xfrm>
          <a:off x="12382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108</xdr:row>
      <xdr:rowOff>152400</xdr:rowOff>
    </xdr:from>
    <xdr:to>
      <xdr:col>2</xdr:col>
      <xdr:colOff>0</xdr:colOff>
      <xdr:row>110</xdr:row>
      <xdr:rowOff>6350</xdr:rowOff>
    </xdr:to>
    <xdr:sp macro="" textlink="">
      <xdr:nvSpPr>
        <xdr:cNvPr id="608" name="TextBox 607"/>
        <xdr:cNvSpPr txBox="1">
          <a:spLocks noChangeArrowheads="1"/>
        </xdr:cNvSpPr>
      </xdr:nvSpPr>
      <xdr:spPr bwMode="auto">
        <a:xfrm>
          <a:off x="23304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108</xdr:row>
      <xdr:rowOff>152400</xdr:rowOff>
    </xdr:from>
    <xdr:to>
      <xdr:col>2</xdr:col>
      <xdr:colOff>0</xdr:colOff>
      <xdr:row>110</xdr:row>
      <xdr:rowOff>6350</xdr:rowOff>
    </xdr:to>
    <xdr:sp macro="" textlink="">
      <xdr:nvSpPr>
        <xdr:cNvPr id="609" name="TextBox 608"/>
        <xdr:cNvSpPr txBox="1">
          <a:spLocks noChangeArrowheads="1"/>
        </xdr:cNvSpPr>
      </xdr:nvSpPr>
      <xdr:spPr bwMode="auto">
        <a:xfrm>
          <a:off x="23304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108</xdr:row>
      <xdr:rowOff>152400</xdr:rowOff>
    </xdr:from>
    <xdr:to>
      <xdr:col>2</xdr:col>
      <xdr:colOff>0</xdr:colOff>
      <xdr:row>110</xdr:row>
      <xdr:rowOff>6350</xdr:rowOff>
    </xdr:to>
    <xdr:sp macro="" textlink="">
      <xdr:nvSpPr>
        <xdr:cNvPr id="610" name="TextBox 609"/>
        <xdr:cNvSpPr txBox="1">
          <a:spLocks noChangeArrowheads="1"/>
        </xdr:cNvSpPr>
      </xdr:nvSpPr>
      <xdr:spPr bwMode="auto">
        <a:xfrm>
          <a:off x="23304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108</xdr:row>
      <xdr:rowOff>152400</xdr:rowOff>
    </xdr:from>
    <xdr:to>
      <xdr:col>2</xdr:col>
      <xdr:colOff>0</xdr:colOff>
      <xdr:row>110</xdr:row>
      <xdr:rowOff>6350</xdr:rowOff>
    </xdr:to>
    <xdr:sp macro="" textlink="">
      <xdr:nvSpPr>
        <xdr:cNvPr id="611" name="TextBox 610"/>
        <xdr:cNvSpPr txBox="1">
          <a:spLocks noChangeArrowheads="1"/>
        </xdr:cNvSpPr>
      </xdr:nvSpPr>
      <xdr:spPr bwMode="auto">
        <a:xfrm>
          <a:off x="23304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108</xdr:row>
      <xdr:rowOff>152400</xdr:rowOff>
    </xdr:from>
    <xdr:to>
      <xdr:col>2</xdr:col>
      <xdr:colOff>0</xdr:colOff>
      <xdr:row>110</xdr:row>
      <xdr:rowOff>6350</xdr:rowOff>
    </xdr:to>
    <xdr:sp macro="" textlink="">
      <xdr:nvSpPr>
        <xdr:cNvPr id="612" name="TextBox 611"/>
        <xdr:cNvSpPr txBox="1">
          <a:spLocks noChangeArrowheads="1"/>
        </xdr:cNvSpPr>
      </xdr:nvSpPr>
      <xdr:spPr bwMode="auto">
        <a:xfrm>
          <a:off x="2330450" y="58991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109</xdr:row>
      <xdr:rowOff>152400</xdr:rowOff>
    </xdr:from>
    <xdr:to>
      <xdr:col>1</xdr:col>
      <xdr:colOff>571500</xdr:colOff>
      <xdr:row>111</xdr:row>
      <xdr:rowOff>6350</xdr:rowOff>
    </xdr:to>
    <xdr:sp macro="" textlink="">
      <xdr:nvSpPr>
        <xdr:cNvPr id="613" name="TextBox 612"/>
        <xdr:cNvSpPr txBox="1">
          <a:spLocks noChangeArrowheads="1"/>
        </xdr:cNvSpPr>
      </xdr:nvSpPr>
      <xdr:spPr bwMode="auto">
        <a:xfrm>
          <a:off x="12382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109</xdr:row>
      <xdr:rowOff>152400</xdr:rowOff>
    </xdr:from>
    <xdr:to>
      <xdr:col>1</xdr:col>
      <xdr:colOff>571500</xdr:colOff>
      <xdr:row>111</xdr:row>
      <xdr:rowOff>6350</xdr:rowOff>
    </xdr:to>
    <xdr:sp macro="" textlink="">
      <xdr:nvSpPr>
        <xdr:cNvPr id="614" name="TextBox 613"/>
        <xdr:cNvSpPr txBox="1">
          <a:spLocks noChangeArrowheads="1"/>
        </xdr:cNvSpPr>
      </xdr:nvSpPr>
      <xdr:spPr bwMode="auto">
        <a:xfrm>
          <a:off x="12382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109</xdr:row>
      <xdr:rowOff>152400</xdr:rowOff>
    </xdr:from>
    <xdr:to>
      <xdr:col>1</xdr:col>
      <xdr:colOff>571500</xdr:colOff>
      <xdr:row>111</xdr:row>
      <xdr:rowOff>6350</xdr:rowOff>
    </xdr:to>
    <xdr:sp macro="" textlink="">
      <xdr:nvSpPr>
        <xdr:cNvPr id="615" name="TextBox 614"/>
        <xdr:cNvSpPr txBox="1">
          <a:spLocks noChangeArrowheads="1"/>
        </xdr:cNvSpPr>
      </xdr:nvSpPr>
      <xdr:spPr bwMode="auto">
        <a:xfrm>
          <a:off x="12382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109</xdr:row>
      <xdr:rowOff>152400</xdr:rowOff>
    </xdr:from>
    <xdr:to>
      <xdr:col>1</xdr:col>
      <xdr:colOff>571500</xdr:colOff>
      <xdr:row>111</xdr:row>
      <xdr:rowOff>6350</xdr:rowOff>
    </xdr:to>
    <xdr:sp macro="" textlink="">
      <xdr:nvSpPr>
        <xdr:cNvPr id="616" name="TextBox 615"/>
        <xdr:cNvSpPr txBox="1">
          <a:spLocks noChangeArrowheads="1"/>
        </xdr:cNvSpPr>
      </xdr:nvSpPr>
      <xdr:spPr bwMode="auto">
        <a:xfrm>
          <a:off x="12382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109</xdr:row>
      <xdr:rowOff>152400</xdr:rowOff>
    </xdr:from>
    <xdr:to>
      <xdr:col>1</xdr:col>
      <xdr:colOff>571500</xdr:colOff>
      <xdr:row>111</xdr:row>
      <xdr:rowOff>6350</xdr:rowOff>
    </xdr:to>
    <xdr:sp macro="" textlink="">
      <xdr:nvSpPr>
        <xdr:cNvPr id="617" name="TextBox 616"/>
        <xdr:cNvSpPr txBox="1">
          <a:spLocks noChangeArrowheads="1"/>
        </xdr:cNvSpPr>
      </xdr:nvSpPr>
      <xdr:spPr bwMode="auto">
        <a:xfrm>
          <a:off x="12382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109</xdr:row>
      <xdr:rowOff>152400</xdr:rowOff>
    </xdr:from>
    <xdr:to>
      <xdr:col>2</xdr:col>
      <xdr:colOff>0</xdr:colOff>
      <xdr:row>111</xdr:row>
      <xdr:rowOff>6350</xdr:rowOff>
    </xdr:to>
    <xdr:sp macro="" textlink="">
      <xdr:nvSpPr>
        <xdr:cNvPr id="618" name="TextBox 617"/>
        <xdr:cNvSpPr txBox="1">
          <a:spLocks noChangeArrowheads="1"/>
        </xdr:cNvSpPr>
      </xdr:nvSpPr>
      <xdr:spPr bwMode="auto">
        <a:xfrm>
          <a:off x="23304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109</xdr:row>
      <xdr:rowOff>152400</xdr:rowOff>
    </xdr:from>
    <xdr:to>
      <xdr:col>2</xdr:col>
      <xdr:colOff>0</xdr:colOff>
      <xdr:row>111</xdr:row>
      <xdr:rowOff>6350</xdr:rowOff>
    </xdr:to>
    <xdr:sp macro="" textlink="">
      <xdr:nvSpPr>
        <xdr:cNvPr id="619" name="TextBox 618"/>
        <xdr:cNvSpPr txBox="1">
          <a:spLocks noChangeArrowheads="1"/>
        </xdr:cNvSpPr>
      </xdr:nvSpPr>
      <xdr:spPr bwMode="auto">
        <a:xfrm>
          <a:off x="23304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109</xdr:row>
      <xdr:rowOff>152400</xdr:rowOff>
    </xdr:from>
    <xdr:to>
      <xdr:col>2</xdr:col>
      <xdr:colOff>0</xdr:colOff>
      <xdr:row>111</xdr:row>
      <xdr:rowOff>6350</xdr:rowOff>
    </xdr:to>
    <xdr:sp macro="" textlink="">
      <xdr:nvSpPr>
        <xdr:cNvPr id="620" name="TextBox 619"/>
        <xdr:cNvSpPr txBox="1">
          <a:spLocks noChangeArrowheads="1"/>
        </xdr:cNvSpPr>
      </xdr:nvSpPr>
      <xdr:spPr bwMode="auto">
        <a:xfrm>
          <a:off x="23304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109</xdr:row>
      <xdr:rowOff>152400</xdr:rowOff>
    </xdr:from>
    <xdr:to>
      <xdr:col>2</xdr:col>
      <xdr:colOff>0</xdr:colOff>
      <xdr:row>111</xdr:row>
      <xdr:rowOff>6350</xdr:rowOff>
    </xdr:to>
    <xdr:sp macro="" textlink="">
      <xdr:nvSpPr>
        <xdr:cNvPr id="621" name="TextBox 620"/>
        <xdr:cNvSpPr txBox="1">
          <a:spLocks noChangeArrowheads="1"/>
        </xdr:cNvSpPr>
      </xdr:nvSpPr>
      <xdr:spPr bwMode="auto">
        <a:xfrm>
          <a:off x="23304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109</xdr:row>
      <xdr:rowOff>152400</xdr:rowOff>
    </xdr:from>
    <xdr:to>
      <xdr:col>2</xdr:col>
      <xdr:colOff>0</xdr:colOff>
      <xdr:row>111</xdr:row>
      <xdr:rowOff>6350</xdr:rowOff>
    </xdr:to>
    <xdr:sp macro="" textlink="">
      <xdr:nvSpPr>
        <xdr:cNvPr id="622" name="TextBox 621"/>
        <xdr:cNvSpPr txBox="1">
          <a:spLocks noChangeArrowheads="1"/>
        </xdr:cNvSpPr>
      </xdr:nvSpPr>
      <xdr:spPr bwMode="auto">
        <a:xfrm>
          <a:off x="2330450" y="605790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110</xdr:row>
      <xdr:rowOff>152400</xdr:rowOff>
    </xdr:from>
    <xdr:to>
      <xdr:col>1</xdr:col>
      <xdr:colOff>571500</xdr:colOff>
      <xdr:row>112</xdr:row>
      <xdr:rowOff>6350</xdr:rowOff>
    </xdr:to>
    <xdr:sp macro="" textlink="">
      <xdr:nvSpPr>
        <xdr:cNvPr id="623" name="TextBox 622"/>
        <xdr:cNvSpPr txBox="1">
          <a:spLocks noChangeArrowheads="1"/>
        </xdr:cNvSpPr>
      </xdr:nvSpPr>
      <xdr:spPr bwMode="auto">
        <a:xfrm>
          <a:off x="12382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110</xdr:row>
      <xdr:rowOff>152400</xdr:rowOff>
    </xdr:from>
    <xdr:to>
      <xdr:col>1</xdr:col>
      <xdr:colOff>571500</xdr:colOff>
      <xdr:row>112</xdr:row>
      <xdr:rowOff>6350</xdr:rowOff>
    </xdr:to>
    <xdr:sp macro="" textlink="">
      <xdr:nvSpPr>
        <xdr:cNvPr id="624" name="TextBox 623"/>
        <xdr:cNvSpPr txBox="1">
          <a:spLocks noChangeArrowheads="1"/>
        </xdr:cNvSpPr>
      </xdr:nvSpPr>
      <xdr:spPr bwMode="auto">
        <a:xfrm>
          <a:off x="12382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110</xdr:row>
      <xdr:rowOff>152400</xdr:rowOff>
    </xdr:from>
    <xdr:to>
      <xdr:col>1</xdr:col>
      <xdr:colOff>571500</xdr:colOff>
      <xdr:row>112</xdr:row>
      <xdr:rowOff>6350</xdr:rowOff>
    </xdr:to>
    <xdr:sp macro="" textlink="">
      <xdr:nvSpPr>
        <xdr:cNvPr id="625" name="TextBox 624"/>
        <xdr:cNvSpPr txBox="1">
          <a:spLocks noChangeArrowheads="1"/>
        </xdr:cNvSpPr>
      </xdr:nvSpPr>
      <xdr:spPr bwMode="auto">
        <a:xfrm>
          <a:off x="12382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110</xdr:row>
      <xdr:rowOff>152400</xdr:rowOff>
    </xdr:from>
    <xdr:to>
      <xdr:col>1</xdr:col>
      <xdr:colOff>571500</xdr:colOff>
      <xdr:row>112</xdr:row>
      <xdr:rowOff>6350</xdr:rowOff>
    </xdr:to>
    <xdr:sp macro="" textlink="">
      <xdr:nvSpPr>
        <xdr:cNvPr id="626" name="TextBox 625"/>
        <xdr:cNvSpPr txBox="1">
          <a:spLocks noChangeArrowheads="1"/>
        </xdr:cNvSpPr>
      </xdr:nvSpPr>
      <xdr:spPr bwMode="auto">
        <a:xfrm>
          <a:off x="12382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1</xdr:col>
      <xdr:colOff>571500</xdr:colOff>
      <xdr:row>110</xdr:row>
      <xdr:rowOff>152400</xdr:rowOff>
    </xdr:from>
    <xdr:to>
      <xdr:col>1</xdr:col>
      <xdr:colOff>571500</xdr:colOff>
      <xdr:row>112</xdr:row>
      <xdr:rowOff>6350</xdr:rowOff>
    </xdr:to>
    <xdr:sp macro="" textlink="">
      <xdr:nvSpPr>
        <xdr:cNvPr id="627" name="TextBox 626"/>
        <xdr:cNvSpPr txBox="1">
          <a:spLocks noChangeArrowheads="1"/>
        </xdr:cNvSpPr>
      </xdr:nvSpPr>
      <xdr:spPr bwMode="auto">
        <a:xfrm>
          <a:off x="12382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110</xdr:row>
      <xdr:rowOff>152400</xdr:rowOff>
    </xdr:from>
    <xdr:to>
      <xdr:col>2</xdr:col>
      <xdr:colOff>0</xdr:colOff>
      <xdr:row>112</xdr:row>
      <xdr:rowOff>6350</xdr:rowOff>
    </xdr:to>
    <xdr:sp macro="" textlink="">
      <xdr:nvSpPr>
        <xdr:cNvPr id="628" name="TextBox 627"/>
        <xdr:cNvSpPr txBox="1">
          <a:spLocks noChangeArrowheads="1"/>
        </xdr:cNvSpPr>
      </xdr:nvSpPr>
      <xdr:spPr bwMode="auto">
        <a:xfrm>
          <a:off x="23304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110</xdr:row>
      <xdr:rowOff>152400</xdr:rowOff>
    </xdr:from>
    <xdr:to>
      <xdr:col>2</xdr:col>
      <xdr:colOff>0</xdr:colOff>
      <xdr:row>112</xdr:row>
      <xdr:rowOff>6350</xdr:rowOff>
    </xdr:to>
    <xdr:sp macro="" textlink="">
      <xdr:nvSpPr>
        <xdr:cNvPr id="629" name="TextBox 628"/>
        <xdr:cNvSpPr txBox="1">
          <a:spLocks noChangeArrowheads="1"/>
        </xdr:cNvSpPr>
      </xdr:nvSpPr>
      <xdr:spPr bwMode="auto">
        <a:xfrm>
          <a:off x="23304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110</xdr:row>
      <xdr:rowOff>152400</xdr:rowOff>
    </xdr:from>
    <xdr:to>
      <xdr:col>2</xdr:col>
      <xdr:colOff>0</xdr:colOff>
      <xdr:row>112</xdr:row>
      <xdr:rowOff>6350</xdr:rowOff>
    </xdr:to>
    <xdr:sp macro="" textlink="">
      <xdr:nvSpPr>
        <xdr:cNvPr id="630" name="TextBox 629"/>
        <xdr:cNvSpPr txBox="1">
          <a:spLocks noChangeArrowheads="1"/>
        </xdr:cNvSpPr>
      </xdr:nvSpPr>
      <xdr:spPr bwMode="auto">
        <a:xfrm>
          <a:off x="23304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110</xdr:row>
      <xdr:rowOff>152400</xdr:rowOff>
    </xdr:from>
    <xdr:to>
      <xdr:col>2</xdr:col>
      <xdr:colOff>0</xdr:colOff>
      <xdr:row>112</xdr:row>
      <xdr:rowOff>6350</xdr:rowOff>
    </xdr:to>
    <xdr:sp macro="" textlink="">
      <xdr:nvSpPr>
        <xdr:cNvPr id="631" name="TextBox 630"/>
        <xdr:cNvSpPr txBox="1">
          <a:spLocks noChangeArrowheads="1"/>
        </xdr:cNvSpPr>
      </xdr:nvSpPr>
      <xdr:spPr bwMode="auto">
        <a:xfrm>
          <a:off x="23304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110</xdr:row>
      <xdr:rowOff>152400</xdr:rowOff>
    </xdr:from>
    <xdr:to>
      <xdr:col>2</xdr:col>
      <xdr:colOff>0</xdr:colOff>
      <xdr:row>112</xdr:row>
      <xdr:rowOff>6350</xdr:rowOff>
    </xdr:to>
    <xdr:sp macro="" textlink="">
      <xdr:nvSpPr>
        <xdr:cNvPr id="632" name="TextBox 631"/>
        <xdr:cNvSpPr txBox="1">
          <a:spLocks noChangeArrowheads="1"/>
        </xdr:cNvSpPr>
      </xdr:nvSpPr>
      <xdr:spPr bwMode="auto">
        <a:xfrm>
          <a:off x="2330450" y="6216650"/>
          <a:ext cx="0" cy="171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633" name="TextBox 632"/>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634" name="TextBox 633"/>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635" name="TextBox 634"/>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636" name="TextBox 635"/>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637" name="TextBox 636"/>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638" name="TextBox 637"/>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639" name="TextBox 638"/>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640" name="TextBox 639"/>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641" name="TextBox 640"/>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88</xdr:row>
      <xdr:rowOff>146050</xdr:rowOff>
    </xdr:from>
    <xdr:to>
      <xdr:col>2</xdr:col>
      <xdr:colOff>0</xdr:colOff>
      <xdr:row>89</xdr:row>
      <xdr:rowOff>158750</xdr:rowOff>
    </xdr:to>
    <xdr:sp macro="" textlink="">
      <xdr:nvSpPr>
        <xdr:cNvPr id="642" name="TextBox 641"/>
        <xdr:cNvSpPr txBox="1">
          <a:spLocks noChangeArrowheads="1"/>
        </xdr:cNvSpPr>
      </xdr:nvSpPr>
      <xdr:spPr bwMode="auto">
        <a:xfrm>
          <a:off x="2330450" y="26670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643" name="TextBox 642"/>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644" name="TextBox 643"/>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645" name="TextBox 644"/>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646" name="TextBox 645"/>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2</xdr:col>
      <xdr:colOff>0</xdr:colOff>
      <xdr:row>87</xdr:row>
      <xdr:rowOff>146050</xdr:rowOff>
    </xdr:from>
    <xdr:to>
      <xdr:col>2</xdr:col>
      <xdr:colOff>0</xdr:colOff>
      <xdr:row>88</xdr:row>
      <xdr:rowOff>158750</xdr:rowOff>
    </xdr:to>
    <xdr:sp macro="" textlink="">
      <xdr:nvSpPr>
        <xdr:cNvPr id="647" name="TextBox 646"/>
        <xdr:cNvSpPr txBox="1">
          <a:spLocks noChangeArrowheads="1"/>
        </xdr:cNvSpPr>
      </xdr:nvSpPr>
      <xdr:spPr bwMode="auto">
        <a:xfrm>
          <a:off x="2330450" y="2501900"/>
          <a:ext cx="0" cy="1778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ohn/Downloads/Users/John/Dropbox/The%20CLAM/THE_CLAM_v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KItana/Documents/Transition%20to%20new%20laptop-28-08-17/desktop/MFI%20TNA/Certification%20TAs/PD-ACSI/Tool/MFI%20SME%20Client%20CFAnalyser%20Tool%20v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John/Google%20Drive/ENCLUDE/Unguka_Bank_Rwanda_446/Working%20Documents/PHASE%20II/PilotTraining/PilotTrainingMaterials/THE_CLAM_UB_v05B_PilotTest_v01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John/Downloads/Users/John/Google%20Drive/ENCLUDE/Unguka_Bank_Rwanda_446/Working%20Documents/PHASE%20II/PilotTraining/PilotTrainingMaterials/THE_CLAM_UB_v05B_PilotTest_v01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KItana/Documents/Transition%20to%20new%20laptop-28-08-17/desktop/MFI%20TNA/Certification%20TAs/PD-ACSI/Tool/Copy%20of%20MFI%20SME%20Client%20CFAnalyser%20Tool%20v35%20(00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eneral Information"/>
      <sheetName val="MSE"/>
      <sheetName val="AGRI"/>
      <sheetName val="ANIMAL"/>
      <sheetName val="Collateral"/>
      <sheetName val="PMT Sched."/>
    </sheetNames>
    <sheetDataSet>
      <sheetData sheetId="0">
        <row r="95">
          <cell r="C95" t="str">
            <v>Bullet</v>
          </cell>
        </row>
      </sheetData>
      <sheetData sheetId="1"/>
      <sheetData sheetId="2"/>
      <sheetData sheetId="3"/>
      <sheetData sheetId="4"/>
      <sheetData sheetId="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Loan Request"/>
      <sheetName val="Client Information"/>
      <sheetName val="Business and Character Assess."/>
      <sheetName val="IS"/>
      <sheetName val="BS"/>
      <sheetName val="CF Historical"/>
      <sheetName val="CF Projected"/>
      <sheetName val="Collateral Worksheet"/>
      <sheetName val="Financial Comparison Summary"/>
      <sheetName val="Summary and Decision Sheet"/>
      <sheetName val="Document Checklist"/>
      <sheetName val="WB E&amp;S Requirements"/>
      <sheetName val="Repayment Schedule"/>
      <sheetName val="Instructions - Tool Guide"/>
      <sheetName val="OLD Environmental Worksheet"/>
      <sheetName val="Old Environmental Summary"/>
      <sheetName val="Keys"/>
    </sheetNames>
    <sheetDataSet>
      <sheetData sheetId="0"/>
      <sheetData sheetId="1"/>
      <sheetData sheetId="2"/>
      <sheetData sheetId="3"/>
      <sheetData sheetId="4"/>
      <sheetData sheetId="5"/>
      <sheetData sheetId="6">
        <row r="4">
          <cell r="D4" t="str">
            <v>Quarterly</v>
          </cell>
        </row>
        <row r="11">
          <cell r="C11">
            <v>0</v>
          </cell>
        </row>
      </sheetData>
      <sheetData sheetId="7"/>
      <sheetData sheetId="8"/>
      <sheetData sheetId="9"/>
      <sheetData sheetId="10"/>
      <sheetData sheetId="11"/>
      <sheetData sheetId="12"/>
      <sheetData sheetId="13"/>
      <sheetData sheetId="14"/>
      <sheetData sheetId="15"/>
      <sheetData sheetId="16">
        <row r="8">
          <cell r="B8" t="str">
            <v>Monthly</v>
          </cell>
        </row>
        <row r="89">
          <cell r="B89" t="str">
            <v>Estimated</v>
          </cell>
        </row>
        <row r="90">
          <cell r="B90" t="str">
            <v>Bookkeeper</v>
          </cell>
        </row>
        <row r="91">
          <cell r="B91" t="str">
            <v>Internal Accountant</v>
          </cell>
        </row>
        <row r="92">
          <cell r="B92" t="str">
            <v>External Accountant</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SER GUIDE"/>
      <sheetName val="Cover Sheet"/>
      <sheetName val="MSME"/>
      <sheetName val="AGRI"/>
      <sheetName val="ANIMAL"/>
      <sheetName val="VC TransactionMap"/>
      <sheetName val="Cashflow"/>
      <sheetName val="Calculations &amp; Comments"/>
      <sheetName val="Stock-Inventory"/>
      <sheetName val="Fixed Asset &amp; Equipement"/>
      <sheetName val="Collateral"/>
      <sheetName val="Decision Sheet"/>
      <sheetName val="PMT Sched."/>
      <sheetName val="MenuMaster"/>
    </sheetNames>
    <sheetDataSet>
      <sheetData sheetId="0"/>
      <sheetData sheetId="1">
        <row r="30">
          <cell r="D30" t="str">
            <v>Quarterly</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USER GUIDE"/>
      <sheetName val="Cover Sheet"/>
      <sheetName val="MSME"/>
      <sheetName val="AGRI"/>
      <sheetName val="ANIMAL"/>
      <sheetName val="VC TransactionMap"/>
      <sheetName val="Cashflow"/>
      <sheetName val="Calculations &amp; Comments"/>
      <sheetName val="Stock-Inventory"/>
      <sheetName val="Fixed Asset &amp; Equipement"/>
      <sheetName val="Collateral"/>
      <sheetName val="Decision Sheet"/>
      <sheetName val="PMT Sched."/>
      <sheetName val="MenuMaster"/>
    </sheetNames>
    <sheetDataSet>
      <sheetData sheetId="0"/>
      <sheetData sheetId="1">
        <row r="30">
          <cell r="D30" t="str">
            <v>Monthly</v>
          </cell>
        </row>
      </sheetData>
      <sheetData sheetId="2"/>
      <sheetData sheetId="3"/>
      <sheetData sheetId="4"/>
      <sheetData sheetId="5"/>
      <sheetData sheetId="6"/>
      <sheetData sheetId="7"/>
      <sheetData sheetId="8"/>
      <sheetData sheetId="9"/>
      <sheetData sheetId="10"/>
      <sheetData sheetId="11"/>
      <sheetData sheetId="12"/>
      <sheetData sheetId="13">
        <row r="6">
          <cell r="E6" t="str">
            <v>Agriculture</v>
          </cell>
        </row>
        <row r="7">
          <cell r="E7" t="str">
            <v>Animal_Husbandry</v>
          </cell>
        </row>
        <row r="8">
          <cell r="E8" t="str">
            <v>Construction</v>
          </cell>
        </row>
        <row r="9">
          <cell r="E9" t="str">
            <v>Industry</v>
          </cell>
        </row>
        <row r="10">
          <cell r="E10" t="str">
            <v>Services</v>
          </cell>
        </row>
        <row r="53">
          <cell r="H53" t="str">
            <v>Undefined</v>
          </cell>
          <cell r="I53" t="str">
            <v>Input suppler</v>
          </cell>
          <cell r="J53" t="str">
            <v>Producer</v>
          </cell>
          <cell r="K53" t="str">
            <v>Agg/offtaker</v>
          </cell>
          <cell r="L53" t="str">
            <v>Processor</v>
          </cell>
          <cell r="M53" t="str">
            <v>Transporter</v>
          </cell>
        </row>
        <row r="54">
          <cell r="G54" t="str">
            <v>Egg</v>
          </cell>
          <cell r="H54">
            <v>100</v>
          </cell>
          <cell r="I54">
            <v>101</v>
          </cell>
          <cell r="J54">
            <v>102</v>
          </cell>
          <cell r="K54">
            <v>103</v>
          </cell>
          <cell r="L54">
            <v>104</v>
          </cell>
          <cell r="M54">
            <v>105</v>
          </cell>
        </row>
        <row r="55">
          <cell r="G55" t="str">
            <v>Potato</v>
          </cell>
          <cell r="H55">
            <v>200</v>
          </cell>
          <cell r="I55">
            <v>201</v>
          </cell>
          <cell r="J55">
            <v>202</v>
          </cell>
          <cell r="K55">
            <v>203</v>
          </cell>
          <cell r="L55">
            <v>204</v>
          </cell>
          <cell r="M55">
            <v>205</v>
          </cell>
        </row>
        <row r="56">
          <cell r="G56" t="str">
            <v>Rice</v>
          </cell>
          <cell r="H56">
            <v>300</v>
          </cell>
          <cell r="I56">
            <v>301</v>
          </cell>
          <cell r="J56">
            <v>302</v>
          </cell>
          <cell r="K56">
            <v>303</v>
          </cell>
          <cell r="L56">
            <v>304</v>
          </cell>
          <cell r="M56">
            <v>305</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nstructions - Tool Guide"/>
      <sheetName val="Loan Request"/>
      <sheetName val="Client Information"/>
      <sheetName val="Business and Character Assess."/>
      <sheetName val="Printable CF Worksheet"/>
      <sheetName val="CF Historical"/>
      <sheetName val="CF Projected"/>
      <sheetName val="BS IS"/>
      <sheetName val="Collateral Worksheet"/>
      <sheetName val="Summary and Decision Sheet"/>
      <sheetName val="Document Checklist"/>
      <sheetName val="WB E&amp;S Requirements"/>
      <sheetName val="Repayment Schedule"/>
      <sheetName val="Key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4">
          <cell r="A64" t="str">
            <v>Savings record</v>
          </cell>
        </row>
        <row r="67">
          <cell r="A67" t="str">
            <v>Responsiveness</v>
          </cell>
        </row>
        <row r="73">
          <cell r="A73" t="str">
            <v>3rd Party Opinion</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published="0">
    <tabColor theme="9" tint="0.59999389629810485"/>
  </sheetPr>
  <dimension ref="B2:L17"/>
  <sheetViews>
    <sheetView showGridLines="0" topLeftCell="B1" zoomScale="140" zoomScaleNormal="140" workbookViewId="0">
      <selection activeCell="N7" sqref="N7"/>
    </sheetView>
  </sheetViews>
  <sheetFormatPr defaultRowHeight="11.25"/>
  <cols>
    <col min="1" max="1" width="8.7109375" style="629"/>
    <col min="2" max="2" width="14.28515625" style="629" customWidth="1"/>
    <col min="3" max="3" width="13.28515625" style="629" customWidth="1"/>
    <col min="4" max="257" width="8.7109375" style="629"/>
    <col min="258" max="258" width="14.28515625" style="629" customWidth="1"/>
    <col min="259" max="259" width="13.28515625" style="629" customWidth="1"/>
    <col min="260" max="513" width="8.7109375" style="629"/>
    <col min="514" max="514" width="14.28515625" style="629" customWidth="1"/>
    <col min="515" max="515" width="13.28515625" style="629" customWidth="1"/>
    <col min="516" max="769" width="8.7109375" style="629"/>
    <col min="770" max="770" width="14.28515625" style="629" customWidth="1"/>
    <col min="771" max="771" width="13.28515625" style="629" customWidth="1"/>
    <col min="772" max="1025" width="8.7109375" style="629"/>
    <col min="1026" max="1026" width="14.28515625" style="629" customWidth="1"/>
    <col min="1027" max="1027" width="13.28515625" style="629" customWidth="1"/>
    <col min="1028" max="1281" width="8.7109375" style="629"/>
    <col min="1282" max="1282" width="14.28515625" style="629" customWidth="1"/>
    <col min="1283" max="1283" width="13.28515625" style="629" customWidth="1"/>
    <col min="1284" max="1537" width="8.7109375" style="629"/>
    <col min="1538" max="1538" width="14.28515625" style="629" customWidth="1"/>
    <col min="1539" max="1539" width="13.28515625" style="629" customWidth="1"/>
    <col min="1540" max="1793" width="8.7109375" style="629"/>
    <col min="1794" max="1794" width="14.28515625" style="629" customWidth="1"/>
    <col min="1795" max="1795" width="13.28515625" style="629" customWidth="1"/>
    <col min="1796" max="2049" width="8.7109375" style="629"/>
    <col min="2050" max="2050" width="14.28515625" style="629" customWidth="1"/>
    <col min="2051" max="2051" width="13.28515625" style="629" customWidth="1"/>
    <col min="2052" max="2305" width="8.7109375" style="629"/>
    <col min="2306" max="2306" width="14.28515625" style="629" customWidth="1"/>
    <col min="2307" max="2307" width="13.28515625" style="629" customWidth="1"/>
    <col min="2308" max="2561" width="8.7109375" style="629"/>
    <col min="2562" max="2562" width="14.28515625" style="629" customWidth="1"/>
    <col min="2563" max="2563" width="13.28515625" style="629" customWidth="1"/>
    <col min="2564" max="2817" width="8.7109375" style="629"/>
    <col min="2818" max="2818" width="14.28515625" style="629" customWidth="1"/>
    <col min="2819" max="2819" width="13.28515625" style="629" customWidth="1"/>
    <col min="2820" max="3073" width="8.7109375" style="629"/>
    <col min="3074" max="3074" width="14.28515625" style="629" customWidth="1"/>
    <col min="3075" max="3075" width="13.28515625" style="629" customWidth="1"/>
    <col min="3076" max="3329" width="8.7109375" style="629"/>
    <col min="3330" max="3330" width="14.28515625" style="629" customWidth="1"/>
    <col min="3331" max="3331" width="13.28515625" style="629" customWidth="1"/>
    <col min="3332" max="3585" width="8.7109375" style="629"/>
    <col min="3586" max="3586" width="14.28515625" style="629" customWidth="1"/>
    <col min="3587" max="3587" width="13.28515625" style="629" customWidth="1"/>
    <col min="3588" max="3841" width="8.7109375" style="629"/>
    <col min="3842" max="3842" width="14.28515625" style="629" customWidth="1"/>
    <col min="3843" max="3843" width="13.28515625" style="629" customWidth="1"/>
    <col min="3844" max="4097" width="8.7109375" style="629"/>
    <col min="4098" max="4098" width="14.28515625" style="629" customWidth="1"/>
    <col min="4099" max="4099" width="13.28515625" style="629" customWidth="1"/>
    <col min="4100" max="4353" width="8.7109375" style="629"/>
    <col min="4354" max="4354" width="14.28515625" style="629" customWidth="1"/>
    <col min="4355" max="4355" width="13.28515625" style="629" customWidth="1"/>
    <col min="4356" max="4609" width="8.7109375" style="629"/>
    <col min="4610" max="4610" width="14.28515625" style="629" customWidth="1"/>
    <col min="4611" max="4611" width="13.28515625" style="629" customWidth="1"/>
    <col min="4612" max="4865" width="8.7109375" style="629"/>
    <col min="4866" max="4866" width="14.28515625" style="629" customWidth="1"/>
    <col min="4867" max="4867" width="13.28515625" style="629" customWidth="1"/>
    <col min="4868" max="5121" width="8.7109375" style="629"/>
    <col min="5122" max="5122" width="14.28515625" style="629" customWidth="1"/>
    <col min="5123" max="5123" width="13.28515625" style="629" customWidth="1"/>
    <col min="5124" max="5377" width="8.7109375" style="629"/>
    <col min="5378" max="5378" width="14.28515625" style="629" customWidth="1"/>
    <col min="5379" max="5379" width="13.28515625" style="629" customWidth="1"/>
    <col min="5380" max="5633" width="8.7109375" style="629"/>
    <col min="5634" max="5634" width="14.28515625" style="629" customWidth="1"/>
    <col min="5635" max="5635" width="13.28515625" style="629" customWidth="1"/>
    <col min="5636" max="5889" width="8.7109375" style="629"/>
    <col min="5890" max="5890" width="14.28515625" style="629" customWidth="1"/>
    <col min="5891" max="5891" width="13.28515625" style="629" customWidth="1"/>
    <col min="5892" max="6145" width="8.7109375" style="629"/>
    <col min="6146" max="6146" width="14.28515625" style="629" customWidth="1"/>
    <col min="6147" max="6147" width="13.28515625" style="629" customWidth="1"/>
    <col min="6148" max="6401" width="8.7109375" style="629"/>
    <col min="6402" max="6402" width="14.28515625" style="629" customWidth="1"/>
    <col min="6403" max="6403" width="13.28515625" style="629" customWidth="1"/>
    <col min="6404" max="6657" width="8.7109375" style="629"/>
    <col min="6658" max="6658" width="14.28515625" style="629" customWidth="1"/>
    <col min="6659" max="6659" width="13.28515625" style="629" customWidth="1"/>
    <col min="6660" max="6913" width="8.7109375" style="629"/>
    <col min="6914" max="6914" width="14.28515625" style="629" customWidth="1"/>
    <col min="6915" max="6915" width="13.28515625" style="629" customWidth="1"/>
    <col min="6916" max="7169" width="8.7109375" style="629"/>
    <col min="7170" max="7170" width="14.28515625" style="629" customWidth="1"/>
    <col min="7171" max="7171" width="13.28515625" style="629" customWidth="1"/>
    <col min="7172" max="7425" width="8.7109375" style="629"/>
    <col min="7426" max="7426" width="14.28515625" style="629" customWidth="1"/>
    <col min="7427" max="7427" width="13.28515625" style="629" customWidth="1"/>
    <col min="7428" max="7681" width="8.7109375" style="629"/>
    <col min="7682" max="7682" width="14.28515625" style="629" customWidth="1"/>
    <col min="7683" max="7683" width="13.28515625" style="629" customWidth="1"/>
    <col min="7684" max="7937" width="8.7109375" style="629"/>
    <col min="7938" max="7938" width="14.28515625" style="629" customWidth="1"/>
    <col min="7939" max="7939" width="13.28515625" style="629" customWidth="1"/>
    <col min="7940" max="8193" width="8.7109375" style="629"/>
    <col min="8194" max="8194" width="14.28515625" style="629" customWidth="1"/>
    <col min="8195" max="8195" width="13.28515625" style="629" customWidth="1"/>
    <col min="8196" max="8449" width="8.7109375" style="629"/>
    <col min="8450" max="8450" width="14.28515625" style="629" customWidth="1"/>
    <col min="8451" max="8451" width="13.28515625" style="629" customWidth="1"/>
    <col min="8452" max="8705" width="8.7109375" style="629"/>
    <col min="8706" max="8706" width="14.28515625" style="629" customWidth="1"/>
    <col min="8707" max="8707" width="13.28515625" style="629" customWidth="1"/>
    <col min="8708" max="8961" width="8.7109375" style="629"/>
    <col min="8962" max="8962" width="14.28515625" style="629" customWidth="1"/>
    <col min="8963" max="8963" width="13.28515625" style="629" customWidth="1"/>
    <col min="8964" max="9217" width="8.7109375" style="629"/>
    <col min="9218" max="9218" width="14.28515625" style="629" customWidth="1"/>
    <col min="9219" max="9219" width="13.28515625" style="629" customWidth="1"/>
    <col min="9220" max="9473" width="8.7109375" style="629"/>
    <col min="9474" max="9474" width="14.28515625" style="629" customWidth="1"/>
    <col min="9475" max="9475" width="13.28515625" style="629" customWidth="1"/>
    <col min="9476" max="9729" width="8.7109375" style="629"/>
    <col min="9730" max="9730" width="14.28515625" style="629" customWidth="1"/>
    <col min="9731" max="9731" width="13.28515625" style="629" customWidth="1"/>
    <col min="9732" max="9985" width="8.7109375" style="629"/>
    <col min="9986" max="9986" width="14.28515625" style="629" customWidth="1"/>
    <col min="9987" max="9987" width="13.28515625" style="629" customWidth="1"/>
    <col min="9988" max="10241" width="8.7109375" style="629"/>
    <col min="10242" max="10242" width="14.28515625" style="629" customWidth="1"/>
    <col min="10243" max="10243" width="13.28515625" style="629" customWidth="1"/>
    <col min="10244" max="10497" width="8.7109375" style="629"/>
    <col min="10498" max="10498" width="14.28515625" style="629" customWidth="1"/>
    <col min="10499" max="10499" width="13.28515625" style="629" customWidth="1"/>
    <col min="10500" max="10753" width="8.7109375" style="629"/>
    <col min="10754" max="10754" width="14.28515625" style="629" customWidth="1"/>
    <col min="10755" max="10755" width="13.28515625" style="629" customWidth="1"/>
    <col min="10756" max="11009" width="8.7109375" style="629"/>
    <col min="11010" max="11010" width="14.28515625" style="629" customWidth="1"/>
    <col min="11011" max="11011" width="13.28515625" style="629" customWidth="1"/>
    <col min="11012" max="11265" width="8.7109375" style="629"/>
    <col min="11266" max="11266" width="14.28515625" style="629" customWidth="1"/>
    <col min="11267" max="11267" width="13.28515625" style="629" customWidth="1"/>
    <col min="11268" max="11521" width="8.7109375" style="629"/>
    <col min="11522" max="11522" width="14.28515625" style="629" customWidth="1"/>
    <col min="11523" max="11523" width="13.28515625" style="629" customWidth="1"/>
    <col min="11524" max="11777" width="8.7109375" style="629"/>
    <col min="11778" max="11778" width="14.28515625" style="629" customWidth="1"/>
    <col min="11779" max="11779" width="13.28515625" style="629" customWidth="1"/>
    <col min="11780" max="12033" width="8.7109375" style="629"/>
    <col min="12034" max="12034" width="14.28515625" style="629" customWidth="1"/>
    <col min="12035" max="12035" width="13.28515625" style="629" customWidth="1"/>
    <col min="12036" max="12289" width="8.7109375" style="629"/>
    <col min="12290" max="12290" width="14.28515625" style="629" customWidth="1"/>
    <col min="12291" max="12291" width="13.28515625" style="629" customWidth="1"/>
    <col min="12292" max="12545" width="8.7109375" style="629"/>
    <col min="12546" max="12546" width="14.28515625" style="629" customWidth="1"/>
    <col min="12547" max="12547" width="13.28515625" style="629" customWidth="1"/>
    <col min="12548" max="12801" width="8.7109375" style="629"/>
    <col min="12802" max="12802" width="14.28515625" style="629" customWidth="1"/>
    <col min="12803" max="12803" width="13.28515625" style="629" customWidth="1"/>
    <col min="12804" max="13057" width="8.7109375" style="629"/>
    <col min="13058" max="13058" width="14.28515625" style="629" customWidth="1"/>
    <col min="13059" max="13059" width="13.28515625" style="629" customWidth="1"/>
    <col min="13060" max="13313" width="8.7109375" style="629"/>
    <col min="13314" max="13314" width="14.28515625" style="629" customWidth="1"/>
    <col min="13315" max="13315" width="13.28515625" style="629" customWidth="1"/>
    <col min="13316" max="13569" width="8.7109375" style="629"/>
    <col min="13570" max="13570" width="14.28515625" style="629" customWidth="1"/>
    <col min="13571" max="13571" width="13.28515625" style="629" customWidth="1"/>
    <col min="13572" max="13825" width="8.7109375" style="629"/>
    <col min="13826" max="13826" width="14.28515625" style="629" customWidth="1"/>
    <col min="13827" max="13827" width="13.28515625" style="629" customWidth="1"/>
    <col min="13828" max="14081" width="8.7109375" style="629"/>
    <col min="14082" max="14082" width="14.28515625" style="629" customWidth="1"/>
    <col min="14083" max="14083" width="13.28515625" style="629" customWidth="1"/>
    <col min="14084" max="14337" width="8.7109375" style="629"/>
    <col min="14338" max="14338" width="14.28515625" style="629" customWidth="1"/>
    <col min="14339" max="14339" width="13.28515625" style="629" customWidth="1"/>
    <col min="14340" max="14593" width="8.7109375" style="629"/>
    <col min="14594" max="14594" width="14.28515625" style="629" customWidth="1"/>
    <col min="14595" max="14595" width="13.28515625" style="629" customWidth="1"/>
    <col min="14596" max="14849" width="8.7109375" style="629"/>
    <col min="14850" max="14850" width="14.28515625" style="629" customWidth="1"/>
    <col min="14851" max="14851" width="13.28515625" style="629" customWidth="1"/>
    <col min="14852" max="15105" width="8.7109375" style="629"/>
    <col min="15106" max="15106" width="14.28515625" style="629" customWidth="1"/>
    <col min="15107" max="15107" width="13.28515625" style="629" customWidth="1"/>
    <col min="15108" max="15361" width="8.7109375" style="629"/>
    <col min="15362" max="15362" width="14.28515625" style="629" customWidth="1"/>
    <col min="15363" max="15363" width="13.28515625" style="629" customWidth="1"/>
    <col min="15364" max="15617" width="8.7109375" style="629"/>
    <col min="15618" max="15618" width="14.28515625" style="629" customWidth="1"/>
    <col min="15619" max="15619" width="13.28515625" style="629" customWidth="1"/>
    <col min="15620" max="15873" width="8.7109375" style="629"/>
    <col min="15874" max="15874" width="14.28515625" style="629" customWidth="1"/>
    <col min="15875" max="15875" width="13.28515625" style="629" customWidth="1"/>
    <col min="15876" max="16129" width="8.7109375" style="629"/>
    <col min="16130" max="16130" width="14.28515625" style="629" customWidth="1"/>
    <col min="16131" max="16131" width="13.28515625" style="629" customWidth="1"/>
    <col min="16132" max="16384" width="8.7109375" style="629"/>
  </cols>
  <sheetData>
    <row r="2" spans="2:12">
      <c r="B2" s="668" t="s">
        <v>25</v>
      </c>
      <c r="C2" s="668"/>
      <c r="D2" s="668"/>
      <c r="E2" s="668"/>
      <c r="F2" s="668"/>
      <c r="G2" s="668"/>
      <c r="H2" s="668"/>
      <c r="I2" s="668"/>
      <c r="J2" s="668"/>
      <c r="K2" s="668"/>
      <c r="L2" s="668"/>
    </row>
    <row r="3" spans="2:12">
      <c r="B3" s="630"/>
    </row>
    <row r="4" spans="2:12" ht="31.5" customHeight="1">
      <c r="B4" s="631" t="s">
        <v>26</v>
      </c>
      <c r="C4" s="669" t="s">
        <v>525</v>
      </c>
      <c r="D4" s="669"/>
      <c r="E4" s="669"/>
      <c r="F4" s="669"/>
      <c r="G4" s="669"/>
      <c r="H4" s="669"/>
      <c r="I4" s="669"/>
      <c r="J4" s="669"/>
      <c r="K4" s="669"/>
      <c r="L4" s="669"/>
    </row>
    <row r="5" spans="2:12" ht="23.25" customHeight="1">
      <c r="B5" s="632"/>
      <c r="C5" s="38" t="s">
        <v>27</v>
      </c>
      <c r="D5" s="670" t="s">
        <v>28</v>
      </c>
      <c r="E5" s="671"/>
      <c r="F5" s="671"/>
      <c r="G5" s="671"/>
      <c r="H5" s="671"/>
      <c r="I5" s="671"/>
      <c r="J5" s="671"/>
      <c r="K5" s="671"/>
      <c r="L5" s="671"/>
    </row>
    <row r="6" spans="2:12" ht="24.75" customHeight="1">
      <c r="B6" s="632"/>
      <c r="C6" s="633" t="s">
        <v>27</v>
      </c>
      <c r="D6" s="669" t="s">
        <v>29</v>
      </c>
      <c r="E6" s="669"/>
      <c r="F6" s="669"/>
      <c r="G6" s="669"/>
      <c r="H6" s="669"/>
      <c r="I6" s="669"/>
      <c r="J6" s="669"/>
      <c r="K6" s="669"/>
      <c r="L6" s="669"/>
    </row>
    <row r="7" spans="2:12" ht="61.5" customHeight="1">
      <c r="B7" s="632"/>
      <c r="C7" s="672" t="s">
        <v>536</v>
      </c>
      <c r="D7" s="672"/>
      <c r="E7" s="672"/>
      <c r="F7" s="672"/>
      <c r="G7" s="672"/>
      <c r="H7" s="672"/>
      <c r="I7" s="672"/>
      <c r="J7" s="672"/>
      <c r="K7" s="672"/>
      <c r="L7" s="672"/>
    </row>
    <row r="8" spans="2:12" ht="34.5" customHeight="1">
      <c r="B8" s="634" t="s">
        <v>30</v>
      </c>
      <c r="C8" s="673" t="s">
        <v>532</v>
      </c>
      <c r="D8" s="673"/>
      <c r="E8" s="673"/>
      <c r="F8" s="673"/>
      <c r="G8" s="673"/>
      <c r="H8" s="673"/>
      <c r="I8" s="673"/>
      <c r="J8" s="673"/>
      <c r="K8" s="673"/>
      <c r="L8" s="673"/>
    </row>
    <row r="9" spans="2:12" ht="35.1" customHeight="1">
      <c r="B9" s="635" t="s">
        <v>31</v>
      </c>
      <c r="C9" s="672" t="s">
        <v>533</v>
      </c>
      <c r="D9" s="672"/>
      <c r="E9" s="672"/>
      <c r="F9" s="672"/>
      <c r="G9" s="672"/>
      <c r="H9" s="672"/>
      <c r="I9" s="672"/>
      <c r="J9" s="672"/>
      <c r="K9" s="672"/>
      <c r="L9" s="672"/>
    </row>
    <row r="10" spans="2:12" ht="28.5" customHeight="1">
      <c r="B10" s="635"/>
      <c r="C10" s="672" t="s">
        <v>607</v>
      </c>
      <c r="D10" s="672"/>
      <c r="E10" s="672"/>
      <c r="F10" s="672"/>
      <c r="G10" s="672"/>
      <c r="H10" s="672"/>
      <c r="I10" s="672"/>
      <c r="J10" s="672"/>
      <c r="K10" s="672"/>
      <c r="L10" s="672"/>
    </row>
    <row r="11" spans="2:12" ht="60" customHeight="1">
      <c r="B11" s="634" t="s">
        <v>32</v>
      </c>
      <c r="C11" s="673" t="s">
        <v>608</v>
      </c>
      <c r="D11" s="673"/>
      <c r="E11" s="673"/>
      <c r="F11" s="673"/>
      <c r="G11" s="673"/>
      <c r="H11" s="673"/>
      <c r="I11" s="673"/>
      <c r="J11" s="673"/>
      <c r="K11" s="673"/>
      <c r="L11" s="673"/>
    </row>
    <row r="12" spans="2:12" ht="26.25" customHeight="1">
      <c r="B12" s="630"/>
      <c r="C12" s="673" t="s">
        <v>526</v>
      </c>
      <c r="D12" s="673"/>
      <c r="E12" s="673"/>
      <c r="F12" s="673"/>
      <c r="G12" s="673"/>
      <c r="H12" s="673"/>
      <c r="I12" s="673"/>
      <c r="J12" s="673"/>
      <c r="K12" s="673"/>
      <c r="L12" s="673"/>
    </row>
    <row r="13" spans="2:12" ht="84" customHeight="1">
      <c r="B13" s="630"/>
      <c r="C13" s="673" t="s">
        <v>609</v>
      </c>
      <c r="D13" s="673"/>
      <c r="E13" s="673"/>
      <c r="F13" s="673"/>
      <c r="G13" s="673"/>
      <c r="H13" s="673"/>
      <c r="I13" s="673"/>
      <c r="J13" s="673"/>
      <c r="K13" s="673"/>
      <c r="L13" s="673"/>
    </row>
    <row r="14" spans="2:12" ht="24" customHeight="1">
      <c r="B14" s="635" t="s">
        <v>531</v>
      </c>
      <c r="C14" s="672" t="s">
        <v>527</v>
      </c>
      <c r="D14" s="672"/>
      <c r="E14" s="672"/>
      <c r="F14" s="672"/>
      <c r="G14" s="672"/>
      <c r="H14" s="672"/>
      <c r="I14" s="672"/>
      <c r="J14" s="672"/>
      <c r="K14" s="672"/>
      <c r="L14" s="672"/>
    </row>
    <row r="15" spans="2:12" ht="21.95" customHeight="1">
      <c r="B15" s="634" t="s">
        <v>33</v>
      </c>
      <c r="C15" s="674" t="s">
        <v>534</v>
      </c>
      <c r="D15" s="674"/>
      <c r="E15" s="674"/>
      <c r="F15" s="674"/>
      <c r="G15" s="674"/>
      <c r="H15" s="674"/>
      <c r="I15" s="674"/>
      <c r="J15" s="674"/>
      <c r="K15" s="674"/>
      <c r="L15" s="674"/>
    </row>
    <row r="16" spans="2:12" ht="41.1" customHeight="1">
      <c r="B16" s="635" t="s">
        <v>529</v>
      </c>
      <c r="C16" s="672" t="s">
        <v>535</v>
      </c>
      <c r="D16" s="672"/>
      <c r="E16" s="672"/>
      <c r="F16" s="672"/>
      <c r="G16" s="672"/>
      <c r="H16" s="672"/>
      <c r="I16" s="672"/>
      <c r="J16" s="672"/>
      <c r="K16" s="672"/>
      <c r="L16" s="672"/>
    </row>
    <row r="17" spans="2:12" ht="31.5" customHeight="1">
      <c r="B17" s="634" t="s">
        <v>530</v>
      </c>
      <c r="C17" s="667" t="s">
        <v>528</v>
      </c>
      <c r="D17" s="667"/>
      <c r="E17" s="667"/>
      <c r="F17" s="667"/>
      <c r="G17" s="667"/>
      <c r="H17" s="667"/>
      <c r="I17" s="667"/>
      <c r="J17" s="667"/>
      <c r="K17" s="667"/>
      <c r="L17" s="667"/>
    </row>
  </sheetData>
  <sheetProtection password="CA61" sheet="1" objects="1" scenarios="1"/>
  <protectedRanges>
    <protectedRange sqref="C5" name="Range1"/>
  </protectedRanges>
  <mergeCells count="15">
    <mergeCell ref="C17:L17"/>
    <mergeCell ref="B2:L2"/>
    <mergeCell ref="C4:L4"/>
    <mergeCell ref="D5:L5"/>
    <mergeCell ref="D6:L6"/>
    <mergeCell ref="C9:L9"/>
    <mergeCell ref="C11:L11"/>
    <mergeCell ref="C12:L12"/>
    <mergeCell ref="C14:L14"/>
    <mergeCell ref="C16:L16"/>
    <mergeCell ref="C8:L8"/>
    <mergeCell ref="C7:L7"/>
    <mergeCell ref="C10:L10"/>
    <mergeCell ref="C13:L13"/>
    <mergeCell ref="C15:L15"/>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sheetPr>
    <tabColor theme="8" tint="0.39997558519241921"/>
  </sheetPr>
  <dimension ref="A1:WVQ187"/>
  <sheetViews>
    <sheetView showGridLines="0" topLeftCell="A62" zoomScale="130" zoomScaleNormal="130" workbookViewId="0">
      <selection activeCell="F82" sqref="F82"/>
    </sheetView>
  </sheetViews>
  <sheetFormatPr defaultColWidth="0" defaultRowHeight="12.75" zeroHeight="1"/>
  <cols>
    <col min="1" max="1" width="2.7109375" style="40" customWidth="1"/>
    <col min="2" max="2" width="25.42578125" style="40" customWidth="1"/>
    <col min="3" max="3" width="19.42578125" style="40" customWidth="1"/>
    <col min="4" max="4" width="18.28515625" style="40" customWidth="1"/>
    <col min="5" max="5" width="17.42578125" style="40" customWidth="1"/>
    <col min="6" max="6" width="13.28515625" style="40" customWidth="1"/>
    <col min="7" max="7" width="13" style="40" customWidth="1"/>
    <col min="8" max="8" width="9.7109375" style="40" customWidth="1"/>
    <col min="9" max="9" width="10.85546875" style="40" customWidth="1"/>
    <col min="10" max="13" width="0" style="40" hidden="1" customWidth="1"/>
    <col min="14" max="256" width="11.42578125" style="40" hidden="1"/>
    <col min="257" max="257" width="5.5703125" style="40" customWidth="1"/>
    <col min="258" max="258" width="31.85546875" style="40" customWidth="1"/>
    <col min="259" max="259" width="15.85546875" style="40" customWidth="1"/>
    <col min="260" max="260" width="18.28515625" style="40" customWidth="1"/>
    <col min="261" max="261" width="17.42578125" style="40" customWidth="1"/>
    <col min="262" max="262" width="13.28515625" style="40" customWidth="1"/>
    <col min="263" max="263" width="13" style="40" customWidth="1"/>
    <col min="264" max="264" width="9.7109375" style="40" customWidth="1"/>
    <col min="265" max="265" width="9.140625" style="40" customWidth="1"/>
    <col min="266" max="269" width="11.42578125" style="40" hidden="1" customWidth="1"/>
    <col min="270" max="512" width="11.42578125" style="40" hidden="1"/>
    <col min="513" max="513" width="5.5703125" style="40" customWidth="1"/>
    <col min="514" max="514" width="31.85546875" style="40" customWidth="1"/>
    <col min="515" max="515" width="15.85546875" style="40" customWidth="1"/>
    <col min="516" max="516" width="18.28515625" style="40" customWidth="1"/>
    <col min="517" max="517" width="17.42578125" style="40" customWidth="1"/>
    <col min="518" max="518" width="13.28515625" style="40" customWidth="1"/>
    <col min="519" max="519" width="13" style="40" customWidth="1"/>
    <col min="520" max="520" width="9.7109375" style="40" customWidth="1"/>
    <col min="521" max="521" width="9.140625" style="40" customWidth="1"/>
    <col min="522" max="525" width="11.42578125" style="40" hidden="1" customWidth="1"/>
    <col min="526" max="768" width="11.42578125" style="40" hidden="1"/>
    <col min="769" max="769" width="5.5703125" style="40" customWidth="1"/>
    <col min="770" max="770" width="31.85546875" style="40" customWidth="1"/>
    <col min="771" max="771" width="15.85546875" style="40" customWidth="1"/>
    <col min="772" max="772" width="18.28515625" style="40" customWidth="1"/>
    <col min="773" max="773" width="17.42578125" style="40" customWidth="1"/>
    <col min="774" max="774" width="13.28515625" style="40" customWidth="1"/>
    <col min="775" max="775" width="13" style="40" customWidth="1"/>
    <col min="776" max="776" width="9.7109375" style="40" customWidth="1"/>
    <col min="777" max="777" width="9.140625" style="40" customWidth="1"/>
    <col min="778" max="781" width="11.42578125" style="40" hidden="1" customWidth="1"/>
    <col min="782" max="1024" width="11.42578125" style="40" hidden="1"/>
    <col min="1025" max="1025" width="5.5703125" style="40" customWidth="1"/>
    <col min="1026" max="1026" width="31.85546875" style="40" customWidth="1"/>
    <col min="1027" max="1027" width="15.85546875" style="40" customWidth="1"/>
    <col min="1028" max="1028" width="18.28515625" style="40" customWidth="1"/>
    <col min="1029" max="1029" width="17.42578125" style="40" customWidth="1"/>
    <col min="1030" max="1030" width="13.28515625" style="40" customWidth="1"/>
    <col min="1031" max="1031" width="13" style="40" customWidth="1"/>
    <col min="1032" max="1032" width="9.7109375" style="40" customWidth="1"/>
    <col min="1033" max="1033" width="9.140625" style="40" customWidth="1"/>
    <col min="1034" max="1037" width="11.42578125" style="40" hidden="1" customWidth="1"/>
    <col min="1038" max="1280" width="11.42578125" style="40" hidden="1"/>
    <col min="1281" max="1281" width="5.5703125" style="40" customWidth="1"/>
    <col min="1282" max="1282" width="31.85546875" style="40" customWidth="1"/>
    <col min="1283" max="1283" width="15.85546875" style="40" customWidth="1"/>
    <col min="1284" max="1284" width="18.28515625" style="40" customWidth="1"/>
    <col min="1285" max="1285" width="17.42578125" style="40" customWidth="1"/>
    <col min="1286" max="1286" width="13.28515625" style="40" customWidth="1"/>
    <col min="1287" max="1287" width="13" style="40" customWidth="1"/>
    <col min="1288" max="1288" width="9.7109375" style="40" customWidth="1"/>
    <col min="1289" max="1289" width="9.140625" style="40" customWidth="1"/>
    <col min="1290" max="1293" width="11.42578125" style="40" hidden="1" customWidth="1"/>
    <col min="1294" max="1536" width="11.42578125" style="40" hidden="1"/>
    <col min="1537" max="1537" width="5.5703125" style="40" customWidth="1"/>
    <col min="1538" max="1538" width="31.85546875" style="40" customWidth="1"/>
    <col min="1539" max="1539" width="15.85546875" style="40" customWidth="1"/>
    <col min="1540" max="1540" width="18.28515625" style="40" customWidth="1"/>
    <col min="1541" max="1541" width="17.42578125" style="40" customWidth="1"/>
    <col min="1542" max="1542" width="13.28515625" style="40" customWidth="1"/>
    <col min="1543" max="1543" width="13" style="40" customWidth="1"/>
    <col min="1544" max="1544" width="9.7109375" style="40" customWidth="1"/>
    <col min="1545" max="1545" width="9.140625" style="40" customWidth="1"/>
    <col min="1546" max="1549" width="11.42578125" style="40" hidden="1" customWidth="1"/>
    <col min="1550" max="1792" width="11.42578125" style="40" hidden="1"/>
    <col min="1793" max="1793" width="5.5703125" style="40" customWidth="1"/>
    <col min="1794" max="1794" width="31.85546875" style="40" customWidth="1"/>
    <col min="1795" max="1795" width="15.85546875" style="40" customWidth="1"/>
    <col min="1796" max="1796" width="18.28515625" style="40" customWidth="1"/>
    <col min="1797" max="1797" width="17.42578125" style="40" customWidth="1"/>
    <col min="1798" max="1798" width="13.28515625" style="40" customWidth="1"/>
    <col min="1799" max="1799" width="13" style="40" customWidth="1"/>
    <col min="1800" max="1800" width="9.7109375" style="40" customWidth="1"/>
    <col min="1801" max="1801" width="9.140625" style="40" customWidth="1"/>
    <col min="1802" max="1805" width="11.42578125" style="40" hidden="1" customWidth="1"/>
    <col min="1806" max="2048" width="11.42578125" style="40" hidden="1"/>
    <col min="2049" max="2049" width="5.5703125" style="40" customWidth="1"/>
    <col min="2050" max="2050" width="31.85546875" style="40" customWidth="1"/>
    <col min="2051" max="2051" width="15.85546875" style="40" customWidth="1"/>
    <col min="2052" max="2052" width="18.28515625" style="40" customWidth="1"/>
    <col min="2053" max="2053" width="17.42578125" style="40" customWidth="1"/>
    <col min="2054" max="2054" width="13.28515625" style="40" customWidth="1"/>
    <col min="2055" max="2055" width="13" style="40" customWidth="1"/>
    <col min="2056" max="2056" width="9.7109375" style="40" customWidth="1"/>
    <col min="2057" max="2057" width="9.140625" style="40" customWidth="1"/>
    <col min="2058" max="2061" width="11.42578125" style="40" hidden="1" customWidth="1"/>
    <col min="2062" max="2304" width="11.42578125" style="40" hidden="1"/>
    <col min="2305" max="2305" width="5.5703125" style="40" customWidth="1"/>
    <col min="2306" max="2306" width="31.85546875" style="40" customWidth="1"/>
    <col min="2307" max="2307" width="15.85546875" style="40" customWidth="1"/>
    <col min="2308" max="2308" width="18.28515625" style="40" customWidth="1"/>
    <col min="2309" max="2309" width="17.42578125" style="40" customWidth="1"/>
    <col min="2310" max="2310" width="13.28515625" style="40" customWidth="1"/>
    <col min="2311" max="2311" width="13" style="40" customWidth="1"/>
    <col min="2312" max="2312" width="9.7109375" style="40" customWidth="1"/>
    <col min="2313" max="2313" width="9.140625" style="40" customWidth="1"/>
    <col min="2314" max="2317" width="11.42578125" style="40" hidden="1" customWidth="1"/>
    <col min="2318" max="2560" width="11.42578125" style="40" hidden="1"/>
    <col min="2561" max="2561" width="5.5703125" style="40" customWidth="1"/>
    <col min="2562" max="2562" width="31.85546875" style="40" customWidth="1"/>
    <col min="2563" max="2563" width="15.85546875" style="40" customWidth="1"/>
    <col min="2564" max="2564" width="18.28515625" style="40" customWidth="1"/>
    <col min="2565" max="2565" width="17.42578125" style="40" customWidth="1"/>
    <col min="2566" max="2566" width="13.28515625" style="40" customWidth="1"/>
    <col min="2567" max="2567" width="13" style="40" customWidth="1"/>
    <col min="2568" max="2568" width="9.7109375" style="40" customWidth="1"/>
    <col min="2569" max="2569" width="9.140625" style="40" customWidth="1"/>
    <col min="2570" max="2573" width="11.42578125" style="40" hidden="1" customWidth="1"/>
    <col min="2574" max="2816" width="11.42578125" style="40" hidden="1"/>
    <col min="2817" max="2817" width="5.5703125" style="40" customWidth="1"/>
    <col min="2818" max="2818" width="31.85546875" style="40" customWidth="1"/>
    <col min="2819" max="2819" width="15.85546875" style="40" customWidth="1"/>
    <col min="2820" max="2820" width="18.28515625" style="40" customWidth="1"/>
    <col min="2821" max="2821" width="17.42578125" style="40" customWidth="1"/>
    <col min="2822" max="2822" width="13.28515625" style="40" customWidth="1"/>
    <col min="2823" max="2823" width="13" style="40" customWidth="1"/>
    <col min="2824" max="2824" width="9.7109375" style="40" customWidth="1"/>
    <col min="2825" max="2825" width="9.140625" style="40" customWidth="1"/>
    <col min="2826" max="2829" width="11.42578125" style="40" hidden="1" customWidth="1"/>
    <col min="2830" max="3072" width="11.42578125" style="40" hidden="1"/>
    <col min="3073" max="3073" width="5.5703125" style="40" customWidth="1"/>
    <col min="3074" max="3074" width="31.85546875" style="40" customWidth="1"/>
    <col min="3075" max="3075" width="15.85546875" style="40" customWidth="1"/>
    <col min="3076" max="3076" width="18.28515625" style="40" customWidth="1"/>
    <col min="3077" max="3077" width="17.42578125" style="40" customWidth="1"/>
    <col min="3078" max="3078" width="13.28515625" style="40" customWidth="1"/>
    <col min="3079" max="3079" width="13" style="40" customWidth="1"/>
    <col min="3080" max="3080" width="9.7109375" style="40" customWidth="1"/>
    <col min="3081" max="3081" width="9.140625" style="40" customWidth="1"/>
    <col min="3082" max="3085" width="11.42578125" style="40" hidden="1" customWidth="1"/>
    <col min="3086" max="3328" width="11.42578125" style="40" hidden="1"/>
    <col min="3329" max="3329" width="5.5703125" style="40" customWidth="1"/>
    <col min="3330" max="3330" width="31.85546875" style="40" customWidth="1"/>
    <col min="3331" max="3331" width="15.85546875" style="40" customWidth="1"/>
    <col min="3332" max="3332" width="18.28515625" style="40" customWidth="1"/>
    <col min="3333" max="3333" width="17.42578125" style="40" customWidth="1"/>
    <col min="3334" max="3334" width="13.28515625" style="40" customWidth="1"/>
    <col min="3335" max="3335" width="13" style="40" customWidth="1"/>
    <col min="3336" max="3336" width="9.7109375" style="40" customWidth="1"/>
    <col min="3337" max="3337" width="9.140625" style="40" customWidth="1"/>
    <col min="3338" max="3341" width="11.42578125" style="40" hidden="1" customWidth="1"/>
    <col min="3342" max="3584" width="11.42578125" style="40" hidden="1"/>
    <col min="3585" max="3585" width="5.5703125" style="40" customWidth="1"/>
    <col min="3586" max="3586" width="31.85546875" style="40" customWidth="1"/>
    <col min="3587" max="3587" width="15.85546875" style="40" customWidth="1"/>
    <col min="3588" max="3588" width="18.28515625" style="40" customWidth="1"/>
    <col min="3589" max="3589" width="17.42578125" style="40" customWidth="1"/>
    <col min="3590" max="3590" width="13.28515625" style="40" customWidth="1"/>
    <col min="3591" max="3591" width="13" style="40" customWidth="1"/>
    <col min="3592" max="3592" width="9.7109375" style="40" customWidth="1"/>
    <col min="3593" max="3593" width="9.140625" style="40" customWidth="1"/>
    <col min="3594" max="3597" width="11.42578125" style="40" hidden="1" customWidth="1"/>
    <col min="3598" max="3840" width="11.42578125" style="40" hidden="1"/>
    <col min="3841" max="3841" width="5.5703125" style="40" customWidth="1"/>
    <col min="3842" max="3842" width="31.85546875" style="40" customWidth="1"/>
    <col min="3843" max="3843" width="15.85546875" style="40" customWidth="1"/>
    <col min="3844" max="3844" width="18.28515625" style="40" customWidth="1"/>
    <col min="3845" max="3845" width="17.42578125" style="40" customWidth="1"/>
    <col min="3846" max="3846" width="13.28515625" style="40" customWidth="1"/>
    <col min="3847" max="3847" width="13" style="40" customWidth="1"/>
    <col min="3848" max="3848" width="9.7109375" style="40" customWidth="1"/>
    <col min="3849" max="3849" width="9.140625" style="40" customWidth="1"/>
    <col min="3850" max="3853" width="11.42578125" style="40" hidden="1" customWidth="1"/>
    <col min="3854" max="4096" width="11.42578125" style="40" hidden="1"/>
    <col min="4097" max="4097" width="5.5703125" style="40" customWidth="1"/>
    <col min="4098" max="4098" width="31.85546875" style="40" customWidth="1"/>
    <col min="4099" max="4099" width="15.85546875" style="40" customWidth="1"/>
    <col min="4100" max="4100" width="18.28515625" style="40" customWidth="1"/>
    <col min="4101" max="4101" width="17.42578125" style="40" customWidth="1"/>
    <col min="4102" max="4102" width="13.28515625" style="40" customWidth="1"/>
    <col min="4103" max="4103" width="13" style="40" customWidth="1"/>
    <col min="4104" max="4104" width="9.7109375" style="40" customWidth="1"/>
    <col min="4105" max="4105" width="9.140625" style="40" customWidth="1"/>
    <col min="4106" max="4109" width="11.42578125" style="40" hidden="1" customWidth="1"/>
    <col min="4110" max="4352" width="11.42578125" style="40" hidden="1"/>
    <col min="4353" max="4353" width="5.5703125" style="40" customWidth="1"/>
    <col min="4354" max="4354" width="31.85546875" style="40" customWidth="1"/>
    <col min="4355" max="4355" width="15.85546875" style="40" customWidth="1"/>
    <col min="4356" max="4356" width="18.28515625" style="40" customWidth="1"/>
    <col min="4357" max="4357" width="17.42578125" style="40" customWidth="1"/>
    <col min="4358" max="4358" width="13.28515625" style="40" customWidth="1"/>
    <col min="4359" max="4359" width="13" style="40" customWidth="1"/>
    <col min="4360" max="4360" width="9.7109375" style="40" customWidth="1"/>
    <col min="4361" max="4361" width="9.140625" style="40" customWidth="1"/>
    <col min="4362" max="4365" width="11.42578125" style="40" hidden="1" customWidth="1"/>
    <col min="4366" max="4608" width="11.42578125" style="40" hidden="1"/>
    <col min="4609" max="4609" width="5.5703125" style="40" customWidth="1"/>
    <col min="4610" max="4610" width="31.85546875" style="40" customWidth="1"/>
    <col min="4611" max="4611" width="15.85546875" style="40" customWidth="1"/>
    <col min="4612" max="4612" width="18.28515625" style="40" customWidth="1"/>
    <col min="4613" max="4613" width="17.42578125" style="40" customWidth="1"/>
    <col min="4614" max="4614" width="13.28515625" style="40" customWidth="1"/>
    <col min="4615" max="4615" width="13" style="40" customWidth="1"/>
    <col min="4616" max="4616" width="9.7109375" style="40" customWidth="1"/>
    <col min="4617" max="4617" width="9.140625" style="40" customWidth="1"/>
    <col min="4618" max="4621" width="11.42578125" style="40" hidden="1" customWidth="1"/>
    <col min="4622" max="4864" width="11.42578125" style="40" hidden="1"/>
    <col min="4865" max="4865" width="5.5703125" style="40" customWidth="1"/>
    <col min="4866" max="4866" width="31.85546875" style="40" customWidth="1"/>
    <col min="4867" max="4867" width="15.85546875" style="40" customWidth="1"/>
    <col min="4868" max="4868" width="18.28515625" style="40" customWidth="1"/>
    <col min="4869" max="4869" width="17.42578125" style="40" customWidth="1"/>
    <col min="4870" max="4870" width="13.28515625" style="40" customWidth="1"/>
    <col min="4871" max="4871" width="13" style="40" customWidth="1"/>
    <col min="4872" max="4872" width="9.7109375" style="40" customWidth="1"/>
    <col min="4873" max="4873" width="9.140625" style="40" customWidth="1"/>
    <col min="4874" max="4877" width="11.42578125" style="40" hidden="1" customWidth="1"/>
    <col min="4878" max="5120" width="11.42578125" style="40" hidden="1"/>
    <col min="5121" max="5121" width="5.5703125" style="40" customWidth="1"/>
    <col min="5122" max="5122" width="31.85546875" style="40" customWidth="1"/>
    <col min="5123" max="5123" width="15.85546875" style="40" customWidth="1"/>
    <col min="5124" max="5124" width="18.28515625" style="40" customWidth="1"/>
    <col min="5125" max="5125" width="17.42578125" style="40" customWidth="1"/>
    <col min="5126" max="5126" width="13.28515625" style="40" customWidth="1"/>
    <col min="5127" max="5127" width="13" style="40" customWidth="1"/>
    <col min="5128" max="5128" width="9.7109375" style="40" customWidth="1"/>
    <col min="5129" max="5129" width="9.140625" style="40" customWidth="1"/>
    <col min="5130" max="5133" width="11.42578125" style="40" hidden="1" customWidth="1"/>
    <col min="5134" max="5376" width="11.42578125" style="40" hidden="1"/>
    <col min="5377" max="5377" width="5.5703125" style="40" customWidth="1"/>
    <col min="5378" max="5378" width="31.85546875" style="40" customWidth="1"/>
    <col min="5379" max="5379" width="15.85546875" style="40" customWidth="1"/>
    <col min="5380" max="5380" width="18.28515625" style="40" customWidth="1"/>
    <col min="5381" max="5381" width="17.42578125" style="40" customWidth="1"/>
    <col min="5382" max="5382" width="13.28515625" style="40" customWidth="1"/>
    <col min="5383" max="5383" width="13" style="40" customWidth="1"/>
    <col min="5384" max="5384" width="9.7109375" style="40" customWidth="1"/>
    <col min="5385" max="5385" width="9.140625" style="40" customWidth="1"/>
    <col min="5386" max="5389" width="11.42578125" style="40" hidden="1" customWidth="1"/>
    <col min="5390" max="5632" width="11.42578125" style="40" hidden="1"/>
    <col min="5633" max="5633" width="5.5703125" style="40" customWidth="1"/>
    <col min="5634" max="5634" width="31.85546875" style="40" customWidth="1"/>
    <col min="5635" max="5635" width="15.85546875" style="40" customWidth="1"/>
    <col min="5636" max="5636" width="18.28515625" style="40" customWidth="1"/>
    <col min="5637" max="5637" width="17.42578125" style="40" customWidth="1"/>
    <col min="5638" max="5638" width="13.28515625" style="40" customWidth="1"/>
    <col min="5639" max="5639" width="13" style="40" customWidth="1"/>
    <col min="5640" max="5640" width="9.7109375" style="40" customWidth="1"/>
    <col min="5641" max="5641" width="9.140625" style="40" customWidth="1"/>
    <col min="5642" max="5645" width="11.42578125" style="40" hidden="1" customWidth="1"/>
    <col min="5646" max="5888" width="11.42578125" style="40" hidden="1"/>
    <col min="5889" max="5889" width="5.5703125" style="40" customWidth="1"/>
    <col min="5890" max="5890" width="31.85546875" style="40" customWidth="1"/>
    <col min="5891" max="5891" width="15.85546875" style="40" customWidth="1"/>
    <col min="5892" max="5892" width="18.28515625" style="40" customWidth="1"/>
    <col min="5893" max="5893" width="17.42578125" style="40" customWidth="1"/>
    <col min="5894" max="5894" width="13.28515625" style="40" customWidth="1"/>
    <col min="5895" max="5895" width="13" style="40" customWidth="1"/>
    <col min="5896" max="5896" width="9.7109375" style="40" customWidth="1"/>
    <col min="5897" max="5897" width="9.140625" style="40" customWidth="1"/>
    <col min="5898" max="5901" width="11.42578125" style="40" hidden="1" customWidth="1"/>
    <col min="5902" max="6144" width="11.42578125" style="40" hidden="1"/>
    <col min="6145" max="6145" width="5.5703125" style="40" customWidth="1"/>
    <col min="6146" max="6146" width="31.85546875" style="40" customWidth="1"/>
    <col min="6147" max="6147" width="15.85546875" style="40" customWidth="1"/>
    <col min="6148" max="6148" width="18.28515625" style="40" customWidth="1"/>
    <col min="6149" max="6149" width="17.42578125" style="40" customWidth="1"/>
    <col min="6150" max="6150" width="13.28515625" style="40" customWidth="1"/>
    <col min="6151" max="6151" width="13" style="40" customWidth="1"/>
    <col min="6152" max="6152" width="9.7109375" style="40" customWidth="1"/>
    <col min="6153" max="6153" width="9.140625" style="40" customWidth="1"/>
    <col min="6154" max="6157" width="11.42578125" style="40" hidden="1" customWidth="1"/>
    <col min="6158" max="6400" width="11.42578125" style="40" hidden="1"/>
    <col min="6401" max="6401" width="5.5703125" style="40" customWidth="1"/>
    <col min="6402" max="6402" width="31.85546875" style="40" customWidth="1"/>
    <col min="6403" max="6403" width="15.85546875" style="40" customWidth="1"/>
    <col min="6404" max="6404" width="18.28515625" style="40" customWidth="1"/>
    <col min="6405" max="6405" width="17.42578125" style="40" customWidth="1"/>
    <col min="6406" max="6406" width="13.28515625" style="40" customWidth="1"/>
    <col min="6407" max="6407" width="13" style="40" customWidth="1"/>
    <col min="6408" max="6408" width="9.7109375" style="40" customWidth="1"/>
    <col min="6409" max="6409" width="9.140625" style="40" customWidth="1"/>
    <col min="6410" max="6413" width="11.42578125" style="40" hidden="1" customWidth="1"/>
    <col min="6414" max="6656" width="11.42578125" style="40" hidden="1"/>
    <col min="6657" max="6657" width="5.5703125" style="40" customWidth="1"/>
    <col min="6658" max="6658" width="31.85546875" style="40" customWidth="1"/>
    <col min="6659" max="6659" width="15.85546875" style="40" customWidth="1"/>
    <col min="6660" max="6660" width="18.28515625" style="40" customWidth="1"/>
    <col min="6661" max="6661" width="17.42578125" style="40" customWidth="1"/>
    <col min="6662" max="6662" width="13.28515625" style="40" customWidth="1"/>
    <col min="6663" max="6663" width="13" style="40" customWidth="1"/>
    <col min="6664" max="6664" width="9.7109375" style="40" customWidth="1"/>
    <col min="6665" max="6665" width="9.140625" style="40" customWidth="1"/>
    <col min="6666" max="6669" width="11.42578125" style="40" hidden="1" customWidth="1"/>
    <col min="6670" max="6912" width="11.42578125" style="40" hidden="1"/>
    <col min="6913" max="6913" width="5.5703125" style="40" customWidth="1"/>
    <col min="6914" max="6914" width="31.85546875" style="40" customWidth="1"/>
    <col min="6915" max="6915" width="15.85546875" style="40" customWidth="1"/>
    <col min="6916" max="6916" width="18.28515625" style="40" customWidth="1"/>
    <col min="6917" max="6917" width="17.42578125" style="40" customWidth="1"/>
    <col min="6918" max="6918" width="13.28515625" style="40" customWidth="1"/>
    <col min="6919" max="6919" width="13" style="40" customWidth="1"/>
    <col min="6920" max="6920" width="9.7109375" style="40" customWidth="1"/>
    <col min="6921" max="6921" width="9.140625" style="40" customWidth="1"/>
    <col min="6922" max="6925" width="11.42578125" style="40" hidden="1" customWidth="1"/>
    <col min="6926" max="7168" width="11.42578125" style="40" hidden="1"/>
    <col min="7169" max="7169" width="5.5703125" style="40" customWidth="1"/>
    <col min="7170" max="7170" width="31.85546875" style="40" customWidth="1"/>
    <col min="7171" max="7171" width="15.85546875" style="40" customWidth="1"/>
    <col min="7172" max="7172" width="18.28515625" style="40" customWidth="1"/>
    <col min="7173" max="7173" width="17.42578125" style="40" customWidth="1"/>
    <col min="7174" max="7174" width="13.28515625" style="40" customWidth="1"/>
    <col min="7175" max="7175" width="13" style="40" customWidth="1"/>
    <col min="7176" max="7176" width="9.7109375" style="40" customWidth="1"/>
    <col min="7177" max="7177" width="9.140625" style="40" customWidth="1"/>
    <col min="7178" max="7181" width="11.42578125" style="40" hidden="1" customWidth="1"/>
    <col min="7182" max="7424" width="11.42578125" style="40" hidden="1"/>
    <col min="7425" max="7425" width="5.5703125" style="40" customWidth="1"/>
    <col min="7426" max="7426" width="31.85546875" style="40" customWidth="1"/>
    <col min="7427" max="7427" width="15.85546875" style="40" customWidth="1"/>
    <col min="7428" max="7428" width="18.28515625" style="40" customWidth="1"/>
    <col min="7429" max="7429" width="17.42578125" style="40" customWidth="1"/>
    <col min="7430" max="7430" width="13.28515625" style="40" customWidth="1"/>
    <col min="7431" max="7431" width="13" style="40" customWidth="1"/>
    <col min="7432" max="7432" width="9.7109375" style="40" customWidth="1"/>
    <col min="7433" max="7433" width="9.140625" style="40" customWidth="1"/>
    <col min="7434" max="7437" width="11.42578125" style="40" hidden="1" customWidth="1"/>
    <col min="7438" max="7680" width="11.42578125" style="40" hidden="1"/>
    <col min="7681" max="7681" width="5.5703125" style="40" customWidth="1"/>
    <col min="7682" max="7682" width="31.85546875" style="40" customWidth="1"/>
    <col min="7683" max="7683" width="15.85546875" style="40" customWidth="1"/>
    <col min="7684" max="7684" width="18.28515625" style="40" customWidth="1"/>
    <col min="7685" max="7685" width="17.42578125" style="40" customWidth="1"/>
    <col min="7686" max="7686" width="13.28515625" style="40" customWidth="1"/>
    <col min="7687" max="7687" width="13" style="40" customWidth="1"/>
    <col min="7688" max="7688" width="9.7109375" style="40" customWidth="1"/>
    <col min="7689" max="7689" width="9.140625" style="40" customWidth="1"/>
    <col min="7690" max="7693" width="11.42578125" style="40" hidden="1" customWidth="1"/>
    <col min="7694" max="7936" width="11.42578125" style="40" hidden="1"/>
    <col min="7937" max="7937" width="5.5703125" style="40" customWidth="1"/>
    <col min="7938" max="7938" width="31.85546875" style="40" customWidth="1"/>
    <col min="7939" max="7939" width="15.85546875" style="40" customWidth="1"/>
    <col min="7940" max="7940" width="18.28515625" style="40" customWidth="1"/>
    <col min="7941" max="7941" width="17.42578125" style="40" customWidth="1"/>
    <col min="7942" max="7942" width="13.28515625" style="40" customWidth="1"/>
    <col min="7943" max="7943" width="13" style="40" customWidth="1"/>
    <col min="7944" max="7944" width="9.7109375" style="40" customWidth="1"/>
    <col min="7945" max="7945" width="9.140625" style="40" customWidth="1"/>
    <col min="7946" max="7949" width="11.42578125" style="40" hidden="1" customWidth="1"/>
    <col min="7950" max="8192" width="11.42578125" style="40" hidden="1"/>
    <col min="8193" max="8193" width="5.5703125" style="40" customWidth="1"/>
    <col min="8194" max="8194" width="31.85546875" style="40" customWidth="1"/>
    <col min="8195" max="8195" width="15.85546875" style="40" customWidth="1"/>
    <col min="8196" max="8196" width="18.28515625" style="40" customWidth="1"/>
    <col min="8197" max="8197" width="17.42578125" style="40" customWidth="1"/>
    <col min="8198" max="8198" width="13.28515625" style="40" customWidth="1"/>
    <col min="8199" max="8199" width="13" style="40" customWidth="1"/>
    <col min="8200" max="8200" width="9.7109375" style="40" customWidth="1"/>
    <col min="8201" max="8201" width="9.140625" style="40" customWidth="1"/>
    <col min="8202" max="8205" width="11.42578125" style="40" hidden="1" customWidth="1"/>
    <col min="8206" max="8448" width="11.42578125" style="40" hidden="1"/>
    <col min="8449" max="8449" width="5.5703125" style="40" customWidth="1"/>
    <col min="8450" max="8450" width="31.85546875" style="40" customWidth="1"/>
    <col min="8451" max="8451" width="15.85546875" style="40" customWidth="1"/>
    <col min="8452" max="8452" width="18.28515625" style="40" customWidth="1"/>
    <col min="8453" max="8453" width="17.42578125" style="40" customWidth="1"/>
    <col min="8454" max="8454" width="13.28515625" style="40" customWidth="1"/>
    <col min="8455" max="8455" width="13" style="40" customWidth="1"/>
    <col min="8456" max="8456" width="9.7109375" style="40" customWidth="1"/>
    <col min="8457" max="8457" width="9.140625" style="40" customWidth="1"/>
    <col min="8458" max="8461" width="11.42578125" style="40" hidden="1" customWidth="1"/>
    <col min="8462" max="8704" width="11.42578125" style="40" hidden="1"/>
    <col min="8705" max="8705" width="5.5703125" style="40" customWidth="1"/>
    <col min="8706" max="8706" width="31.85546875" style="40" customWidth="1"/>
    <col min="8707" max="8707" width="15.85546875" style="40" customWidth="1"/>
    <col min="8708" max="8708" width="18.28515625" style="40" customWidth="1"/>
    <col min="8709" max="8709" width="17.42578125" style="40" customWidth="1"/>
    <col min="8710" max="8710" width="13.28515625" style="40" customWidth="1"/>
    <col min="8711" max="8711" width="13" style="40" customWidth="1"/>
    <col min="8712" max="8712" width="9.7109375" style="40" customWidth="1"/>
    <col min="8713" max="8713" width="9.140625" style="40" customWidth="1"/>
    <col min="8714" max="8717" width="11.42578125" style="40" hidden="1" customWidth="1"/>
    <col min="8718" max="8960" width="11.42578125" style="40" hidden="1"/>
    <col min="8961" max="8961" width="5.5703125" style="40" customWidth="1"/>
    <col min="8962" max="8962" width="31.85546875" style="40" customWidth="1"/>
    <col min="8963" max="8963" width="15.85546875" style="40" customWidth="1"/>
    <col min="8964" max="8964" width="18.28515625" style="40" customWidth="1"/>
    <col min="8965" max="8965" width="17.42578125" style="40" customWidth="1"/>
    <col min="8966" max="8966" width="13.28515625" style="40" customWidth="1"/>
    <col min="8967" max="8967" width="13" style="40" customWidth="1"/>
    <col min="8968" max="8968" width="9.7109375" style="40" customWidth="1"/>
    <col min="8969" max="8969" width="9.140625" style="40" customWidth="1"/>
    <col min="8970" max="8973" width="11.42578125" style="40" hidden="1" customWidth="1"/>
    <col min="8974" max="9216" width="11.42578125" style="40" hidden="1"/>
    <col min="9217" max="9217" width="5.5703125" style="40" customWidth="1"/>
    <col min="9218" max="9218" width="31.85546875" style="40" customWidth="1"/>
    <col min="9219" max="9219" width="15.85546875" style="40" customWidth="1"/>
    <col min="9220" max="9220" width="18.28515625" style="40" customWidth="1"/>
    <col min="9221" max="9221" width="17.42578125" style="40" customWidth="1"/>
    <col min="9222" max="9222" width="13.28515625" style="40" customWidth="1"/>
    <col min="9223" max="9223" width="13" style="40" customWidth="1"/>
    <col min="9224" max="9224" width="9.7109375" style="40" customWidth="1"/>
    <col min="9225" max="9225" width="9.140625" style="40" customWidth="1"/>
    <col min="9226" max="9229" width="11.42578125" style="40" hidden="1" customWidth="1"/>
    <col min="9230" max="9472" width="11.42578125" style="40" hidden="1"/>
    <col min="9473" max="9473" width="5.5703125" style="40" customWidth="1"/>
    <col min="9474" max="9474" width="31.85546875" style="40" customWidth="1"/>
    <col min="9475" max="9475" width="15.85546875" style="40" customWidth="1"/>
    <col min="9476" max="9476" width="18.28515625" style="40" customWidth="1"/>
    <col min="9477" max="9477" width="17.42578125" style="40" customWidth="1"/>
    <col min="9478" max="9478" width="13.28515625" style="40" customWidth="1"/>
    <col min="9479" max="9479" width="13" style="40" customWidth="1"/>
    <col min="9480" max="9480" width="9.7109375" style="40" customWidth="1"/>
    <col min="9481" max="9481" width="9.140625" style="40" customWidth="1"/>
    <col min="9482" max="9485" width="11.42578125" style="40" hidden="1" customWidth="1"/>
    <col min="9486" max="9728" width="11.42578125" style="40" hidden="1"/>
    <col min="9729" max="9729" width="5.5703125" style="40" customWidth="1"/>
    <col min="9730" max="9730" width="31.85546875" style="40" customWidth="1"/>
    <col min="9731" max="9731" width="15.85546875" style="40" customWidth="1"/>
    <col min="9732" max="9732" width="18.28515625" style="40" customWidth="1"/>
    <col min="9733" max="9733" width="17.42578125" style="40" customWidth="1"/>
    <col min="9734" max="9734" width="13.28515625" style="40" customWidth="1"/>
    <col min="9735" max="9735" width="13" style="40" customWidth="1"/>
    <col min="9736" max="9736" width="9.7109375" style="40" customWidth="1"/>
    <col min="9737" max="9737" width="9.140625" style="40" customWidth="1"/>
    <col min="9738" max="9741" width="11.42578125" style="40" hidden="1" customWidth="1"/>
    <col min="9742" max="9984" width="11.42578125" style="40" hidden="1"/>
    <col min="9985" max="9985" width="5.5703125" style="40" customWidth="1"/>
    <col min="9986" max="9986" width="31.85546875" style="40" customWidth="1"/>
    <col min="9987" max="9987" width="15.85546875" style="40" customWidth="1"/>
    <col min="9988" max="9988" width="18.28515625" style="40" customWidth="1"/>
    <col min="9989" max="9989" width="17.42578125" style="40" customWidth="1"/>
    <col min="9990" max="9990" width="13.28515625" style="40" customWidth="1"/>
    <col min="9991" max="9991" width="13" style="40" customWidth="1"/>
    <col min="9992" max="9992" width="9.7109375" style="40" customWidth="1"/>
    <col min="9993" max="9993" width="9.140625" style="40" customWidth="1"/>
    <col min="9994" max="9997" width="11.42578125" style="40" hidden="1" customWidth="1"/>
    <col min="9998" max="10240" width="11.42578125" style="40" hidden="1"/>
    <col min="10241" max="10241" width="5.5703125" style="40" customWidth="1"/>
    <col min="10242" max="10242" width="31.85546875" style="40" customWidth="1"/>
    <col min="10243" max="10243" width="15.85546875" style="40" customWidth="1"/>
    <col min="10244" max="10244" width="18.28515625" style="40" customWidth="1"/>
    <col min="10245" max="10245" width="17.42578125" style="40" customWidth="1"/>
    <col min="10246" max="10246" width="13.28515625" style="40" customWidth="1"/>
    <col min="10247" max="10247" width="13" style="40" customWidth="1"/>
    <col min="10248" max="10248" width="9.7109375" style="40" customWidth="1"/>
    <col min="10249" max="10249" width="9.140625" style="40" customWidth="1"/>
    <col min="10250" max="10253" width="11.42578125" style="40" hidden="1" customWidth="1"/>
    <col min="10254" max="10496" width="11.42578125" style="40" hidden="1"/>
    <col min="10497" max="10497" width="5.5703125" style="40" customWidth="1"/>
    <col min="10498" max="10498" width="31.85546875" style="40" customWidth="1"/>
    <col min="10499" max="10499" width="15.85546875" style="40" customWidth="1"/>
    <col min="10500" max="10500" width="18.28515625" style="40" customWidth="1"/>
    <col min="10501" max="10501" width="17.42578125" style="40" customWidth="1"/>
    <col min="10502" max="10502" width="13.28515625" style="40" customWidth="1"/>
    <col min="10503" max="10503" width="13" style="40" customWidth="1"/>
    <col min="10504" max="10504" width="9.7109375" style="40" customWidth="1"/>
    <col min="10505" max="10505" width="9.140625" style="40" customWidth="1"/>
    <col min="10506" max="10509" width="11.42578125" style="40" hidden="1" customWidth="1"/>
    <col min="10510" max="10752" width="11.42578125" style="40" hidden="1"/>
    <col min="10753" max="10753" width="5.5703125" style="40" customWidth="1"/>
    <col min="10754" max="10754" width="31.85546875" style="40" customWidth="1"/>
    <col min="10755" max="10755" width="15.85546875" style="40" customWidth="1"/>
    <col min="10756" max="10756" width="18.28515625" style="40" customWidth="1"/>
    <col min="10757" max="10757" width="17.42578125" style="40" customWidth="1"/>
    <col min="10758" max="10758" width="13.28515625" style="40" customWidth="1"/>
    <col min="10759" max="10759" width="13" style="40" customWidth="1"/>
    <col min="10760" max="10760" width="9.7109375" style="40" customWidth="1"/>
    <col min="10761" max="10761" width="9.140625" style="40" customWidth="1"/>
    <col min="10762" max="10765" width="11.42578125" style="40" hidden="1" customWidth="1"/>
    <col min="10766" max="11008" width="11.42578125" style="40" hidden="1"/>
    <col min="11009" max="11009" width="5.5703125" style="40" customWidth="1"/>
    <col min="11010" max="11010" width="31.85546875" style="40" customWidth="1"/>
    <col min="11011" max="11011" width="15.85546875" style="40" customWidth="1"/>
    <col min="11012" max="11012" width="18.28515625" style="40" customWidth="1"/>
    <col min="11013" max="11013" width="17.42578125" style="40" customWidth="1"/>
    <col min="11014" max="11014" width="13.28515625" style="40" customWidth="1"/>
    <col min="11015" max="11015" width="13" style="40" customWidth="1"/>
    <col min="11016" max="11016" width="9.7109375" style="40" customWidth="1"/>
    <col min="11017" max="11017" width="9.140625" style="40" customWidth="1"/>
    <col min="11018" max="11021" width="11.42578125" style="40" hidden="1" customWidth="1"/>
    <col min="11022" max="11264" width="11.42578125" style="40" hidden="1"/>
    <col min="11265" max="11265" width="5.5703125" style="40" customWidth="1"/>
    <col min="11266" max="11266" width="31.85546875" style="40" customWidth="1"/>
    <col min="11267" max="11267" width="15.85546875" style="40" customWidth="1"/>
    <col min="11268" max="11268" width="18.28515625" style="40" customWidth="1"/>
    <col min="11269" max="11269" width="17.42578125" style="40" customWidth="1"/>
    <col min="11270" max="11270" width="13.28515625" style="40" customWidth="1"/>
    <col min="11271" max="11271" width="13" style="40" customWidth="1"/>
    <col min="11272" max="11272" width="9.7109375" style="40" customWidth="1"/>
    <col min="11273" max="11273" width="9.140625" style="40" customWidth="1"/>
    <col min="11274" max="11277" width="11.42578125" style="40" hidden="1" customWidth="1"/>
    <col min="11278" max="11520" width="11.42578125" style="40" hidden="1"/>
    <col min="11521" max="11521" width="5.5703125" style="40" customWidth="1"/>
    <col min="11522" max="11522" width="31.85546875" style="40" customWidth="1"/>
    <col min="11523" max="11523" width="15.85546875" style="40" customWidth="1"/>
    <col min="11524" max="11524" width="18.28515625" style="40" customWidth="1"/>
    <col min="11525" max="11525" width="17.42578125" style="40" customWidth="1"/>
    <col min="11526" max="11526" width="13.28515625" style="40" customWidth="1"/>
    <col min="11527" max="11527" width="13" style="40" customWidth="1"/>
    <col min="11528" max="11528" width="9.7109375" style="40" customWidth="1"/>
    <col min="11529" max="11529" width="9.140625" style="40" customWidth="1"/>
    <col min="11530" max="11533" width="11.42578125" style="40" hidden="1" customWidth="1"/>
    <col min="11534" max="11776" width="11.42578125" style="40" hidden="1"/>
    <col min="11777" max="11777" width="5.5703125" style="40" customWidth="1"/>
    <col min="11778" max="11778" width="31.85546875" style="40" customWidth="1"/>
    <col min="11779" max="11779" width="15.85546875" style="40" customWidth="1"/>
    <col min="11780" max="11780" width="18.28515625" style="40" customWidth="1"/>
    <col min="11781" max="11781" width="17.42578125" style="40" customWidth="1"/>
    <col min="11782" max="11782" width="13.28515625" style="40" customWidth="1"/>
    <col min="11783" max="11783" width="13" style="40" customWidth="1"/>
    <col min="11784" max="11784" width="9.7109375" style="40" customWidth="1"/>
    <col min="11785" max="11785" width="9.140625" style="40" customWidth="1"/>
    <col min="11786" max="11789" width="11.42578125" style="40" hidden="1" customWidth="1"/>
    <col min="11790" max="12032" width="11.42578125" style="40" hidden="1"/>
    <col min="12033" max="12033" width="5.5703125" style="40" customWidth="1"/>
    <col min="12034" max="12034" width="31.85546875" style="40" customWidth="1"/>
    <col min="12035" max="12035" width="15.85546875" style="40" customWidth="1"/>
    <col min="12036" max="12036" width="18.28515625" style="40" customWidth="1"/>
    <col min="12037" max="12037" width="17.42578125" style="40" customWidth="1"/>
    <col min="12038" max="12038" width="13.28515625" style="40" customWidth="1"/>
    <col min="12039" max="12039" width="13" style="40" customWidth="1"/>
    <col min="12040" max="12040" width="9.7109375" style="40" customWidth="1"/>
    <col min="12041" max="12041" width="9.140625" style="40" customWidth="1"/>
    <col min="12042" max="12045" width="11.42578125" style="40" hidden="1" customWidth="1"/>
    <col min="12046" max="12288" width="11.42578125" style="40" hidden="1"/>
    <col min="12289" max="12289" width="5.5703125" style="40" customWidth="1"/>
    <col min="12290" max="12290" width="31.85546875" style="40" customWidth="1"/>
    <col min="12291" max="12291" width="15.85546875" style="40" customWidth="1"/>
    <col min="12292" max="12292" width="18.28515625" style="40" customWidth="1"/>
    <col min="12293" max="12293" width="17.42578125" style="40" customWidth="1"/>
    <col min="12294" max="12294" width="13.28515625" style="40" customWidth="1"/>
    <col min="12295" max="12295" width="13" style="40" customWidth="1"/>
    <col min="12296" max="12296" width="9.7109375" style="40" customWidth="1"/>
    <col min="12297" max="12297" width="9.140625" style="40" customWidth="1"/>
    <col min="12298" max="12301" width="11.42578125" style="40" hidden="1" customWidth="1"/>
    <col min="12302" max="12544" width="11.42578125" style="40" hidden="1"/>
    <col min="12545" max="12545" width="5.5703125" style="40" customWidth="1"/>
    <col min="12546" max="12546" width="31.85546875" style="40" customWidth="1"/>
    <col min="12547" max="12547" width="15.85546875" style="40" customWidth="1"/>
    <col min="12548" max="12548" width="18.28515625" style="40" customWidth="1"/>
    <col min="12549" max="12549" width="17.42578125" style="40" customWidth="1"/>
    <col min="12550" max="12550" width="13.28515625" style="40" customWidth="1"/>
    <col min="12551" max="12551" width="13" style="40" customWidth="1"/>
    <col min="12552" max="12552" width="9.7109375" style="40" customWidth="1"/>
    <col min="12553" max="12553" width="9.140625" style="40" customWidth="1"/>
    <col min="12554" max="12557" width="11.42578125" style="40" hidden="1" customWidth="1"/>
    <col min="12558" max="12800" width="11.42578125" style="40" hidden="1"/>
    <col min="12801" max="12801" width="5.5703125" style="40" customWidth="1"/>
    <col min="12802" max="12802" width="31.85546875" style="40" customWidth="1"/>
    <col min="12803" max="12803" width="15.85546875" style="40" customWidth="1"/>
    <col min="12804" max="12804" width="18.28515625" style="40" customWidth="1"/>
    <col min="12805" max="12805" width="17.42578125" style="40" customWidth="1"/>
    <col min="12806" max="12806" width="13.28515625" style="40" customWidth="1"/>
    <col min="12807" max="12807" width="13" style="40" customWidth="1"/>
    <col min="12808" max="12808" width="9.7109375" style="40" customWidth="1"/>
    <col min="12809" max="12809" width="9.140625" style="40" customWidth="1"/>
    <col min="12810" max="12813" width="11.42578125" style="40" hidden="1" customWidth="1"/>
    <col min="12814" max="13056" width="11.42578125" style="40" hidden="1"/>
    <col min="13057" max="13057" width="5.5703125" style="40" customWidth="1"/>
    <col min="13058" max="13058" width="31.85546875" style="40" customWidth="1"/>
    <col min="13059" max="13059" width="15.85546875" style="40" customWidth="1"/>
    <col min="13060" max="13060" width="18.28515625" style="40" customWidth="1"/>
    <col min="13061" max="13061" width="17.42578125" style="40" customWidth="1"/>
    <col min="13062" max="13062" width="13.28515625" style="40" customWidth="1"/>
    <col min="13063" max="13063" width="13" style="40" customWidth="1"/>
    <col min="13064" max="13064" width="9.7109375" style="40" customWidth="1"/>
    <col min="13065" max="13065" width="9.140625" style="40" customWidth="1"/>
    <col min="13066" max="13069" width="11.42578125" style="40" hidden="1" customWidth="1"/>
    <col min="13070" max="13312" width="11.42578125" style="40" hidden="1"/>
    <col min="13313" max="13313" width="5.5703125" style="40" customWidth="1"/>
    <col min="13314" max="13314" width="31.85546875" style="40" customWidth="1"/>
    <col min="13315" max="13315" width="15.85546875" style="40" customWidth="1"/>
    <col min="13316" max="13316" width="18.28515625" style="40" customWidth="1"/>
    <col min="13317" max="13317" width="17.42578125" style="40" customWidth="1"/>
    <col min="13318" max="13318" width="13.28515625" style="40" customWidth="1"/>
    <col min="13319" max="13319" width="13" style="40" customWidth="1"/>
    <col min="13320" max="13320" width="9.7109375" style="40" customWidth="1"/>
    <col min="13321" max="13321" width="9.140625" style="40" customWidth="1"/>
    <col min="13322" max="13325" width="11.42578125" style="40" hidden="1" customWidth="1"/>
    <col min="13326" max="13568" width="11.42578125" style="40" hidden="1"/>
    <col min="13569" max="13569" width="5.5703125" style="40" customWidth="1"/>
    <col min="13570" max="13570" width="31.85546875" style="40" customWidth="1"/>
    <col min="13571" max="13571" width="15.85546875" style="40" customWidth="1"/>
    <col min="13572" max="13572" width="18.28515625" style="40" customWidth="1"/>
    <col min="13573" max="13573" width="17.42578125" style="40" customWidth="1"/>
    <col min="13574" max="13574" width="13.28515625" style="40" customWidth="1"/>
    <col min="13575" max="13575" width="13" style="40" customWidth="1"/>
    <col min="13576" max="13576" width="9.7109375" style="40" customWidth="1"/>
    <col min="13577" max="13577" width="9.140625" style="40" customWidth="1"/>
    <col min="13578" max="13581" width="11.42578125" style="40" hidden="1" customWidth="1"/>
    <col min="13582" max="13824" width="11.42578125" style="40" hidden="1"/>
    <col min="13825" max="13825" width="5.5703125" style="40" customWidth="1"/>
    <col min="13826" max="13826" width="31.85546875" style="40" customWidth="1"/>
    <col min="13827" max="13827" width="15.85546875" style="40" customWidth="1"/>
    <col min="13828" max="13828" width="18.28515625" style="40" customWidth="1"/>
    <col min="13829" max="13829" width="17.42578125" style="40" customWidth="1"/>
    <col min="13830" max="13830" width="13.28515625" style="40" customWidth="1"/>
    <col min="13831" max="13831" width="13" style="40" customWidth="1"/>
    <col min="13832" max="13832" width="9.7109375" style="40" customWidth="1"/>
    <col min="13833" max="13833" width="9.140625" style="40" customWidth="1"/>
    <col min="13834" max="13837" width="11.42578125" style="40" hidden="1" customWidth="1"/>
    <col min="13838" max="14080" width="11.42578125" style="40" hidden="1"/>
    <col min="14081" max="14081" width="5.5703125" style="40" customWidth="1"/>
    <col min="14082" max="14082" width="31.85546875" style="40" customWidth="1"/>
    <col min="14083" max="14083" width="15.85546875" style="40" customWidth="1"/>
    <col min="14084" max="14084" width="18.28515625" style="40" customWidth="1"/>
    <col min="14085" max="14085" width="17.42578125" style="40" customWidth="1"/>
    <col min="14086" max="14086" width="13.28515625" style="40" customWidth="1"/>
    <col min="14087" max="14087" width="13" style="40" customWidth="1"/>
    <col min="14088" max="14088" width="9.7109375" style="40" customWidth="1"/>
    <col min="14089" max="14089" width="9.140625" style="40" customWidth="1"/>
    <col min="14090" max="14093" width="11.42578125" style="40" hidden="1" customWidth="1"/>
    <col min="14094" max="14336" width="11.42578125" style="40" hidden="1"/>
    <col min="14337" max="14337" width="5.5703125" style="40" customWidth="1"/>
    <col min="14338" max="14338" width="31.85546875" style="40" customWidth="1"/>
    <col min="14339" max="14339" width="15.85546875" style="40" customWidth="1"/>
    <col min="14340" max="14340" width="18.28515625" style="40" customWidth="1"/>
    <col min="14341" max="14341" width="17.42578125" style="40" customWidth="1"/>
    <col min="14342" max="14342" width="13.28515625" style="40" customWidth="1"/>
    <col min="14343" max="14343" width="13" style="40" customWidth="1"/>
    <col min="14344" max="14344" width="9.7109375" style="40" customWidth="1"/>
    <col min="14345" max="14345" width="9.140625" style="40" customWidth="1"/>
    <col min="14346" max="14349" width="11.42578125" style="40" hidden="1" customWidth="1"/>
    <col min="14350" max="14592" width="11.42578125" style="40" hidden="1"/>
    <col min="14593" max="14593" width="5.5703125" style="40" customWidth="1"/>
    <col min="14594" max="14594" width="31.85546875" style="40" customWidth="1"/>
    <col min="14595" max="14595" width="15.85546875" style="40" customWidth="1"/>
    <col min="14596" max="14596" width="18.28515625" style="40" customWidth="1"/>
    <col min="14597" max="14597" width="17.42578125" style="40" customWidth="1"/>
    <col min="14598" max="14598" width="13.28515625" style="40" customWidth="1"/>
    <col min="14599" max="14599" width="13" style="40" customWidth="1"/>
    <col min="14600" max="14600" width="9.7109375" style="40" customWidth="1"/>
    <col min="14601" max="14601" width="9.140625" style="40" customWidth="1"/>
    <col min="14602" max="14605" width="11.42578125" style="40" hidden="1" customWidth="1"/>
    <col min="14606" max="14848" width="11.42578125" style="40" hidden="1"/>
    <col min="14849" max="14849" width="5.5703125" style="40" customWidth="1"/>
    <col min="14850" max="14850" width="31.85546875" style="40" customWidth="1"/>
    <col min="14851" max="14851" width="15.85546875" style="40" customWidth="1"/>
    <col min="14852" max="14852" width="18.28515625" style="40" customWidth="1"/>
    <col min="14853" max="14853" width="17.42578125" style="40" customWidth="1"/>
    <col min="14854" max="14854" width="13.28515625" style="40" customWidth="1"/>
    <col min="14855" max="14855" width="13" style="40" customWidth="1"/>
    <col min="14856" max="14856" width="9.7109375" style="40" customWidth="1"/>
    <col min="14857" max="14857" width="9.140625" style="40" customWidth="1"/>
    <col min="14858" max="14861" width="11.42578125" style="40" hidden="1" customWidth="1"/>
    <col min="14862" max="15104" width="11.42578125" style="40" hidden="1"/>
    <col min="15105" max="15105" width="5.5703125" style="40" customWidth="1"/>
    <col min="15106" max="15106" width="31.85546875" style="40" customWidth="1"/>
    <col min="15107" max="15107" width="15.85546875" style="40" customWidth="1"/>
    <col min="15108" max="15108" width="18.28515625" style="40" customWidth="1"/>
    <col min="15109" max="15109" width="17.42578125" style="40" customWidth="1"/>
    <col min="15110" max="15110" width="13.28515625" style="40" customWidth="1"/>
    <col min="15111" max="15111" width="13" style="40" customWidth="1"/>
    <col min="15112" max="15112" width="9.7109375" style="40" customWidth="1"/>
    <col min="15113" max="15113" width="9.140625" style="40" customWidth="1"/>
    <col min="15114" max="15117" width="11.42578125" style="40" hidden="1" customWidth="1"/>
    <col min="15118" max="15360" width="11.42578125" style="40" hidden="1"/>
    <col min="15361" max="15361" width="5.5703125" style="40" customWidth="1"/>
    <col min="15362" max="15362" width="31.85546875" style="40" customWidth="1"/>
    <col min="15363" max="15363" width="15.85546875" style="40" customWidth="1"/>
    <col min="15364" max="15364" width="18.28515625" style="40" customWidth="1"/>
    <col min="15365" max="15365" width="17.42578125" style="40" customWidth="1"/>
    <col min="15366" max="15366" width="13.28515625" style="40" customWidth="1"/>
    <col min="15367" max="15367" width="13" style="40" customWidth="1"/>
    <col min="15368" max="15368" width="9.7109375" style="40" customWidth="1"/>
    <col min="15369" max="15369" width="9.140625" style="40" customWidth="1"/>
    <col min="15370" max="15373" width="11.42578125" style="40" hidden="1" customWidth="1"/>
    <col min="15374" max="15616" width="11.42578125" style="40" hidden="1"/>
    <col min="15617" max="15617" width="5.5703125" style="40" customWidth="1"/>
    <col min="15618" max="15618" width="31.85546875" style="40" customWidth="1"/>
    <col min="15619" max="15619" width="15.85546875" style="40" customWidth="1"/>
    <col min="15620" max="15620" width="18.28515625" style="40" customWidth="1"/>
    <col min="15621" max="15621" width="17.42578125" style="40" customWidth="1"/>
    <col min="15622" max="15622" width="13.28515625" style="40" customWidth="1"/>
    <col min="15623" max="15623" width="13" style="40" customWidth="1"/>
    <col min="15624" max="15624" width="9.7109375" style="40" customWidth="1"/>
    <col min="15625" max="15625" width="9.140625" style="40" customWidth="1"/>
    <col min="15626" max="15629" width="11.42578125" style="40" hidden="1" customWidth="1"/>
    <col min="15630" max="15872" width="11.42578125" style="40" hidden="1"/>
    <col min="15873" max="15873" width="5.5703125" style="40" customWidth="1"/>
    <col min="15874" max="15874" width="31.85546875" style="40" customWidth="1"/>
    <col min="15875" max="15875" width="15.85546875" style="40" customWidth="1"/>
    <col min="15876" max="15876" width="18.28515625" style="40" customWidth="1"/>
    <col min="15877" max="15877" width="17.42578125" style="40" customWidth="1"/>
    <col min="15878" max="15878" width="13.28515625" style="40" customWidth="1"/>
    <col min="15879" max="15879" width="13" style="40" customWidth="1"/>
    <col min="15880" max="15880" width="9.7109375" style="40" customWidth="1"/>
    <col min="15881" max="15881" width="9.140625" style="40" customWidth="1"/>
    <col min="15882" max="15885" width="11.42578125" style="40" hidden="1" customWidth="1"/>
    <col min="15886" max="16128" width="11.42578125" style="40" hidden="1"/>
    <col min="16129" max="16129" width="5.5703125" style="40" customWidth="1"/>
    <col min="16130" max="16130" width="31.85546875" style="40" customWidth="1"/>
    <col min="16131" max="16131" width="15.85546875" style="40" customWidth="1"/>
    <col min="16132" max="16132" width="18.28515625" style="40" customWidth="1"/>
    <col min="16133" max="16133" width="17.42578125" style="40" customWidth="1"/>
    <col min="16134" max="16134" width="13.28515625" style="40" customWidth="1"/>
    <col min="16135" max="16135" width="13" style="40" customWidth="1"/>
    <col min="16136" max="16136" width="9.7109375" style="40" customWidth="1"/>
    <col min="16137" max="16137" width="9.140625" style="40" customWidth="1"/>
    <col min="16138" max="16141" width="11.42578125" style="40" hidden="1" customWidth="1"/>
    <col min="16142" max="16384" width="11.42578125" style="40" hidden="1"/>
  </cols>
  <sheetData>
    <row r="1" spans="1:773" ht="18">
      <c r="A1"/>
      <c r="B1" s="675" t="s">
        <v>34</v>
      </c>
      <c r="C1" s="675"/>
      <c r="D1" s="675"/>
      <c r="E1" s="675"/>
      <c r="F1" s="675"/>
      <c r="G1" s="675"/>
      <c r="H1" s="675"/>
      <c r="I1" s="675"/>
    </row>
    <row r="2" spans="1:773" s="42" customFormat="1">
      <c r="A2" s="39"/>
      <c r="B2" s="41"/>
      <c r="C2" s="41"/>
      <c r="D2" s="41"/>
      <c r="E2" s="41"/>
      <c r="F2" s="41"/>
      <c r="G2" s="41"/>
      <c r="H2" s="41"/>
      <c r="I2" s="41"/>
      <c r="IW2" s="40"/>
      <c r="IX2" s="40"/>
      <c r="IY2" s="40"/>
      <c r="IZ2" s="40"/>
      <c r="JA2" s="40"/>
      <c r="JB2" s="40"/>
      <c r="JC2" s="40"/>
      <c r="JD2" s="40"/>
      <c r="JE2" s="40"/>
      <c r="JF2" s="40"/>
      <c r="JG2" s="40"/>
      <c r="JH2" s="40"/>
      <c r="JI2" s="40"/>
      <c r="JJ2" s="40"/>
      <c r="JK2" s="40"/>
      <c r="JL2" s="40"/>
      <c r="JM2" s="40"/>
      <c r="JN2" s="40"/>
      <c r="JO2" s="40"/>
      <c r="JP2" s="40"/>
      <c r="JQ2" s="40"/>
      <c r="JR2" s="40"/>
      <c r="JS2" s="40"/>
      <c r="JT2" s="40"/>
      <c r="JU2" s="40"/>
      <c r="JV2" s="40"/>
      <c r="JW2" s="40"/>
      <c r="JX2" s="40"/>
      <c r="JY2" s="40"/>
      <c r="JZ2" s="40"/>
      <c r="KA2" s="40"/>
      <c r="KB2" s="40"/>
      <c r="KC2" s="40"/>
      <c r="KD2" s="40"/>
      <c r="KE2" s="40"/>
      <c r="KF2" s="40"/>
      <c r="KG2" s="40"/>
      <c r="KH2" s="40"/>
      <c r="KI2" s="40"/>
      <c r="KJ2" s="40"/>
      <c r="KK2" s="40"/>
      <c r="KL2" s="40"/>
      <c r="KM2" s="40"/>
      <c r="KN2" s="40"/>
      <c r="KO2" s="40"/>
      <c r="KP2" s="40"/>
      <c r="KQ2" s="40"/>
      <c r="KR2" s="40"/>
      <c r="KS2" s="40"/>
      <c r="KT2" s="40"/>
      <c r="KU2" s="40"/>
      <c r="KV2" s="40"/>
      <c r="KW2" s="40"/>
      <c r="KX2" s="40"/>
      <c r="KY2" s="40"/>
      <c r="KZ2" s="40"/>
      <c r="LA2" s="40"/>
      <c r="LB2" s="40"/>
      <c r="LC2" s="40"/>
      <c r="LD2" s="40"/>
      <c r="LE2" s="40"/>
      <c r="LF2" s="40"/>
      <c r="LG2" s="40"/>
      <c r="LH2" s="40"/>
      <c r="LI2" s="40"/>
      <c r="LJ2" s="40"/>
      <c r="LK2" s="40"/>
      <c r="LL2" s="40"/>
      <c r="LM2" s="40"/>
      <c r="LN2" s="40"/>
      <c r="LO2" s="40"/>
      <c r="LP2" s="40"/>
      <c r="LQ2" s="40"/>
      <c r="LR2" s="40"/>
      <c r="LS2" s="40"/>
      <c r="LT2" s="40"/>
      <c r="LU2" s="40"/>
      <c r="LV2" s="40"/>
      <c r="LW2" s="40"/>
      <c r="LX2" s="40"/>
      <c r="LY2" s="40"/>
      <c r="LZ2" s="40"/>
      <c r="MA2" s="40"/>
      <c r="MB2" s="40"/>
      <c r="MC2" s="40"/>
      <c r="MD2" s="40"/>
      <c r="ME2" s="40"/>
      <c r="MF2" s="40"/>
      <c r="MG2" s="40"/>
      <c r="MH2" s="40"/>
      <c r="MI2" s="40"/>
      <c r="MJ2" s="40"/>
      <c r="MK2" s="40"/>
      <c r="ML2" s="40"/>
      <c r="MM2" s="40"/>
      <c r="MN2" s="40"/>
      <c r="MO2" s="40"/>
      <c r="MP2" s="40"/>
      <c r="MQ2" s="40"/>
      <c r="MR2" s="40"/>
      <c r="MS2" s="40"/>
      <c r="MT2" s="40"/>
      <c r="MU2" s="40"/>
      <c r="MV2" s="40"/>
      <c r="MW2" s="40"/>
      <c r="MX2" s="40"/>
      <c r="MY2" s="40"/>
      <c r="MZ2" s="40"/>
      <c r="NA2" s="40"/>
      <c r="NB2" s="40"/>
      <c r="NC2" s="40"/>
      <c r="ND2" s="40"/>
      <c r="NE2" s="40"/>
      <c r="NF2" s="40"/>
      <c r="NG2" s="40"/>
      <c r="NH2" s="40"/>
      <c r="NI2" s="40"/>
      <c r="NJ2" s="40"/>
      <c r="NK2" s="40"/>
      <c r="NL2" s="40"/>
      <c r="NM2" s="40"/>
      <c r="NN2" s="40"/>
      <c r="NO2" s="40"/>
      <c r="NP2" s="40"/>
      <c r="NQ2" s="40"/>
      <c r="NR2" s="40"/>
      <c r="NS2" s="40"/>
      <c r="NT2" s="40"/>
      <c r="NU2" s="40"/>
      <c r="NV2" s="40"/>
      <c r="NW2" s="40"/>
      <c r="NX2" s="40"/>
      <c r="NY2" s="40"/>
      <c r="NZ2" s="40"/>
      <c r="OA2" s="40"/>
      <c r="OB2" s="40"/>
      <c r="OC2" s="40"/>
      <c r="OD2" s="40"/>
      <c r="OE2" s="40"/>
      <c r="OF2" s="40"/>
      <c r="OG2" s="40"/>
      <c r="OH2" s="40"/>
      <c r="OI2" s="40"/>
      <c r="OJ2" s="40"/>
      <c r="OK2" s="40"/>
      <c r="OL2" s="40"/>
      <c r="OM2" s="40"/>
      <c r="ON2" s="40"/>
      <c r="OO2" s="40"/>
      <c r="OP2" s="40"/>
      <c r="OQ2" s="40"/>
      <c r="OR2" s="40"/>
      <c r="OS2" s="40"/>
      <c r="OT2" s="40"/>
      <c r="OU2" s="40"/>
      <c r="OV2" s="40"/>
      <c r="OW2" s="40"/>
      <c r="OX2" s="40"/>
      <c r="OY2" s="40"/>
      <c r="OZ2" s="40"/>
      <c r="PA2" s="40"/>
      <c r="PB2" s="40"/>
      <c r="PC2" s="40"/>
      <c r="PD2" s="40"/>
      <c r="PE2" s="40"/>
      <c r="PF2" s="40"/>
      <c r="PG2" s="40"/>
      <c r="PH2" s="40"/>
      <c r="PI2" s="40"/>
      <c r="PJ2" s="40"/>
      <c r="PK2" s="40"/>
      <c r="PL2" s="40"/>
      <c r="PM2" s="40"/>
      <c r="PN2" s="40"/>
      <c r="PO2" s="40"/>
      <c r="PP2" s="40"/>
      <c r="PQ2" s="40"/>
      <c r="PR2" s="40"/>
      <c r="PS2" s="40"/>
      <c r="PT2" s="40"/>
      <c r="PU2" s="40"/>
      <c r="PV2" s="40"/>
      <c r="PW2" s="40"/>
      <c r="PX2" s="40"/>
      <c r="PY2" s="40"/>
      <c r="PZ2" s="40"/>
      <c r="QA2" s="40"/>
      <c r="QB2" s="40"/>
      <c r="QC2" s="40"/>
      <c r="QD2" s="40"/>
      <c r="QE2" s="40"/>
      <c r="QF2" s="40"/>
      <c r="QG2" s="40"/>
      <c r="QH2" s="40"/>
      <c r="QI2" s="40"/>
      <c r="QJ2" s="40"/>
      <c r="QK2" s="40"/>
      <c r="QL2" s="40"/>
      <c r="QM2" s="40"/>
      <c r="QN2" s="40"/>
      <c r="QO2" s="40"/>
      <c r="QP2" s="40"/>
      <c r="QQ2" s="40"/>
      <c r="QR2" s="40"/>
      <c r="QS2" s="40"/>
      <c r="QT2" s="40"/>
      <c r="QU2" s="40"/>
      <c r="QV2" s="40"/>
      <c r="QW2" s="40"/>
      <c r="QX2" s="40"/>
      <c r="QY2" s="40"/>
      <c r="QZ2" s="40"/>
      <c r="RA2" s="40"/>
      <c r="RB2" s="40"/>
      <c r="RC2" s="40"/>
      <c r="RD2" s="40"/>
      <c r="RE2" s="40"/>
      <c r="RF2" s="40"/>
      <c r="RG2" s="40"/>
      <c r="RH2" s="40"/>
      <c r="RI2" s="40"/>
      <c r="RJ2" s="40"/>
      <c r="RK2" s="40"/>
      <c r="RL2" s="40"/>
      <c r="RM2" s="40"/>
      <c r="RN2" s="40"/>
      <c r="RO2" s="40"/>
      <c r="RP2" s="40"/>
      <c r="RQ2" s="40"/>
      <c r="RR2" s="40"/>
      <c r="RS2" s="40"/>
      <c r="RT2" s="40"/>
      <c r="RU2" s="40"/>
      <c r="RV2" s="40"/>
      <c r="RW2" s="40"/>
      <c r="RX2" s="40"/>
      <c r="RY2" s="40"/>
      <c r="RZ2" s="40"/>
      <c r="SA2" s="40"/>
      <c r="SB2" s="40"/>
      <c r="SC2" s="40"/>
      <c r="SD2" s="40"/>
      <c r="SE2" s="40"/>
      <c r="SF2" s="40"/>
      <c r="SG2" s="40"/>
      <c r="SH2" s="40"/>
      <c r="SI2" s="40"/>
      <c r="SJ2" s="40"/>
      <c r="SK2" s="40"/>
      <c r="SL2" s="40"/>
      <c r="SM2" s="40"/>
      <c r="SN2" s="40"/>
      <c r="SO2" s="40"/>
      <c r="SP2" s="40"/>
      <c r="SQ2" s="40"/>
      <c r="SR2" s="40"/>
      <c r="SS2" s="40"/>
      <c r="ST2" s="40"/>
      <c r="SU2" s="40"/>
      <c r="SV2" s="40"/>
      <c r="SW2" s="40"/>
      <c r="SX2" s="40"/>
      <c r="SY2" s="40"/>
      <c r="SZ2" s="40"/>
      <c r="TA2" s="40"/>
      <c r="TB2" s="40"/>
      <c r="TC2" s="40"/>
      <c r="TD2" s="40"/>
      <c r="TE2" s="40"/>
      <c r="TF2" s="40"/>
      <c r="TG2" s="40"/>
      <c r="TH2" s="40"/>
      <c r="TI2" s="40"/>
      <c r="TJ2" s="40"/>
      <c r="TK2" s="40"/>
      <c r="TL2" s="40"/>
      <c r="TM2" s="40"/>
      <c r="TN2" s="40"/>
      <c r="TO2" s="40"/>
      <c r="TP2" s="40"/>
      <c r="TQ2" s="40"/>
      <c r="TR2" s="40"/>
      <c r="TS2" s="40"/>
      <c r="TT2" s="40"/>
      <c r="TU2" s="40"/>
      <c r="TV2" s="40"/>
      <c r="TW2" s="40"/>
      <c r="TX2" s="40"/>
      <c r="TY2" s="40"/>
      <c r="TZ2" s="40"/>
      <c r="UA2" s="40"/>
      <c r="UB2" s="40"/>
      <c r="UC2" s="40"/>
      <c r="UD2" s="40"/>
      <c r="UE2" s="40"/>
      <c r="UF2" s="40"/>
      <c r="UG2" s="40"/>
      <c r="UH2" s="40"/>
      <c r="UI2" s="40"/>
      <c r="UJ2" s="40"/>
      <c r="UK2" s="40"/>
      <c r="UL2" s="40"/>
      <c r="UM2" s="40"/>
      <c r="UN2" s="40"/>
      <c r="UO2" s="40"/>
      <c r="UP2" s="40"/>
      <c r="UQ2" s="40"/>
      <c r="UR2" s="40"/>
      <c r="US2" s="40"/>
      <c r="UT2" s="40"/>
      <c r="UU2" s="40"/>
      <c r="UV2" s="40"/>
      <c r="UW2" s="40"/>
      <c r="UX2" s="40"/>
      <c r="UY2" s="40"/>
      <c r="UZ2" s="40"/>
      <c r="VA2" s="40"/>
      <c r="VB2" s="40"/>
      <c r="VC2" s="40"/>
      <c r="VD2" s="40"/>
      <c r="VE2" s="40"/>
      <c r="VF2" s="40"/>
      <c r="VG2" s="40"/>
      <c r="VH2" s="40"/>
      <c r="VI2" s="40"/>
      <c r="VJ2" s="40"/>
      <c r="VK2" s="40"/>
      <c r="VL2" s="40"/>
      <c r="VM2" s="40"/>
      <c r="VN2" s="40"/>
      <c r="VO2" s="40"/>
      <c r="VP2" s="40"/>
      <c r="VQ2" s="40"/>
      <c r="VR2" s="40"/>
      <c r="VS2" s="40"/>
      <c r="VT2" s="40"/>
      <c r="VU2" s="40"/>
      <c r="VV2" s="40"/>
      <c r="VW2" s="40"/>
      <c r="VX2" s="40"/>
      <c r="VY2" s="40"/>
      <c r="VZ2" s="40"/>
      <c r="WA2" s="40"/>
      <c r="WB2" s="40"/>
      <c r="WC2" s="40"/>
      <c r="WD2" s="40"/>
      <c r="WE2" s="40"/>
      <c r="WF2" s="40"/>
      <c r="WG2" s="40"/>
      <c r="WH2" s="40"/>
      <c r="WI2" s="40"/>
      <c r="WJ2" s="40"/>
      <c r="WK2" s="40"/>
      <c r="WL2" s="40"/>
      <c r="WM2" s="40"/>
      <c r="WN2" s="40"/>
      <c r="WO2" s="40"/>
      <c r="WP2" s="40"/>
      <c r="WQ2" s="40"/>
      <c r="WR2" s="40"/>
      <c r="WS2" s="40"/>
      <c r="WT2" s="40"/>
      <c r="WU2" s="40"/>
      <c r="WV2" s="40"/>
      <c r="WW2" s="40"/>
      <c r="WX2" s="40"/>
      <c r="WY2" s="40"/>
      <c r="WZ2" s="40"/>
      <c r="XA2" s="40"/>
      <c r="XB2" s="40"/>
      <c r="XC2" s="40"/>
      <c r="XD2" s="40"/>
      <c r="XE2" s="40"/>
      <c r="XF2" s="40"/>
      <c r="XG2" s="40"/>
      <c r="XH2" s="40"/>
      <c r="XI2" s="40"/>
      <c r="XJ2" s="40"/>
      <c r="XK2" s="40"/>
      <c r="XL2" s="40"/>
      <c r="XM2" s="40"/>
      <c r="XN2" s="40"/>
      <c r="XO2" s="40"/>
      <c r="XP2" s="40"/>
      <c r="XQ2" s="40"/>
      <c r="XR2" s="40"/>
      <c r="XS2" s="40"/>
      <c r="XT2" s="40"/>
      <c r="XU2" s="40"/>
      <c r="XV2" s="40"/>
      <c r="XW2" s="40"/>
      <c r="XX2" s="40"/>
      <c r="XY2" s="40"/>
      <c r="XZ2" s="40"/>
      <c r="YA2" s="40"/>
      <c r="YB2" s="40"/>
      <c r="YC2" s="40"/>
      <c r="YD2" s="40"/>
      <c r="YE2" s="40"/>
      <c r="YF2" s="40"/>
      <c r="YG2" s="40"/>
      <c r="YH2" s="40"/>
      <c r="YI2" s="40"/>
      <c r="YJ2" s="40"/>
      <c r="YK2" s="40"/>
      <c r="YL2" s="40"/>
      <c r="YM2" s="40"/>
      <c r="YN2" s="40"/>
      <c r="YO2" s="40"/>
      <c r="YP2" s="40"/>
      <c r="YQ2" s="40"/>
      <c r="YR2" s="40"/>
      <c r="YS2" s="40"/>
      <c r="YT2" s="40"/>
      <c r="YU2" s="40"/>
      <c r="YV2" s="40"/>
      <c r="YW2" s="40"/>
      <c r="YX2" s="40"/>
      <c r="YY2" s="40"/>
      <c r="YZ2" s="40"/>
      <c r="ZA2" s="40"/>
      <c r="ZB2" s="40"/>
      <c r="ZC2" s="40"/>
      <c r="ZD2" s="40"/>
      <c r="ZE2" s="40"/>
      <c r="ZF2" s="40"/>
      <c r="ZG2" s="40"/>
      <c r="ZH2" s="40"/>
      <c r="ZI2" s="40"/>
      <c r="ZJ2" s="40"/>
      <c r="ZK2" s="40"/>
      <c r="ZL2" s="40"/>
      <c r="ZM2" s="40"/>
      <c r="ZN2" s="40"/>
      <c r="ZO2" s="40"/>
      <c r="ZP2" s="40"/>
      <c r="ZQ2" s="40"/>
      <c r="ZR2" s="40"/>
      <c r="ZS2" s="40"/>
      <c r="ZT2" s="40"/>
      <c r="ZU2" s="40"/>
      <c r="ZV2" s="40"/>
      <c r="ZW2" s="40"/>
      <c r="ZX2" s="40"/>
      <c r="ZY2" s="40"/>
      <c r="ZZ2" s="40"/>
      <c r="AAA2" s="40"/>
      <c r="AAB2" s="40"/>
      <c r="AAC2" s="40"/>
      <c r="AAD2" s="40"/>
      <c r="AAE2" s="40"/>
      <c r="AAF2" s="40"/>
      <c r="AAG2" s="40"/>
      <c r="AAH2" s="40"/>
      <c r="AAI2" s="40"/>
      <c r="AAJ2" s="40"/>
      <c r="AAK2" s="40"/>
      <c r="AAL2" s="40"/>
      <c r="AAM2" s="40"/>
      <c r="AAN2" s="40"/>
      <c r="AAO2" s="40"/>
      <c r="AAP2" s="40"/>
      <c r="AAQ2" s="40"/>
      <c r="AAR2" s="40"/>
      <c r="AAS2" s="40"/>
      <c r="AAT2" s="40"/>
      <c r="AAU2" s="40"/>
      <c r="AAV2" s="40"/>
      <c r="AAW2" s="40"/>
      <c r="AAX2" s="40"/>
      <c r="AAY2" s="40"/>
      <c r="AAZ2" s="40"/>
      <c r="ABA2" s="40"/>
      <c r="ABB2" s="40"/>
      <c r="ABC2" s="40"/>
      <c r="ABD2" s="40"/>
      <c r="ABE2" s="40"/>
      <c r="ABF2" s="40"/>
      <c r="ABG2" s="40"/>
      <c r="ABH2" s="40"/>
      <c r="ABI2" s="40"/>
      <c r="ABJ2" s="40"/>
      <c r="ABK2" s="40"/>
      <c r="ABL2" s="40"/>
      <c r="ABM2" s="40"/>
      <c r="ABN2" s="40"/>
      <c r="ABO2" s="40"/>
      <c r="ABP2" s="40"/>
      <c r="ABQ2" s="40"/>
      <c r="ABR2" s="40"/>
      <c r="ABS2" s="40"/>
      <c r="ABT2" s="40"/>
      <c r="ABU2" s="40"/>
      <c r="ABV2" s="40"/>
      <c r="ABW2" s="40"/>
      <c r="ABX2" s="40"/>
      <c r="ABY2" s="40"/>
      <c r="ABZ2" s="40"/>
      <c r="ACA2" s="40"/>
      <c r="ACB2" s="40"/>
      <c r="ACC2" s="40"/>
      <c r="ACD2" s="40"/>
      <c r="ACE2" s="40"/>
      <c r="ACF2" s="40"/>
      <c r="ACG2" s="40"/>
      <c r="ACH2" s="40"/>
      <c r="ACI2" s="40"/>
      <c r="ACJ2" s="40"/>
      <c r="ACK2" s="40"/>
      <c r="ACL2" s="40"/>
      <c r="ACM2" s="40"/>
      <c r="ACN2" s="40"/>
      <c r="ACO2" s="40"/>
      <c r="ACP2" s="40"/>
      <c r="ACQ2" s="40"/>
      <c r="ACR2" s="40"/>
      <c r="ACS2" s="40"/>
    </row>
    <row r="3" spans="1:773" s="42" customFormat="1">
      <c r="A3" s="39"/>
      <c r="B3" s="41" t="s">
        <v>35</v>
      </c>
      <c r="C3" s="676" t="s">
        <v>616</v>
      </c>
      <c r="D3" s="677"/>
      <c r="E3" s="43" t="s">
        <v>36</v>
      </c>
      <c r="F3" s="504" t="s">
        <v>618</v>
      </c>
      <c r="G3" s="43" t="s">
        <v>37</v>
      </c>
      <c r="H3" s="505" t="s">
        <v>620</v>
      </c>
      <c r="I3" s="41"/>
      <c r="IW3" s="40"/>
      <c r="IX3" s="40"/>
      <c r="IY3" s="40"/>
      <c r="IZ3" s="40"/>
      <c r="JA3" s="40"/>
      <c r="JB3" s="40"/>
      <c r="JC3" s="40"/>
      <c r="JD3" s="40"/>
      <c r="JE3" s="40"/>
      <c r="JF3" s="40"/>
      <c r="JG3" s="40"/>
      <c r="JH3" s="40"/>
      <c r="JI3" s="40"/>
      <c r="JJ3" s="40"/>
      <c r="JK3" s="40"/>
      <c r="JL3" s="40"/>
      <c r="JM3" s="40"/>
      <c r="JN3" s="40"/>
      <c r="JO3" s="40"/>
      <c r="JP3" s="40"/>
      <c r="JQ3" s="40"/>
      <c r="JR3" s="40"/>
      <c r="JS3" s="40"/>
      <c r="JT3" s="40"/>
      <c r="JU3" s="40"/>
      <c r="JV3" s="40"/>
      <c r="JW3" s="40"/>
      <c r="JX3" s="40"/>
      <c r="JY3" s="40"/>
      <c r="JZ3" s="40"/>
      <c r="KA3" s="40"/>
      <c r="KB3" s="40"/>
      <c r="KC3" s="40"/>
      <c r="KD3" s="40"/>
      <c r="KE3" s="40"/>
      <c r="KF3" s="40"/>
      <c r="KG3" s="40"/>
      <c r="KH3" s="40"/>
      <c r="KI3" s="40"/>
      <c r="KJ3" s="40"/>
      <c r="KK3" s="40"/>
      <c r="KL3" s="40"/>
      <c r="KM3" s="40"/>
      <c r="KN3" s="40"/>
      <c r="KO3" s="40"/>
      <c r="KP3" s="40"/>
      <c r="KQ3" s="40"/>
      <c r="KR3" s="40"/>
      <c r="KS3" s="40"/>
      <c r="KT3" s="40"/>
      <c r="KU3" s="40"/>
      <c r="KV3" s="40"/>
      <c r="KW3" s="40"/>
      <c r="KX3" s="40"/>
      <c r="KY3" s="40"/>
      <c r="KZ3" s="40"/>
      <c r="LA3" s="40"/>
      <c r="LB3" s="40"/>
      <c r="LC3" s="40"/>
      <c r="LD3" s="40"/>
      <c r="LE3" s="40"/>
      <c r="LF3" s="40"/>
      <c r="LG3" s="40"/>
      <c r="LH3" s="40"/>
      <c r="LI3" s="40"/>
      <c r="LJ3" s="40"/>
      <c r="LK3" s="40"/>
      <c r="LL3" s="40"/>
      <c r="LM3" s="40"/>
      <c r="LN3" s="40"/>
      <c r="LO3" s="40"/>
      <c r="LP3" s="40"/>
      <c r="LQ3" s="40"/>
      <c r="LR3" s="40"/>
      <c r="LS3" s="40"/>
      <c r="LT3" s="40"/>
      <c r="LU3" s="40"/>
      <c r="LV3" s="40"/>
      <c r="LW3" s="40"/>
      <c r="LX3" s="40"/>
      <c r="LY3" s="40"/>
      <c r="LZ3" s="40"/>
      <c r="MA3" s="40"/>
      <c r="MB3" s="40"/>
      <c r="MC3" s="40"/>
      <c r="MD3" s="40"/>
      <c r="ME3" s="40"/>
      <c r="MF3" s="40"/>
      <c r="MG3" s="40"/>
      <c r="MH3" s="40"/>
      <c r="MI3" s="40"/>
      <c r="MJ3" s="40"/>
      <c r="MK3" s="40"/>
      <c r="ML3" s="40"/>
      <c r="MM3" s="40"/>
      <c r="MN3" s="40"/>
      <c r="MO3" s="40"/>
      <c r="MP3" s="40"/>
      <c r="MQ3" s="40"/>
      <c r="MR3" s="40"/>
      <c r="MS3" s="40"/>
      <c r="MT3" s="40"/>
      <c r="MU3" s="40"/>
      <c r="MV3" s="40"/>
      <c r="MW3" s="40"/>
      <c r="MX3" s="40"/>
      <c r="MY3" s="40"/>
      <c r="MZ3" s="40"/>
      <c r="NA3" s="40"/>
      <c r="NB3" s="40"/>
      <c r="NC3" s="40"/>
      <c r="ND3" s="40"/>
      <c r="NE3" s="40"/>
      <c r="NF3" s="40"/>
      <c r="NG3" s="40"/>
      <c r="NH3" s="40"/>
      <c r="NI3" s="40"/>
      <c r="NJ3" s="40"/>
      <c r="NK3" s="40"/>
      <c r="NL3" s="40"/>
      <c r="NM3" s="40"/>
      <c r="NN3" s="40"/>
      <c r="NO3" s="40"/>
      <c r="NP3" s="40"/>
      <c r="NQ3" s="40"/>
      <c r="NR3" s="40"/>
      <c r="NS3" s="40"/>
      <c r="NT3" s="40"/>
      <c r="NU3" s="40"/>
      <c r="NV3" s="40"/>
      <c r="NW3" s="40"/>
      <c r="NX3" s="40"/>
      <c r="NY3" s="40"/>
      <c r="NZ3" s="40"/>
      <c r="OA3" s="40"/>
      <c r="OB3" s="40"/>
      <c r="OC3" s="40"/>
      <c r="OD3" s="40"/>
      <c r="OE3" s="40"/>
      <c r="OF3" s="40"/>
      <c r="OG3" s="40"/>
      <c r="OH3" s="40"/>
      <c r="OI3" s="40"/>
      <c r="OJ3" s="40"/>
      <c r="OK3" s="40"/>
      <c r="OL3" s="40"/>
      <c r="OM3" s="40"/>
      <c r="ON3" s="40"/>
      <c r="OO3" s="40"/>
      <c r="OP3" s="40"/>
      <c r="OQ3" s="40"/>
      <c r="OR3" s="40"/>
      <c r="OS3" s="40"/>
      <c r="OT3" s="40"/>
      <c r="OU3" s="40"/>
      <c r="OV3" s="40"/>
      <c r="OW3" s="40"/>
      <c r="OX3" s="40"/>
      <c r="OY3" s="40"/>
      <c r="OZ3" s="40"/>
      <c r="PA3" s="40"/>
      <c r="PB3" s="40"/>
      <c r="PC3" s="40"/>
      <c r="PD3" s="40"/>
      <c r="PE3" s="40"/>
      <c r="PF3" s="40"/>
      <c r="PG3" s="40"/>
      <c r="PH3" s="40"/>
      <c r="PI3" s="40"/>
      <c r="PJ3" s="40"/>
      <c r="PK3" s="40"/>
      <c r="PL3" s="40"/>
      <c r="PM3" s="40"/>
      <c r="PN3" s="40"/>
      <c r="PO3" s="40"/>
      <c r="PP3" s="40"/>
      <c r="PQ3" s="40"/>
      <c r="PR3" s="40"/>
      <c r="PS3" s="40"/>
      <c r="PT3" s="40"/>
      <c r="PU3" s="40"/>
      <c r="PV3" s="40"/>
      <c r="PW3" s="40"/>
      <c r="PX3" s="40"/>
      <c r="PY3" s="40"/>
      <c r="PZ3" s="40"/>
      <c r="QA3" s="40"/>
      <c r="QB3" s="40"/>
      <c r="QC3" s="40"/>
      <c r="QD3" s="40"/>
      <c r="QE3" s="40"/>
      <c r="QF3" s="40"/>
      <c r="QG3" s="40"/>
      <c r="QH3" s="40"/>
      <c r="QI3" s="40"/>
      <c r="QJ3" s="40"/>
      <c r="QK3" s="40"/>
      <c r="QL3" s="40"/>
      <c r="QM3" s="40"/>
      <c r="QN3" s="40"/>
      <c r="QO3" s="40"/>
      <c r="QP3" s="40"/>
      <c r="QQ3" s="40"/>
      <c r="QR3" s="40"/>
      <c r="QS3" s="40"/>
      <c r="QT3" s="40"/>
      <c r="QU3" s="40"/>
      <c r="QV3" s="40"/>
      <c r="QW3" s="40"/>
      <c r="QX3" s="40"/>
      <c r="QY3" s="40"/>
      <c r="QZ3" s="40"/>
      <c r="RA3" s="40"/>
      <c r="RB3" s="40"/>
      <c r="RC3" s="40"/>
      <c r="RD3" s="40"/>
      <c r="RE3" s="40"/>
      <c r="RF3" s="40"/>
      <c r="RG3" s="40"/>
      <c r="RH3" s="40"/>
      <c r="RI3" s="40"/>
      <c r="RJ3" s="40"/>
      <c r="RK3" s="40"/>
      <c r="RL3" s="40"/>
      <c r="RM3" s="40"/>
      <c r="RN3" s="40"/>
      <c r="RO3" s="40"/>
      <c r="RP3" s="40"/>
      <c r="RQ3" s="40"/>
      <c r="RR3" s="40"/>
      <c r="RS3" s="40"/>
      <c r="RT3" s="40"/>
      <c r="RU3" s="40"/>
      <c r="RV3" s="40"/>
      <c r="RW3" s="40"/>
      <c r="RX3" s="40"/>
      <c r="RY3" s="40"/>
      <c r="RZ3" s="40"/>
      <c r="SA3" s="40"/>
      <c r="SB3" s="40"/>
      <c r="SC3" s="40"/>
      <c r="SD3" s="40"/>
      <c r="SE3" s="40"/>
      <c r="SF3" s="40"/>
      <c r="SG3" s="40"/>
      <c r="SH3" s="40"/>
      <c r="SI3" s="40"/>
      <c r="SJ3" s="40"/>
      <c r="SK3" s="40"/>
      <c r="SL3" s="40"/>
      <c r="SM3" s="40"/>
      <c r="SN3" s="40"/>
      <c r="SO3" s="40"/>
      <c r="SP3" s="40"/>
      <c r="SQ3" s="40"/>
      <c r="SR3" s="40"/>
      <c r="SS3" s="40"/>
      <c r="ST3" s="40"/>
      <c r="SU3" s="40"/>
      <c r="SV3" s="40"/>
      <c r="SW3" s="40"/>
      <c r="SX3" s="40"/>
      <c r="SY3" s="40"/>
      <c r="SZ3" s="40"/>
      <c r="TA3" s="40"/>
      <c r="TB3" s="40"/>
      <c r="TC3" s="40"/>
      <c r="TD3" s="40"/>
      <c r="TE3" s="40"/>
      <c r="TF3" s="40"/>
      <c r="TG3" s="40"/>
      <c r="TH3" s="40"/>
      <c r="TI3" s="40"/>
      <c r="TJ3" s="40"/>
      <c r="TK3" s="40"/>
      <c r="TL3" s="40"/>
      <c r="TM3" s="40"/>
      <c r="TN3" s="40"/>
      <c r="TO3" s="40"/>
      <c r="TP3" s="40"/>
      <c r="TQ3" s="40"/>
      <c r="TR3" s="40"/>
      <c r="TS3" s="40"/>
      <c r="TT3" s="40"/>
      <c r="TU3" s="40"/>
      <c r="TV3" s="40"/>
      <c r="TW3" s="40"/>
      <c r="TX3" s="40"/>
      <c r="TY3" s="40"/>
      <c r="TZ3" s="40"/>
      <c r="UA3" s="40"/>
      <c r="UB3" s="40"/>
      <c r="UC3" s="40"/>
      <c r="UD3" s="40"/>
      <c r="UE3" s="40"/>
      <c r="UF3" s="40"/>
      <c r="UG3" s="40"/>
      <c r="UH3" s="40"/>
      <c r="UI3" s="40"/>
      <c r="UJ3" s="40"/>
      <c r="UK3" s="40"/>
      <c r="UL3" s="40"/>
      <c r="UM3" s="40"/>
      <c r="UN3" s="40"/>
      <c r="UO3" s="40"/>
      <c r="UP3" s="40"/>
      <c r="UQ3" s="40"/>
      <c r="UR3" s="40"/>
      <c r="US3" s="40"/>
      <c r="UT3" s="40"/>
      <c r="UU3" s="40"/>
      <c r="UV3" s="40"/>
      <c r="UW3" s="40"/>
      <c r="UX3" s="40"/>
      <c r="UY3" s="40"/>
      <c r="UZ3" s="40"/>
      <c r="VA3" s="40"/>
      <c r="VB3" s="40"/>
      <c r="VC3" s="40"/>
      <c r="VD3" s="40"/>
      <c r="VE3" s="40"/>
      <c r="VF3" s="40"/>
      <c r="VG3" s="40"/>
      <c r="VH3" s="40"/>
      <c r="VI3" s="40"/>
      <c r="VJ3" s="40"/>
      <c r="VK3" s="40"/>
      <c r="VL3" s="40"/>
      <c r="VM3" s="40"/>
      <c r="VN3" s="40"/>
      <c r="VO3" s="40"/>
      <c r="VP3" s="40"/>
      <c r="VQ3" s="40"/>
      <c r="VR3" s="40"/>
      <c r="VS3" s="40"/>
      <c r="VT3" s="40"/>
      <c r="VU3" s="40"/>
      <c r="VV3" s="40"/>
      <c r="VW3" s="40"/>
      <c r="VX3" s="40"/>
      <c r="VY3" s="40"/>
      <c r="VZ3" s="40"/>
      <c r="WA3" s="40"/>
      <c r="WB3" s="40"/>
      <c r="WC3" s="40"/>
      <c r="WD3" s="40"/>
      <c r="WE3" s="40"/>
      <c r="WF3" s="40"/>
      <c r="WG3" s="40"/>
      <c r="WH3" s="40"/>
      <c r="WI3" s="40"/>
      <c r="WJ3" s="40"/>
      <c r="WK3" s="40"/>
      <c r="WL3" s="40"/>
      <c r="WM3" s="40"/>
      <c r="WN3" s="40"/>
      <c r="WO3" s="40"/>
      <c r="WP3" s="40"/>
      <c r="WQ3" s="40"/>
      <c r="WR3" s="40"/>
      <c r="WS3" s="40"/>
      <c r="WT3" s="40"/>
      <c r="WU3" s="40"/>
      <c r="WV3" s="40"/>
      <c r="WW3" s="40"/>
      <c r="WX3" s="40"/>
      <c r="WY3" s="40"/>
      <c r="WZ3" s="40"/>
      <c r="XA3" s="40"/>
      <c r="XB3" s="40"/>
      <c r="XC3" s="40"/>
      <c r="XD3" s="40"/>
      <c r="XE3" s="40"/>
      <c r="XF3" s="40"/>
      <c r="XG3" s="40"/>
      <c r="XH3" s="40"/>
      <c r="XI3" s="40"/>
      <c r="XJ3" s="40"/>
      <c r="XK3" s="40"/>
      <c r="XL3" s="40"/>
      <c r="XM3" s="40"/>
      <c r="XN3" s="40"/>
      <c r="XO3" s="40"/>
      <c r="XP3" s="40"/>
      <c r="XQ3" s="40"/>
      <c r="XR3" s="40"/>
      <c r="XS3" s="40"/>
      <c r="XT3" s="40"/>
      <c r="XU3" s="40"/>
      <c r="XV3" s="40"/>
      <c r="XW3" s="40"/>
      <c r="XX3" s="40"/>
      <c r="XY3" s="40"/>
      <c r="XZ3" s="40"/>
      <c r="YA3" s="40"/>
      <c r="YB3" s="40"/>
      <c r="YC3" s="40"/>
      <c r="YD3" s="40"/>
      <c r="YE3" s="40"/>
      <c r="YF3" s="40"/>
      <c r="YG3" s="40"/>
      <c r="YH3" s="40"/>
      <c r="YI3" s="40"/>
      <c r="YJ3" s="40"/>
      <c r="YK3" s="40"/>
      <c r="YL3" s="40"/>
      <c r="YM3" s="40"/>
      <c r="YN3" s="40"/>
      <c r="YO3" s="40"/>
      <c r="YP3" s="40"/>
      <c r="YQ3" s="40"/>
      <c r="YR3" s="40"/>
      <c r="YS3" s="40"/>
      <c r="YT3" s="40"/>
      <c r="YU3" s="40"/>
      <c r="YV3" s="40"/>
      <c r="YW3" s="40"/>
      <c r="YX3" s="40"/>
      <c r="YY3" s="40"/>
      <c r="YZ3" s="40"/>
      <c r="ZA3" s="40"/>
      <c r="ZB3" s="40"/>
      <c r="ZC3" s="40"/>
      <c r="ZD3" s="40"/>
      <c r="ZE3" s="40"/>
      <c r="ZF3" s="40"/>
      <c r="ZG3" s="40"/>
      <c r="ZH3" s="40"/>
      <c r="ZI3" s="40"/>
      <c r="ZJ3" s="40"/>
      <c r="ZK3" s="40"/>
      <c r="ZL3" s="40"/>
      <c r="ZM3" s="40"/>
      <c r="ZN3" s="40"/>
      <c r="ZO3" s="40"/>
      <c r="ZP3" s="40"/>
      <c r="ZQ3" s="40"/>
      <c r="ZR3" s="40"/>
      <c r="ZS3" s="40"/>
      <c r="ZT3" s="40"/>
      <c r="ZU3" s="40"/>
      <c r="ZV3" s="40"/>
      <c r="ZW3" s="40"/>
      <c r="ZX3" s="40"/>
      <c r="ZY3" s="40"/>
      <c r="ZZ3" s="40"/>
      <c r="AAA3" s="40"/>
      <c r="AAB3" s="40"/>
      <c r="AAC3" s="40"/>
      <c r="AAD3" s="40"/>
      <c r="AAE3" s="40"/>
      <c r="AAF3" s="40"/>
      <c r="AAG3" s="40"/>
      <c r="AAH3" s="40"/>
      <c r="AAI3" s="40"/>
      <c r="AAJ3" s="40"/>
      <c r="AAK3" s="40"/>
      <c r="AAL3" s="40"/>
      <c r="AAM3" s="40"/>
      <c r="AAN3" s="40"/>
      <c r="AAO3" s="40"/>
      <c r="AAP3" s="40"/>
      <c r="AAQ3" s="40"/>
      <c r="AAR3" s="40"/>
      <c r="AAS3" s="40"/>
      <c r="AAT3" s="40"/>
      <c r="AAU3" s="40"/>
      <c r="AAV3" s="40"/>
      <c r="AAW3" s="40"/>
      <c r="AAX3" s="40"/>
      <c r="AAY3" s="40"/>
      <c r="AAZ3" s="40"/>
      <c r="ABA3" s="40"/>
      <c r="ABB3" s="40"/>
      <c r="ABC3" s="40"/>
      <c r="ABD3" s="40"/>
      <c r="ABE3" s="40"/>
      <c r="ABF3" s="40"/>
      <c r="ABG3" s="40"/>
      <c r="ABH3" s="40"/>
      <c r="ABI3" s="40"/>
      <c r="ABJ3" s="40"/>
      <c r="ABK3" s="40"/>
      <c r="ABL3" s="40"/>
      <c r="ABM3" s="40"/>
      <c r="ABN3" s="40"/>
      <c r="ABO3" s="40"/>
      <c r="ABP3" s="40"/>
      <c r="ABQ3" s="40"/>
      <c r="ABR3" s="40"/>
      <c r="ABS3" s="40"/>
      <c r="ABT3" s="40"/>
      <c r="ABU3" s="40"/>
      <c r="ABV3" s="40"/>
      <c r="ABW3" s="40"/>
      <c r="ABX3" s="40"/>
      <c r="ABY3" s="40"/>
      <c r="ABZ3" s="40"/>
      <c r="ACA3" s="40"/>
      <c r="ACB3" s="40"/>
      <c r="ACC3" s="40"/>
      <c r="ACD3" s="40"/>
      <c r="ACE3" s="40"/>
      <c r="ACF3" s="40"/>
      <c r="ACG3" s="40"/>
      <c r="ACH3" s="40"/>
      <c r="ACI3" s="40"/>
      <c r="ACJ3" s="40"/>
      <c r="ACK3" s="40"/>
      <c r="ACL3" s="40"/>
      <c r="ACM3" s="40"/>
      <c r="ACN3" s="40"/>
      <c r="ACO3" s="40"/>
      <c r="ACP3" s="40"/>
      <c r="ACQ3" s="40"/>
      <c r="ACR3" s="40"/>
      <c r="ACS3" s="40"/>
    </row>
    <row r="4" spans="1:773" s="42" customFormat="1">
      <c r="A4" s="39"/>
      <c r="B4" s="41" t="s">
        <v>561</v>
      </c>
      <c r="C4" s="678" t="s">
        <v>612</v>
      </c>
      <c r="D4" s="679"/>
      <c r="E4" s="43" t="s">
        <v>38</v>
      </c>
      <c r="F4" s="504" t="s">
        <v>619</v>
      </c>
      <c r="G4" s="41"/>
      <c r="H4" s="41"/>
      <c r="I4" s="41"/>
      <c r="IW4" s="40"/>
      <c r="IX4" s="40"/>
      <c r="IY4" s="40"/>
      <c r="IZ4" s="40"/>
      <c r="JA4" s="40"/>
      <c r="JB4" s="40"/>
      <c r="JC4" s="40"/>
      <c r="JD4" s="40"/>
      <c r="JE4" s="40"/>
      <c r="JF4" s="40"/>
      <c r="JG4" s="40"/>
      <c r="JH4" s="40"/>
      <c r="JI4" s="40"/>
      <c r="JJ4" s="40"/>
      <c r="JK4" s="40"/>
      <c r="JL4" s="40"/>
      <c r="JM4" s="40"/>
      <c r="JN4" s="40"/>
      <c r="JO4" s="40"/>
      <c r="JP4" s="40"/>
      <c r="JQ4" s="40"/>
      <c r="JR4" s="40"/>
      <c r="JS4" s="40"/>
      <c r="JT4" s="40"/>
      <c r="JU4" s="40"/>
      <c r="JV4" s="40"/>
      <c r="JW4" s="40"/>
      <c r="JX4" s="40"/>
      <c r="JY4" s="40"/>
      <c r="JZ4" s="40"/>
      <c r="KA4" s="40"/>
      <c r="KB4" s="40"/>
      <c r="KC4" s="40"/>
      <c r="KD4" s="40"/>
      <c r="KE4" s="40"/>
      <c r="KF4" s="40"/>
      <c r="KG4" s="40"/>
      <c r="KH4" s="40"/>
      <c r="KI4" s="40"/>
      <c r="KJ4" s="40"/>
      <c r="KK4" s="40"/>
      <c r="KL4" s="40"/>
      <c r="KM4" s="40"/>
      <c r="KN4" s="40"/>
      <c r="KO4" s="40"/>
      <c r="KP4" s="40"/>
      <c r="KQ4" s="40"/>
      <c r="KR4" s="40"/>
      <c r="KS4" s="40"/>
      <c r="KT4" s="40"/>
      <c r="KU4" s="40"/>
      <c r="KV4" s="40"/>
      <c r="KW4" s="40"/>
      <c r="KX4" s="40"/>
      <c r="KY4" s="40"/>
      <c r="KZ4" s="40"/>
      <c r="LA4" s="40"/>
      <c r="LB4" s="40"/>
      <c r="LC4" s="40"/>
      <c r="LD4" s="40"/>
      <c r="LE4" s="40"/>
      <c r="LF4" s="40"/>
      <c r="LG4" s="40"/>
      <c r="LH4" s="40"/>
      <c r="LI4" s="40"/>
      <c r="LJ4" s="40"/>
      <c r="LK4" s="40"/>
      <c r="LL4" s="40"/>
      <c r="LM4" s="40"/>
      <c r="LN4" s="40"/>
      <c r="LO4" s="40"/>
      <c r="LP4" s="40"/>
      <c r="LQ4" s="40"/>
      <c r="LR4" s="40"/>
      <c r="LS4" s="40"/>
      <c r="LT4" s="40"/>
      <c r="LU4" s="40"/>
      <c r="LV4" s="40"/>
      <c r="LW4" s="40"/>
      <c r="LX4" s="40"/>
      <c r="LY4" s="40"/>
      <c r="LZ4" s="40"/>
      <c r="MA4" s="40"/>
      <c r="MB4" s="40"/>
      <c r="MC4" s="40"/>
      <c r="MD4" s="40"/>
      <c r="ME4" s="40"/>
      <c r="MF4" s="40"/>
      <c r="MG4" s="40"/>
      <c r="MH4" s="40"/>
      <c r="MI4" s="40"/>
      <c r="MJ4" s="40"/>
      <c r="MK4" s="40"/>
      <c r="ML4" s="40"/>
      <c r="MM4" s="40"/>
      <c r="MN4" s="40"/>
      <c r="MO4" s="40"/>
      <c r="MP4" s="40"/>
      <c r="MQ4" s="40"/>
      <c r="MR4" s="40"/>
      <c r="MS4" s="40"/>
      <c r="MT4" s="40"/>
      <c r="MU4" s="40"/>
      <c r="MV4" s="40"/>
      <c r="MW4" s="40"/>
      <c r="MX4" s="40"/>
      <c r="MY4" s="40"/>
      <c r="MZ4" s="40"/>
      <c r="NA4" s="40"/>
      <c r="NB4" s="40"/>
      <c r="NC4" s="40"/>
      <c r="ND4" s="40"/>
      <c r="NE4" s="40"/>
      <c r="NF4" s="40"/>
      <c r="NG4" s="40"/>
      <c r="NH4" s="40"/>
      <c r="NI4" s="40"/>
      <c r="NJ4" s="40"/>
      <c r="NK4" s="40"/>
      <c r="NL4" s="40"/>
      <c r="NM4" s="40"/>
      <c r="NN4" s="40"/>
      <c r="NO4" s="40"/>
      <c r="NP4" s="40"/>
      <c r="NQ4" s="40"/>
      <c r="NR4" s="40"/>
      <c r="NS4" s="40"/>
      <c r="NT4" s="40"/>
      <c r="NU4" s="40"/>
      <c r="NV4" s="40"/>
      <c r="NW4" s="40"/>
      <c r="NX4" s="40"/>
      <c r="NY4" s="40"/>
      <c r="NZ4" s="40"/>
      <c r="OA4" s="40"/>
      <c r="OB4" s="40"/>
      <c r="OC4" s="40"/>
      <c r="OD4" s="40"/>
      <c r="OE4" s="40"/>
      <c r="OF4" s="40"/>
      <c r="OG4" s="40"/>
      <c r="OH4" s="40"/>
      <c r="OI4" s="40"/>
      <c r="OJ4" s="40"/>
      <c r="OK4" s="40"/>
      <c r="OL4" s="40"/>
      <c r="OM4" s="40"/>
      <c r="ON4" s="40"/>
      <c r="OO4" s="40"/>
      <c r="OP4" s="40"/>
      <c r="OQ4" s="40"/>
      <c r="OR4" s="40"/>
      <c r="OS4" s="40"/>
      <c r="OT4" s="40"/>
      <c r="OU4" s="40"/>
      <c r="OV4" s="40"/>
      <c r="OW4" s="40"/>
      <c r="OX4" s="40"/>
      <c r="OY4" s="40"/>
      <c r="OZ4" s="40"/>
      <c r="PA4" s="40"/>
      <c r="PB4" s="40"/>
      <c r="PC4" s="40"/>
      <c r="PD4" s="40"/>
      <c r="PE4" s="40"/>
      <c r="PF4" s="40"/>
      <c r="PG4" s="40"/>
      <c r="PH4" s="40"/>
      <c r="PI4" s="40"/>
      <c r="PJ4" s="40"/>
      <c r="PK4" s="40"/>
      <c r="PL4" s="40"/>
      <c r="PM4" s="40"/>
      <c r="PN4" s="40"/>
      <c r="PO4" s="40"/>
      <c r="PP4" s="40"/>
      <c r="PQ4" s="40"/>
      <c r="PR4" s="40"/>
      <c r="PS4" s="40"/>
      <c r="PT4" s="40"/>
      <c r="PU4" s="40"/>
      <c r="PV4" s="40"/>
      <c r="PW4" s="40"/>
      <c r="PX4" s="40"/>
      <c r="PY4" s="40"/>
      <c r="PZ4" s="40"/>
      <c r="QA4" s="40"/>
      <c r="QB4" s="40"/>
      <c r="QC4" s="40"/>
      <c r="QD4" s="40"/>
      <c r="QE4" s="40"/>
      <c r="QF4" s="40"/>
      <c r="QG4" s="40"/>
      <c r="QH4" s="40"/>
      <c r="QI4" s="40"/>
      <c r="QJ4" s="40"/>
      <c r="QK4" s="40"/>
      <c r="QL4" s="40"/>
      <c r="QM4" s="40"/>
      <c r="QN4" s="40"/>
      <c r="QO4" s="40"/>
      <c r="QP4" s="40"/>
      <c r="QQ4" s="40"/>
      <c r="QR4" s="40"/>
      <c r="QS4" s="40"/>
      <c r="QT4" s="40"/>
      <c r="QU4" s="40"/>
      <c r="QV4" s="40"/>
      <c r="QW4" s="40"/>
      <c r="QX4" s="40"/>
      <c r="QY4" s="40"/>
      <c r="QZ4" s="40"/>
      <c r="RA4" s="40"/>
      <c r="RB4" s="40"/>
      <c r="RC4" s="40"/>
      <c r="RD4" s="40"/>
      <c r="RE4" s="40"/>
      <c r="RF4" s="40"/>
      <c r="RG4" s="40"/>
      <c r="RH4" s="40"/>
      <c r="RI4" s="40"/>
      <c r="RJ4" s="40"/>
      <c r="RK4" s="40"/>
      <c r="RL4" s="40"/>
      <c r="RM4" s="40"/>
      <c r="RN4" s="40"/>
      <c r="RO4" s="40"/>
      <c r="RP4" s="40"/>
      <c r="RQ4" s="40"/>
      <c r="RR4" s="40"/>
      <c r="RS4" s="40"/>
      <c r="RT4" s="40"/>
      <c r="RU4" s="40"/>
      <c r="RV4" s="40"/>
      <c r="RW4" s="40"/>
      <c r="RX4" s="40"/>
      <c r="RY4" s="40"/>
      <c r="RZ4" s="40"/>
      <c r="SA4" s="40"/>
      <c r="SB4" s="40"/>
      <c r="SC4" s="40"/>
      <c r="SD4" s="40"/>
      <c r="SE4" s="40"/>
      <c r="SF4" s="40"/>
      <c r="SG4" s="40"/>
      <c r="SH4" s="40"/>
      <c r="SI4" s="40"/>
      <c r="SJ4" s="40"/>
      <c r="SK4" s="40"/>
      <c r="SL4" s="40"/>
      <c r="SM4" s="40"/>
      <c r="SN4" s="40"/>
      <c r="SO4" s="40"/>
      <c r="SP4" s="40"/>
      <c r="SQ4" s="40"/>
      <c r="SR4" s="40"/>
      <c r="SS4" s="40"/>
      <c r="ST4" s="40"/>
      <c r="SU4" s="40"/>
      <c r="SV4" s="40"/>
      <c r="SW4" s="40"/>
      <c r="SX4" s="40"/>
      <c r="SY4" s="40"/>
      <c r="SZ4" s="40"/>
      <c r="TA4" s="40"/>
      <c r="TB4" s="40"/>
      <c r="TC4" s="40"/>
      <c r="TD4" s="40"/>
      <c r="TE4" s="40"/>
      <c r="TF4" s="40"/>
      <c r="TG4" s="40"/>
      <c r="TH4" s="40"/>
      <c r="TI4" s="40"/>
      <c r="TJ4" s="40"/>
      <c r="TK4" s="40"/>
      <c r="TL4" s="40"/>
      <c r="TM4" s="40"/>
      <c r="TN4" s="40"/>
      <c r="TO4" s="40"/>
      <c r="TP4" s="40"/>
      <c r="TQ4" s="40"/>
      <c r="TR4" s="40"/>
      <c r="TS4" s="40"/>
      <c r="TT4" s="40"/>
      <c r="TU4" s="40"/>
      <c r="TV4" s="40"/>
      <c r="TW4" s="40"/>
      <c r="TX4" s="40"/>
      <c r="TY4" s="40"/>
      <c r="TZ4" s="40"/>
      <c r="UA4" s="40"/>
      <c r="UB4" s="40"/>
      <c r="UC4" s="40"/>
      <c r="UD4" s="40"/>
      <c r="UE4" s="40"/>
      <c r="UF4" s="40"/>
      <c r="UG4" s="40"/>
      <c r="UH4" s="40"/>
      <c r="UI4" s="40"/>
      <c r="UJ4" s="40"/>
      <c r="UK4" s="40"/>
      <c r="UL4" s="40"/>
      <c r="UM4" s="40"/>
      <c r="UN4" s="40"/>
      <c r="UO4" s="40"/>
      <c r="UP4" s="40"/>
      <c r="UQ4" s="40"/>
      <c r="UR4" s="40"/>
      <c r="US4" s="40"/>
      <c r="UT4" s="40"/>
      <c r="UU4" s="40"/>
      <c r="UV4" s="40"/>
      <c r="UW4" s="40"/>
      <c r="UX4" s="40"/>
      <c r="UY4" s="40"/>
      <c r="UZ4" s="40"/>
      <c r="VA4" s="40"/>
      <c r="VB4" s="40"/>
      <c r="VC4" s="40"/>
      <c r="VD4" s="40"/>
      <c r="VE4" s="40"/>
      <c r="VF4" s="40"/>
      <c r="VG4" s="40"/>
      <c r="VH4" s="40"/>
      <c r="VI4" s="40"/>
      <c r="VJ4" s="40"/>
      <c r="VK4" s="40"/>
      <c r="VL4" s="40"/>
      <c r="VM4" s="40"/>
      <c r="VN4" s="40"/>
      <c r="VO4" s="40"/>
      <c r="VP4" s="40"/>
      <c r="VQ4" s="40"/>
      <c r="VR4" s="40"/>
      <c r="VS4" s="40"/>
      <c r="VT4" s="40"/>
      <c r="VU4" s="40"/>
      <c r="VV4" s="40"/>
      <c r="VW4" s="40"/>
      <c r="VX4" s="40"/>
      <c r="VY4" s="40"/>
      <c r="VZ4" s="40"/>
      <c r="WA4" s="40"/>
      <c r="WB4" s="40"/>
      <c r="WC4" s="40"/>
      <c r="WD4" s="40"/>
      <c r="WE4" s="40"/>
      <c r="WF4" s="40"/>
      <c r="WG4" s="40"/>
      <c r="WH4" s="40"/>
      <c r="WI4" s="40"/>
      <c r="WJ4" s="40"/>
      <c r="WK4" s="40"/>
      <c r="WL4" s="40"/>
      <c r="WM4" s="40"/>
      <c r="WN4" s="40"/>
      <c r="WO4" s="40"/>
      <c r="WP4" s="40"/>
      <c r="WQ4" s="40"/>
      <c r="WR4" s="40"/>
      <c r="WS4" s="40"/>
      <c r="WT4" s="40"/>
      <c r="WU4" s="40"/>
      <c r="WV4" s="40"/>
      <c r="WW4" s="40"/>
      <c r="WX4" s="40"/>
      <c r="WY4" s="40"/>
      <c r="WZ4" s="40"/>
      <c r="XA4" s="40"/>
      <c r="XB4" s="40"/>
      <c r="XC4" s="40"/>
      <c r="XD4" s="40"/>
      <c r="XE4" s="40"/>
      <c r="XF4" s="40"/>
      <c r="XG4" s="40"/>
      <c r="XH4" s="40"/>
      <c r="XI4" s="40"/>
      <c r="XJ4" s="40"/>
      <c r="XK4" s="40"/>
      <c r="XL4" s="40"/>
      <c r="XM4" s="40"/>
      <c r="XN4" s="40"/>
      <c r="XO4" s="40"/>
      <c r="XP4" s="40"/>
      <c r="XQ4" s="40"/>
      <c r="XR4" s="40"/>
      <c r="XS4" s="40"/>
      <c r="XT4" s="40"/>
      <c r="XU4" s="40"/>
      <c r="XV4" s="40"/>
      <c r="XW4" s="40"/>
      <c r="XX4" s="40"/>
      <c r="XY4" s="40"/>
      <c r="XZ4" s="40"/>
      <c r="YA4" s="40"/>
      <c r="YB4" s="40"/>
      <c r="YC4" s="40"/>
      <c r="YD4" s="40"/>
      <c r="YE4" s="40"/>
      <c r="YF4" s="40"/>
      <c r="YG4" s="40"/>
      <c r="YH4" s="40"/>
      <c r="YI4" s="40"/>
      <c r="YJ4" s="40"/>
      <c r="YK4" s="40"/>
      <c r="YL4" s="40"/>
      <c r="YM4" s="40"/>
      <c r="YN4" s="40"/>
      <c r="YO4" s="40"/>
      <c r="YP4" s="40"/>
      <c r="YQ4" s="40"/>
      <c r="YR4" s="40"/>
      <c r="YS4" s="40"/>
      <c r="YT4" s="40"/>
      <c r="YU4" s="40"/>
      <c r="YV4" s="40"/>
      <c r="YW4" s="40"/>
      <c r="YX4" s="40"/>
      <c r="YY4" s="40"/>
      <c r="YZ4" s="40"/>
      <c r="ZA4" s="40"/>
      <c r="ZB4" s="40"/>
      <c r="ZC4" s="40"/>
      <c r="ZD4" s="40"/>
      <c r="ZE4" s="40"/>
      <c r="ZF4" s="40"/>
      <c r="ZG4" s="40"/>
      <c r="ZH4" s="40"/>
      <c r="ZI4" s="40"/>
      <c r="ZJ4" s="40"/>
      <c r="ZK4" s="40"/>
      <c r="ZL4" s="40"/>
      <c r="ZM4" s="40"/>
      <c r="ZN4" s="40"/>
      <c r="ZO4" s="40"/>
      <c r="ZP4" s="40"/>
      <c r="ZQ4" s="40"/>
      <c r="ZR4" s="40"/>
      <c r="ZS4" s="40"/>
      <c r="ZT4" s="40"/>
      <c r="ZU4" s="40"/>
      <c r="ZV4" s="40"/>
      <c r="ZW4" s="40"/>
      <c r="ZX4" s="40"/>
      <c r="ZY4" s="40"/>
      <c r="ZZ4" s="40"/>
      <c r="AAA4" s="40"/>
      <c r="AAB4" s="40"/>
      <c r="AAC4" s="40"/>
      <c r="AAD4" s="40"/>
      <c r="AAE4" s="40"/>
      <c r="AAF4" s="40"/>
      <c r="AAG4" s="40"/>
      <c r="AAH4" s="40"/>
      <c r="AAI4" s="40"/>
      <c r="AAJ4" s="40"/>
      <c r="AAK4" s="40"/>
      <c r="AAL4" s="40"/>
      <c r="AAM4" s="40"/>
      <c r="AAN4" s="40"/>
      <c r="AAO4" s="40"/>
      <c r="AAP4" s="40"/>
      <c r="AAQ4" s="40"/>
      <c r="AAR4" s="40"/>
      <c r="AAS4" s="40"/>
      <c r="AAT4" s="40"/>
      <c r="AAU4" s="40"/>
      <c r="AAV4" s="40"/>
      <c r="AAW4" s="40"/>
      <c r="AAX4" s="40"/>
      <c r="AAY4" s="40"/>
      <c r="AAZ4" s="40"/>
      <c r="ABA4" s="40"/>
      <c r="ABB4" s="40"/>
      <c r="ABC4" s="40"/>
      <c r="ABD4" s="40"/>
      <c r="ABE4" s="40"/>
      <c r="ABF4" s="40"/>
      <c r="ABG4" s="40"/>
      <c r="ABH4" s="40"/>
      <c r="ABI4" s="40"/>
      <c r="ABJ4" s="40"/>
      <c r="ABK4" s="40"/>
      <c r="ABL4" s="40"/>
      <c r="ABM4" s="40"/>
      <c r="ABN4" s="40"/>
      <c r="ABO4" s="40"/>
      <c r="ABP4" s="40"/>
      <c r="ABQ4" s="40"/>
      <c r="ABR4" s="40"/>
      <c r="ABS4" s="40"/>
      <c r="ABT4" s="40"/>
      <c r="ABU4" s="40"/>
      <c r="ABV4" s="40"/>
      <c r="ABW4" s="40"/>
      <c r="ABX4" s="40"/>
      <c r="ABY4" s="40"/>
      <c r="ABZ4" s="40"/>
      <c r="ACA4" s="40"/>
      <c r="ACB4" s="40"/>
      <c r="ACC4" s="40"/>
      <c r="ACD4" s="40"/>
      <c r="ACE4" s="40"/>
      <c r="ACF4" s="40"/>
      <c r="ACG4" s="40"/>
      <c r="ACH4" s="40"/>
      <c r="ACI4" s="40"/>
      <c r="ACJ4" s="40"/>
      <c r="ACK4" s="40"/>
      <c r="ACL4" s="40"/>
      <c r="ACM4" s="40"/>
      <c r="ACN4" s="40"/>
      <c r="ACO4" s="40"/>
      <c r="ACP4" s="40"/>
      <c r="ACQ4" s="40"/>
      <c r="ACR4" s="40"/>
      <c r="ACS4" s="40"/>
    </row>
    <row r="5" spans="1:773" s="42" customFormat="1">
      <c r="A5" s="39"/>
      <c r="B5" s="41" t="s">
        <v>604</v>
      </c>
      <c r="C5" s="680" t="s">
        <v>617</v>
      </c>
      <c r="D5" s="679"/>
      <c r="E5" s="41"/>
      <c r="F5" s="41"/>
      <c r="G5" s="41"/>
      <c r="H5" s="41"/>
      <c r="I5" s="41"/>
      <c r="IW5" s="40"/>
      <c r="IX5" s="40"/>
      <c r="IY5" s="40"/>
      <c r="IZ5" s="40"/>
      <c r="JA5" s="40"/>
      <c r="JB5" s="40"/>
      <c r="JC5" s="40"/>
      <c r="JD5" s="40"/>
      <c r="JE5" s="40"/>
      <c r="JF5" s="40"/>
      <c r="JG5" s="40"/>
      <c r="JH5" s="40"/>
      <c r="JI5" s="40"/>
      <c r="JJ5" s="40"/>
      <c r="JK5" s="40"/>
      <c r="JL5" s="40"/>
      <c r="JM5" s="40"/>
      <c r="JN5" s="40"/>
      <c r="JO5" s="40"/>
      <c r="JP5" s="40"/>
      <c r="JQ5" s="40"/>
      <c r="JR5" s="40"/>
      <c r="JS5" s="40"/>
      <c r="JT5" s="40"/>
      <c r="JU5" s="40"/>
      <c r="JV5" s="40"/>
      <c r="JW5" s="40"/>
      <c r="JX5" s="40"/>
      <c r="JY5" s="40"/>
      <c r="JZ5" s="40"/>
      <c r="KA5" s="40"/>
      <c r="KB5" s="40"/>
      <c r="KC5" s="40"/>
      <c r="KD5" s="40"/>
      <c r="KE5" s="40"/>
      <c r="KF5" s="40"/>
      <c r="KG5" s="40"/>
      <c r="KH5" s="40"/>
      <c r="KI5" s="40"/>
      <c r="KJ5" s="40"/>
      <c r="KK5" s="40"/>
      <c r="KL5" s="40"/>
      <c r="KM5" s="40"/>
      <c r="KN5" s="40"/>
      <c r="KO5" s="40"/>
      <c r="KP5" s="40"/>
      <c r="KQ5" s="40"/>
      <c r="KR5" s="40"/>
      <c r="KS5" s="40"/>
      <c r="KT5" s="40"/>
      <c r="KU5" s="40"/>
      <c r="KV5" s="40"/>
      <c r="KW5" s="40"/>
      <c r="KX5" s="40"/>
      <c r="KY5" s="40"/>
      <c r="KZ5" s="40"/>
      <c r="LA5" s="40"/>
      <c r="LB5" s="40"/>
      <c r="LC5" s="40"/>
      <c r="LD5" s="40"/>
      <c r="LE5" s="40"/>
      <c r="LF5" s="40"/>
      <c r="LG5" s="40"/>
      <c r="LH5" s="40"/>
      <c r="LI5" s="40"/>
      <c r="LJ5" s="40"/>
      <c r="LK5" s="40"/>
      <c r="LL5" s="40"/>
      <c r="LM5" s="40"/>
      <c r="LN5" s="40"/>
      <c r="LO5" s="40"/>
      <c r="LP5" s="40"/>
      <c r="LQ5" s="40"/>
      <c r="LR5" s="40"/>
      <c r="LS5" s="40"/>
      <c r="LT5" s="40"/>
      <c r="LU5" s="40"/>
      <c r="LV5" s="40"/>
      <c r="LW5" s="40"/>
      <c r="LX5" s="40"/>
      <c r="LY5" s="40"/>
      <c r="LZ5" s="40"/>
      <c r="MA5" s="40"/>
      <c r="MB5" s="40"/>
      <c r="MC5" s="40"/>
      <c r="MD5" s="40"/>
      <c r="ME5" s="40"/>
      <c r="MF5" s="40"/>
      <c r="MG5" s="40"/>
      <c r="MH5" s="40"/>
      <c r="MI5" s="40"/>
      <c r="MJ5" s="40"/>
      <c r="MK5" s="40"/>
      <c r="ML5" s="40"/>
      <c r="MM5" s="40"/>
      <c r="MN5" s="40"/>
      <c r="MO5" s="40"/>
      <c r="MP5" s="40"/>
      <c r="MQ5" s="40"/>
      <c r="MR5" s="40"/>
      <c r="MS5" s="40"/>
      <c r="MT5" s="40"/>
      <c r="MU5" s="40"/>
      <c r="MV5" s="40"/>
      <c r="MW5" s="40"/>
      <c r="MX5" s="40"/>
      <c r="MY5" s="40"/>
      <c r="MZ5" s="40"/>
      <c r="NA5" s="40"/>
      <c r="NB5" s="40"/>
      <c r="NC5" s="40"/>
      <c r="ND5" s="40"/>
      <c r="NE5" s="40"/>
      <c r="NF5" s="40"/>
      <c r="NG5" s="40"/>
      <c r="NH5" s="40"/>
      <c r="NI5" s="40"/>
      <c r="NJ5" s="40"/>
      <c r="NK5" s="40"/>
      <c r="NL5" s="40"/>
      <c r="NM5" s="40"/>
      <c r="NN5" s="40"/>
      <c r="NO5" s="40"/>
      <c r="NP5" s="40"/>
      <c r="NQ5" s="40"/>
      <c r="NR5" s="40"/>
      <c r="NS5" s="40"/>
      <c r="NT5" s="40"/>
      <c r="NU5" s="40"/>
      <c r="NV5" s="40"/>
      <c r="NW5" s="40"/>
      <c r="NX5" s="40"/>
      <c r="NY5" s="40"/>
      <c r="NZ5" s="40"/>
      <c r="OA5" s="40"/>
      <c r="OB5" s="40"/>
      <c r="OC5" s="40"/>
      <c r="OD5" s="40"/>
      <c r="OE5" s="40"/>
      <c r="OF5" s="40"/>
      <c r="OG5" s="40"/>
      <c r="OH5" s="40"/>
      <c r="OI5" s="40"/>
      <c r="OJ5" s="40"/>
      <c r="OK5" s="40"/>
      <c r="OL5" s="40"/>
      <c r="OM5" s="40"/>
      <c r="ON5" s="40"/>
      <c r="OO5" s="40"/>
      <c r="OP5" s="40"/>
      <c r="OQ5" s="40"/>
      <c r="OR5" s="40"/>
      <c r="OS5" s="40"/>
      <c r="OT5" s="40"/>
      <c r="OU5" s="40"/>
      <c r="OV5" s="40"/>
      <c r="OW5" s="40"/>
      <c r="OX5" s="40"/>
      <c r="OY5" s="40"/>
      <c r="OZ5" s="40"/>
      <c r="PA5" s="40"/>
      <c r="PB5" s="40"/>
      <c r="PC5" s="40"/>
      <c r="PD5" s="40"/>
      <c r="PE5" s="40"/>
      <c r="PF5" s="40"/>
      <c r="PG5" s="40"/>
      <c r="PH5" s="40"/>
      <c r="PI5" s="40"/>
      <c r="PJ5" s="40"/>
      <c r="PK5" s="40"/>
      <c r="PL5" s="40"/>
      <c r="PM5" s="40"/>
      <c r="PN5" s="40"/>
      <c r="PO5" s="40"/>
      <c r="PP5" s="40"/>
      <c r="PQ5" s="40"/>
      <c r="PR5" s="40"/>
      <c r="PS5" s="40"/>
      <c r="PT5" s="40"/>
      <c r="PU5" s="40"/>
      <c r="PV5" s="40"/>
      <c r="PW5" s="40"/>
      <c r="PX5" s="40"/>
      <c r="PY5" s="40"/>
      <c r="PZ5" s="40"/>
      <c r="QA5" s="40"/>
      <c r="QB5" s="40"/>
      <c r="QC5" s="40"/>
      <c r="QD5" s="40"/>
      <c r="QE5" s="40"/>
      <c r="QF5" s="40"/>
      <c r="QG5" s="40"/>
      <c r="QH5" s="40"/>
      <c r="QI5" s="40"/>
      <c r="QJ5" s="40"/>
      <c r="QK5" s="40"/>
      <c r="QL5" s="40"/>
      <c r="QM5" s="40"/>
      <c r="QN5" s="40"/>
      <c r="QO5" s="40"/>
      <c r="QP5" s="40"/>
      <c r="QQ5" s="40"/>
      <c r="QR5" s="40"/>
      <c r="QS5" s="40"/>
      <c r="QT5" s="40"/>
      <c r="QU5" s="40"/>
      <c r="QV5" s="40"/>
      <c r="QW5" s="40"/>
      <c r="QX5" s="40"/>
      <c r="QY5" s="40"/>
      <c r="QZ5" s="40"/>
      <c r="RA5" s="40"/>
      <c r="RB5" s="40"/>
      <c r="RC5" s="40"/>
      <c r="RD5" s="40"/>
      <c r="RE5" s="40"/>
      <c r="RF5" s="40"/>
      <c r="RG5" s="40"/>
      <c r="RH5" s="40"/>
      <c r="RI5" s="40"/>
      <c r="RJ5" s="40"/>
      <c r="RK5" s="40"/>
      <c r="RL5" s="40"/>
      <c r="RM5" s="40"/>
      <c r="RN5" s="40"/>
      <c r="RO5" s="40"/>
      <c r="RP5" s="40"/>
      <c r="RQ5" s="40"/>
      <c r="RR5" s="40"/>
      <c r="RS5" s="40"/>
      <c r="RT5" s="40"/>
      <c r="RU5" s="40"/>
      <c r="RV5" s="40"/>
      <c r="RW5" s="40"/>
      <c r="RX5" s="40"/>
      <c r="RY5" s="40"/>
      <c r="RZ5" s="40"/>
      <c r="SA5" s="40"/>
      <c r="SB5" s="40"/>
      <c r="SC5" s="40"/>
      <c r="SD5" s="40"/>
      <c r="SE5" s="40"/>
      <c r="SF5" s="40"/>
      <c r="SG5" s="40"/>
      <c r="SH5" s="40"/>
      <c r="SI5" s="40"/>
      <c r="SJ5" s="40"/>
      <c r="SK5" s="40"/>
      <c r="SL5" s="40"/>
      <c r="SM5" s="40"/>
      <c r="SN5" s="40"/>
      <c r="SO5" s="40"/>
      <c r="SP5" s="40"/>
      <c r="SQ5" s="40"/>
      <c r="SR5" s="40"/>
      <c r="SS5" s="40"/>
      <c r="ST5" s="40"/>
      <c r="SU5" s="40"/>
      <c r="SV5" s="40"/>
      <c r="SW5" s="40"/>
      <c r="SX5" s="40"/>
      <c r="SY5" s="40"/>
      <c r="SZ5" s="40"/>
      <c r="TA5" s="40"/>
      <c r="TB5" s="40"/>
      <c r="TC5" s="40"/>
      <c r="TD5" s="40"/>
      <c r="TE5" s="40"/>
      <c r="TF5" s="40"/>
      <c r="TG5" s="40"/>
      <c r="TH5" s="40"/>
      <c r="TI5" s="40"/>
      <c r="TJ5" s="40"/>
      <c r="TK5" s="40"/>
      <c r="TL5" s="40"/>
      <c r="TM5" s="40"/>
      <c r="TN5" s="40"/>
      <c r="TO5" s="40"/>
      <c r="TP5" s="40"/>
      <c r="TQ5" s="40"/>
      <c r="TR5" s="40"/>
      <c r="TS5" s="40"/>
      <c r="TT5" s="40"/>
      <c r="TU5" s="40"/>
      <c r="TV5" s="40"/>
      <c r="TW5" s="40"/>
      <c r="TX5" s="40"/>
      <c r="TY5" s="40"/>
      <c r="TZ5" s="40"/>
      <c r="UA5" s="40"/>
      <c r="UB5" s="40"/>
      <c r="UC5" s="40"/>
      <c r="UD5" s="40"/>
      <c r="UE5" s="40"/>
      <c r="UF5" s="40"/>
      <c r="UG5" s="40"/>
      <c r="UH5" s="40"/>
      <c r="UI5" s="40"/>
      <c r="UJ5" s="40"/>
      <c r="UK5" s="40"/>
      <c r="UL5" s="40"/>
      <c r="UM5" s="40"/>
      <c r="UN5" s="40"/>
      <c r="UO5" s="40"/>
      <c r="UP5" s="40"/>
      <c r="UQ5" s="40"/>
      <c r="UR5" s="40"/>
      <c r="US5" s="40"/>
      <c r="UT5" s="40"/>
      <c r="UU5" s="40"/>
      <c r="UV5" s="40"/>
      <c r="UW5" s="40"/>
      <c r="UX5" s="40"/>
      <c r="UY5" s="40"/>
      <c r="UZ5" s="40"/>
      <c r="VA5" s="40"/>
      <c r="VB5" s="40"/>
      <c r="VC5" s="40"/>
      <c r="VD5" s="40"/>
      <c r="VE5" s="40"/>
      <c r="VF5" s="40"/>
      <c r="VG5" s="40"/>
      <c r="VH5" s="40"/>
      <c r="VI5" s="40"/>
      <c r="VJ5" s="40"/>
      <c r="VK5" s="40"/>
      <c r="VL5" s="40"/>
      <c r="VM5" s="40"/>
      <c r="VN5" s="40"/>
      <c r="VO5" s="40"/>
      <c r="VP5" s="40"/>
      <c r="VQ5" s="40"/>
      <c r="VR5" s="40"/>
      <c r="VS5" s="40"/>
      <c r="VT5" s="40"/>
      <c r="VU5" s="40"/>
      <c r="VV5" s="40"/>
      <c r="VW5" s="40"/>
      <c r="VX5" s="40"/>
      <c r="VY5" s="40"/>
      <c r="VZ5" s="40"/>
      <c r="WA5" s="40"/>
      <c r="WB5" s="40"/>
      <c r="WC5" s="40"/>
      <c r="WD5" s="40"/>
      <c r="WE5" s="40"/>
      <c r="WF5" s="40"/>
      <c r="WG5" s="40"/>
      <c r="WH5" s="40"/>
      <c r="WI5" s="40"/>
      <c r="WJ5" s="40"/>
      <c r="WK5" s="40"/>
      <c r="WL5" s="40"/>
      <c r="WM5" s="40"/>
      <c r="WN5" s="40"/>
      <c r="WO5" s="40"/>
      <c r="WP5" s="40"/>
      <c r="WQ5" s="40"/>
      <c r="WR5" s="40"/>
      <c r="WS5" s="40"/>
      <c r="WT5" s="40"/>
      <c r="WU5" s="40"/>
      <c r="WV5" s="40"/>
      <c r="WW5" s="40"/>
      <c r="WX5" s="40"/>
      <c r="WY5" s="40"/>
      <c r="WZ5" s="40"/>
      <c r="XA5" s="40"/>
      <c r="XB5" s="40"/>
      <c r="XC5" s="40"/>
      <c r="XD5" s="40"/>
      <c r="XE5" s="40"/>
      <c r="XF5" s="40"/>
      <c r="XG5" s="40"/>
      <c r="XH5" s="40"/>
      <c r="XI5" s="40"/>
      <c r="XJ5" s="40"/>
      <c r="XK5" s="40"/>
      <c r="XL5" s="40"/>
      <c r="XM5" s="40"/>
      <c r="XN5" s="40"/>
      <c r="XO5" s="40"/>
      <c r="XP5" s="40"/>
      <c r="XQ5" s="40"/>
      <c r="XR5" s="40"/>
      <c r="XS5" s="40"/>
      <c r="XT5" s="40"/>
      <c r="XU5" s="40"/>
      <c r="XV5" s="40"/>
      <c r="XW5" s="40"/>
      <c r="XX5" s="40"/>
      <c r="XY5" s="40"/>
      <c r="XZ5" s="40"/>
      <c r="YA5" s="40"/>
      <c r="YB5" s="40"/>
      <c r="YC5" s="40"/>
      <c r="YD5" s="40"/>
      <c r="YE5" s="40"/>
      <c r="YF5" s="40"/>
      <c r="YG5" s="40"/>
      <c r="YH5" s="40"/>
      <c r="YI5" s="40"/>
      <c r="YJ5" s="40"/>
      <c r="YK5" s="40"/>
      <c r="YL5" s="40"/>
      <c r="YM5" s="40"/>
      <c r="YN5" s="40"/>
      <c r="YO5" s="40"/>
      <c r="YP5" s="40"/>
      <c r="YQ5" s="40"/>
      <c r="YR5" s="40"/>
      <c r="YS5" s="40"/>
      <c r="YT5" s="40"/>
      <c r="YU5" s="40"/>
      <c r="YV5" s="40"/>
      <c r="YW5" s="40"/>
      <c r="YX5" s="40"/>
      <c r="YY5" s="40"/>
      <c r="YZ5" s="40"/>
      <c r="ZA5" s="40"/>
      <c r="ZB5" s="40"/>
      <c r="ZC5" s="40"/>
      <c r="ZD5" s="40"/>
      <c r="ZE5" s="40"/>
      <c r="ZF5" s="40"/>
      <c r="ZG5" s="40"/>
      <c r="ZH5" s="40"/>
      <c r="ZI5" s="40"/>
      <c r="ZJ5" s="40"/>
      <c r="ZK5" s="40"/>
      <c r="ZL5" s="40"/>
      <c r="ZM5" s="40"/>
      <c r="ZN5" s="40"/>
      <c r="ZO5" s="40"/>
      <c r="ZP5" s="40"/>
      <c r="ZQ5" s="40"/>
      <c r="ZR5" s="40"/>
      <c r="ZS5" s="40"/>
      <c r="ZT5" s="40"/>
      <c r="ZU5" s="40"/>
      <c r="ZV5" s="40"/>
      <c r="ZW5" s="40"/>
      <c r="ZX5" s="40"/>
      <c r="ZY5" s="40"/>
      <c r="ZZ5" s="40"/>
      <c r="AAA5" s="40"/>
      <c r="AAB5" s="40"/>
      <c r="AAC5" s="40"/>
      <c r="AAD5" s="40"/>
      <c r="AAE5" s="40"/>
      <c r="AAF5" s="40"/>
      <c r="AAG5" s="40"/>
      <c r="AAH5" s="40"/>
      <c r="AAI5" s="40"/>
      <c r="AAJ5" s="40"/>
      <c r="AAK5" s="40"/>
      <c r="AAL5" s="40"/>
      <c r="AAM5" s="40"/>
      <c r="AAN5" s="40"/>
      <c r="AAO5" s="40"/>
      <c r="AAP5" s="40"/>
      <c r="AAQ5" s="40"/>
      <c r="AAR5" s="40"/>
      <c r="AAS5" s="40"/>
      <c r="AAT5" s="40"/>
      <c r="AAU5" s="40"/>
      <c r="AAV5" s="40"/>
      <c r="AAW5" s="40"/>
      <c r="AAX5" s="40"/>
      <c r="AAY5" s="40"/>
      <c r="AAZ5" s="40"/>
      <c r="ABA5" s="40"/>
      <c r="ABB5" s="40"/>
      <c r="ABC5" s="40"/>
      <c r="ABD5" s="40"/>
      <c r="ABE5" s="40"/>
      <c r="ABF5" s="40"/>
      <c r="ABG5" s="40"/>
      <c r="ABH5" s="40"/>
      <c r="ABI5" s="40"/>
      <c r="ABJ5" s="40"/>
      <c r="ABK5" s="40"/>
      <c r="ABL5" s="40"/>
      <c r="ABM5" s="40"/>
      <c r="ABN5" s="40"/>
      <c r="ABO5" s="40"/>
      <c r="ABP5" s="40"/>
      <c r="ABQ5" s="40"/>
      <c r="ABR5" s="40"/>
      <c r="ABS5" s="40"/>
      <c r="ABT5" s="40"/>
      <c r="ABU5" s="40"/>
      <c r="ABV5" s="40"/>
      <c r="ABW5" s="40"/>
      <c r="ABX5" s="40"/>
      <c r="ABY5" s="40"/>
      <c r="ABZ5" s="40"/>
      <c r="ACA5" s="40"/>
      <c r="ACB5" s="40"/>
      <c r="ACC5" s="40"/>
      <c r="ACD5" s="40"/>
      <c r="ACE5" s="40"/>
      <c r="ACF5" s="40"/>
      <c r="ACG5" s="40"/>
      <c r="ACH5" s="40"/>
      <c r="ACI5" s="40"/>
      <c r="ACJ5" s="40"/>
      <c r="ACK5" s="40"/>
      <c r="ACL5" s="40"/>
      <c r="ACM5" s="40"/>
      <c r="ACN5" s="40"/>
      <c r="ACO5" s="40"/>
      <c r="ACP5" s="40"/>
      <c r="ACQ5" s="40"/>
      <c r="ACR5" s="40"/>
      <c r="ACS5" s="40"/>
    </row>
    <row r="6" spans="1:773">
      <c r="A6" s="39"/>
      <c r="B6" s="39"/>
      <c r="C6" s="39"/>
      <c r="D6" s="39"/>
      <c r="E6" s="39"/>
      <c r="F6" s="39"/>
      <c r="G6" s="39"/>
      <c r="H6" s="39"/>
      <c r="I6" s="39"/>
    </row>
    <row r="7" spans="1:773">
      <c r="A7" s="39"/>
      <c r="B7" s="493" t="s">
        <v>537</v>
      </c>
      <c r="C7" s="494"/>
      <c r="D7" s="494"/>
      <c r="E7" s="494"/>
      <c r="F7" s="494"/>
      <c r="G7" s="494"/>
      <c r="H7" s="494"/>
      <c r="I7" s="494"/>
    </row>
    <row r="8" spans="1:773">
      <c r="A8" s="39"/>
      <c r="B8" s="45"/>
      <c r="C8" s="46" t="s">
        <v>39</v>
      </c>
      <c r="D8" s="46" t="s">
        <v>483</v>
      </c>
      <c r="E8" s="46" t="s">
        <v>484</v>
      </c>
      <c r="F8" s="46"/>
      <c r="G8" s="46"/>
      <c r="H8" s="46"/>
      <c r="I8" s="47"/>
    </row>
    <row r="9" spans="1:773">
      <c r="A9" s="39"/>
      <c r="B9" s="45" t="s">
        <v>40</v>
      </c>
      <c r="C9" s="502" t="s">
        <v>621</v>
      </c>
      <c r="D9" s="502" t="s">
        <v>622</v>
      </c>
      <c r="E9" s="502" t="s">
        <v>623</v>
      </c>
      <c r="F9" s="48" t="s">
        <v>41</v>
      </c>
      <c r="G9" s="506" t="s">
        <v>521</v>
      </c>
      <c r="H9" s="49" t="s">
        <v>42</v>
      </c>
      <c r="I9" s="503" t="s">
        <v>522</v>
      </c>
    </row>
    <row r="10" spans="1:773" ht="5.0999999999999996" customHeight="1">
      <c r="A10" s="39"/>
      <c r="B10" s="45"/>
      <c r="C10" s="50"/>
      <c r="D10" s="50"/>
      <c r="E10" s="48"/>
      <c r="F10" s="51"/>
      <c r="G10" s="49"/>
      <c r="H10" s="52"/>
      <c r="I10" s="47"/>
    </row>
    <row r="11" spans="1:773">
      <c r="A11" s="39"/>
      <c r="B11" s="47" t="s">
        <v>43</v>
      </c>
      <c r="C11" s="681"/>
      <c r="D11" s="682"/>
      <c r="E11" s="53" t="s">
        <v>45</v>
      </c>
      <c r="F11" s="681"/>
      <c r="G11" s="682"/>
      <c r="H11" s="46"/>
      <c r="I11" s="46"/>
    </row>
    <row r="12" spans="1:773" ht="5.0999999999999996" customHeight="1">
      <c r="A12" s="39"/>
      <c r="B12" s="45"/>
      <c r="C12" s="46"/>
      <c r="D12" s="46"/>
      <c r="E12" s="46"/>
      <c r="F12" s="46"/>
      <c r="G12" s="45"/>
      <c r="H12" s="46"/>
      <c r="I12" s="46"/>
    </row>
    <row r="13" spans="1:773" ht="0.6" customHeight="1">
      <c r="A13" s="39"/>
      <c r="B13" s="47"/>
      <c r="C13" s="46"/>
      <c r="D13" s="46"/>
      <c r="E13" s="46"/>
      <c r="F13" s="46"/>
      <c r="G13" s="45"/>
      <c r="H13" s="46"/>
      <c r="I13" s="46"/>
    </row>
    <row r="14" spans="1:773">
      <c r="A14" s="39"/>
      <c r="B14" s="45" t="s">
        <v>46</v>
      </c>
      <c r="C14" s="687" t="s">
        <v>630</v>
      </c>
      <c r="D14" s="688"/>
      <c r="E14" s="688"/>
      <c r="F14" s="689"/>
      <c r="G14" s="48" t="s">
        <v>47</v>
      </c>
      <c r="H14" s="681" t="s">
        <v>617</v>
      </c>
      <c r="I14" s="682"/>
    </row>
    <row r="15" spans="1:773" ht="7.5" customHeight="1">
      <c r="A15" s="39"/>
      <c r="B15" s="45"/>
      <c r="C15" s="46"/>
      <c r="D15" s="46"/>
      <c r="E15" s="46"/>
      <c r="F15" s="46"/>
      <c r="G15" s="48"/>
      <c r="H15" s="50"/>
      <c r="I15" s="50"/>
    </row>
    <row r="16" spans="1:773">
      <c r="A16" s="39"/>
      <c r="B16" s="45" t="s">
        <v>48</v>
      </c>
      <c r="C16" s="503" t="s">
        <v>624</v>
      </c>
      <c r="D16" s="47"/>
      <c r="E16" s="49" t="s">
        <v>49</v>
      </c>
      <c r="F16" s="503" t="s">
        <v>625</v>
      </c>
      <c r="G16" s="50" t="s">
        <v>50</v>
      </c>
      <c r="H16" s="507">
        <v>32</v>
      </c>
      <c r="I16" s="47"/>
    </row>
    <row r="17" spans="1:9" s="37" customFormat="1">
      <c r="A17" s="41"/>
      <c r="B17" s="52"/>
      <c r="C17" s="52"/>
      <c r="D17" s="52"/>
      <c r="E17" s="52"/>
      <c r="F17" s="52"/>
      <c r="G17" s="52"/>
      <c r="H17" s="52"/>
      <c r="I17" s="52"/>
    </row>
    <row r="18" spans="1:9">
      <c r="A18" s="39"/>
      <c r="B18" s="493" t="s">
        <v>538</v>
      </c>
      <c r="C18" s="495"/>
      <c r="D18" s="495"/>
      <c r="E18" s="495"/>
      <c r="F18" s="495"/>
      <c r="G18" s="495"/>
      <c r="H18" s="495"/>
      <c r="I18" s="496"/>
    </row>
    <row r="19" spans="1:9" s="56" customFormat="1" ht="9" customHeight="1">
      <c r="A19" s="47"/>
      <c r="B19" s="45"/>
      <c r="C19" s="47"/>
      <c r="D19" s="47"/>
      <c r="E19" s="47"/>
      <c r="F19" s="47"/>
      <c r="G19" s="47"/>
      <c r="H19" s="46"/>
      <c r="I19" s="47"/>
    </row>
    <row r="20" spans="1:9" s="56" customFormat="1">
      <c r="A20" s="47"/>
      <c r="B20" s="41" t="s">
        <v>51</v>
      </c>
      <c r="C20" s="691" t="s">
        <v>626</v>
      </c>
      <c r="D20" s="692"/>
      <c r="E20" s="693"/>
      <c r="F20" s="704" t="s">
        <v>65</v>
      </c>
      <c r="G20" s="705"/>
      <c r="H20" s="700" t="s">
        <v>44</v>
      </c>
      <c r="I20" s="701"/>
    </row>
    <row r="21" spans="1:9" s="56" customFormat="1">
      <c r="A21" s="47"/>
      <c r="B21" s="493"/>
      <c r="C21" s="694"/>
      <c r="D21" s="695"/>
      <c r="E21" s="696"/>
      <c r="F21" s="706" t="s">
        <v>66</v>
      </c>
      <c r="G21" s="707"/>
      <c r="H21" s="702" t="s">
        <v>44</v>
      </c>
      <c r="I21" s="703"/>
    </row>
    <row r="22" spans="1:9" s="56" customFormat="1">
      <c r="A22" s="47"/>
      <c r="B22" s="41"/>
      <c r="C22" s="697"/>
      <c r="D22" s="698"/>
      <c r="E22" s="699"/>
      <c r="F22" s="47"/>
      <c r="G22" s="47"/>
      <c r="H22" s="41"/>
      <c r="I22" s="41"/>
    </row>
    <row r="23" spans="1:9" s="56" customFormat="1" ht="8.1" customHeight="1">
      <c r="A23" s="47"/>
      <c r="B23" s="45"/>
      <c r="C23" s="50"/>
      <c r="D23" s="50"/>
      <c r="E23" s="50"/>
      <c r="F23" s="50"/>
      <c r="G23" s="46"/>
      <c r="H23" s="46"/>
      <c r="I23" s="47"/>
    </row>
    <row r="24" spans="1:9" s="56" customFormat="1">
      <c r="A24" s="47"/>
      <c r="B24" s="45" t="s">
        <v>52</v>
      </c>
      <c r="C24" s="687" t="s">
        <v>626</v>
      </c>
      <c r="D24" s="688"/>
      <c r="E24" s="688"/>
      <c r="F24" s="689"/>
      <c r="G24" s="46"/>
      <c r="H24" s="46"/>
      <c r="I24" s="47"/>
    </row>
    <row r="25" spans="1:9" s="56" customFormat="1" ht="8.1" customHeight="1">
      <c r="A25" s="47"/>
      <c r="B25" s="45"/>
      <c r="C25" s="46"/>
      <c r="D25" s="46"/>
      <c r="E25" s="46"/>
      <c r="F25" s="46"/>
      <c r="G25" s="46"/>
      <c r="H25" s="46"/>
      <c r="I25" s="47"/>
    </row>
    <row r="26" spans="1:9" s="56" customFormat="1" ht="38.25">
      <c r="A26" s="47"/>
      <c r="B26" s="664" t="s">
        <v>53</v>
      </c>
      <c r="C26" s="508">
        <v>1</v>
      </c>
      <c r="D26" s="46" t="s">
        <v>562</v>
      </c>
      <c r="E26" s="508">
        <v>1</v>
      </c>
      <c r="F26" s="509" t="s">
        <v>465</v>
      </c>
      <c r="G26" s="648">
        <f>E26/C26</f>
        <v>1</v>
      </c>
      <c r="H26" s="53" t="s">
        <v>54</v>
      </c>
      <c r="I26" s="510" t="s">
        <v>627</v>
      </c>
    </row>
    <row r="27" spans="1:9" s="56" customFormat="1" ht="8.1" customHeight="1">
      <c r="A27" s="47"/>
      <c r="B27" s="45"/>
      <c r="C27" s="46"/>
      <c r="D27" s="46"/>
      <c r="E27" s="46"/>
      <c r="F27" s="46"/>
      <c r="G27" s="46"/>
      <c r="H27" s="46"/>
      <c r="I27" s="47"/>
    </row>
    <row r="28" spans="1:9" s="56" customFormat="1" ht="12.75" customHeight="1">
      <c r="A28" s="47"/>
      <c r="B28" s="45" t="s">
        <v>55</v>
      </c>
      <c r="C28" s="690" t="s">
        <v>628</v>
      </c>
      <c r="D28" s="690"/>
      <c r="E28" s="46"/>
      <c r="F28" s="46"/>
      <c r="G28" s="46"/>
      <c r="H28" s="46"/>
      <c r="I28" s="47"/>
    </row>
    <row r="29" spans="1:9" s="56" customFormat="1" ht="8.1" customHeight="1">
      <c r="A29" s="47"/>
      <c r="B29" s="45"/>
      <c r="C29" s="46"/>
      <c r="D29" s="46"/>
      <c r="E29" s="46"/>
      <c r="F29" s="46"/>
      <c r="G29" s="46"/>
      <c r="H29" s="46"/>
      <c r="I29" s="47"/>
    </row>
    <row r="30" spans="1:9" s="56" customFormat="1" ht="8.1" customHeight="1">
      <c r="A30" s="47"/>
      <c r="B30" s="45"/>
      <c r="C30" s="46"/>
      <c r="D30" s="46"/>
      <c r="E30" s="46"/>
      <c r="F30" s="46"/>
      <c r="G30" s="46"/>
      <c r="H30" s="46"/>
      <c r="I30" s="47"/>
    </row>
    <row r="31" spans="1:9" s="56" customFormat="1">
      <c r="A31" s="47"/>
      <c r="B31" s="45" t="s">
        <v>56</v>
      </c>
      <c r="C31" s="511" t="s">
        <v>158</v>
      </c>
      <c r="D31" s="48" t="s">
        <v>58</v>
      </c>
      <c r="E31" s="502" t="s">
        <v>629</v>
      </c>
      <c r="F31" s="47"/>
      <c r="G31" s="52"/>
      <c r="H31" s="52"/>
      <c r="I31" s="52"/>
    </row>
    <row r="32" spans="1:9" s="56" customFormat="1" ht="8.1" customHeight="1">
      <c r="A32" s="47"/>
      <c r="B32" s="45"/>
      <c r="C32" s="46"/>
      <c r="D32" s="57"/>
      <c r="E32" s="46"/>
      <c r="F32" s="46"/>
      <c r="G32" s="46"/>
      <c r="H32" s="46"/>
      <c r="I32" s="47"/>
    </row>
    <row r="33" spans="1:13" s="56" customFormat="1" ht="8.1" customHeight="1">
      <c r="A33" s="47"/>
      <c r="B33" s="45"/>
      <c r="C33" s="46"/>
      <c r="D33" s="58"/>
      <c r="E33" s="59"/>
      <c r="F33" s="46"/>
      <c r="G33" s="46"/>
      <c r="H33" s="46"/>
      <c r="I33" s="47"/>
    </row>
    <row r="34" spans="1:13" s="56" customFormat="1" ht="8.1" customHeight="1">
      <c r="A34" s="47"/>
      <c r="B34" s="47"/>
      <c r="C34" s="60" t="s">
        <v>59</v>
      </c>
      <c r="D34" s="497" t="s">
        <v>460</v>
      </c>
      <c r="E34" s="61" t="s">
        <v>563</v>
      </c>
      <c r="F34" s="46"/>
      <c r="G34" s="46"/>
      <c r="H34" s="47"/>
      <c r="I34" s="47"/>
    </row>
    <row r="35" spans="1:13" s="56" customFormat="1" ht="12.6" customHeight="1">
      <c r="A35" s="47"/>
      <c r="B35" s="47" t="s">
        <v>60</v>
      </c>
      <c r="C35" s="508">
        <v>8</v>
      </c>
      <c r="D35" s="508">
        <v>5</v>
      </c>
      <c r="E35" s="508">
        <v>13</v>
      </c>
      <c r="F35" s="685" t="s">
        <v>461</v>
      </c>
      <c r="G35" s="686"/>
      <c r="H35" s="47"/>
      <c r="I35" s="47"/>
    </row>
    <row r="36" spans="1:13" s="56" customFormat="1">
      <c r="A36" s="47"/>
      <c r="B36" s="47" t="s">
        <v>61</v>
      </c>
      <c r="C36" s="508"/>
      <c r="D36" s="508"/>
      <c r="E36" s="508"/>
      <c r="F36" s="685"/>
      <c r="G36" s="686"/>
      <c r="H36" s="512"/>
      <c r="I36" s="47"/>
    </row>
    <row r="37" spans="1:13" s="56" customFormat="1">
      <c r="A37" s="47"/>
      <c r="B37" s="47" t="s">
        <v>62</v>
      </c>
      <c r="C37" s="508"/>
      <c r="D37" s="508"/>
      <c r="E37" s="508"/>
      <c r="F37" s="685"/>
      <c r="G37" s="686"/>
      <c r="H37" s="47" t="s">
        <v>63</v>
      </c>
      <c r="I37" s="47"/>
    </row>
    <row r="38" spans="1:13" s="56" customFormat="1">
      <c r="A38" s="47"/>
      <c r="B38" s="47" t="s">
        <v>64</v>
      </c>
      <c r="C38" s="508"/>
      <c r="D38" s="508"/>
      <c r="E38" s="508"/>
      <c r="F38" s="46"/>
      <c r="G38" s="46"/>
      <c r="H38" s="595">
        <f>H36/(56*52)</f>
        <v>0</v>
      </c>
      <c r="I38" s="47"/>
    </row>
    <row r="39" spans="1:13" s="56" customFormat="1" ht="12.6" customHeight="1">
      <c r="A39" s="47"/>
      <c r="B39" s="47"/>
      <c r="C39" s="47"/>
      <c r="D39" s="50"/>
      <c r="E39" s="62"/>
      <c r="F39" s="535" t="s">
        <v>467</v>
      </c>
      <c r="G39" s="47"/>
      <c r="H39" s="512">
        <v>4</v>
      </c>
      <c r="I39" s="47"/>
    </row>
    <row r="40" spans="1:13" s="56" customFormat="1">
      <c r="A40" s="47"/>
      <c r="B40" s="493" t="s">
        <v>539</v>
      </c>
      <c r="C40" s="495"/>
      <c r="D40" s="495"/>
      <c r="E40" s="495"/>
      <c r="F40" s="495"/>
      <c r="G40" s="495"/>
      <c r="H40" s="495"/>
      <c r="I40" s="496"/>
      <c r="K40" s="63"/>
      <c r="L40" s="63"/>
      <c r="M40" s="63"/>
    </row>
    <row r="41" spans="1:13" s="56" customFormat="1">
      <c r="A41" s="47"/>
      <c r="B41" s="47"/>
      <c r="C41" s="47"/>
      <c r="D41" s="47"/>
      <c r="E41" s="47"/>
      <c r="F41" s="47"/>
      <c r="G41" s="47"/>
      <c r="H41" s="47"/>
      <c r="I41" s="47"/>
      <c r="K41" s="63"/>
      <c r="L41" s="63"/>
      <c r="M41" s="63"/>
    </row>
    <row r="42" spans="1:13" s="56" customFormat="1">
      <c r="A42" s="47"/>
      <c r="B42" s="64" t="s">
        <v>69</v>
      </c>
      <c r="C42" s="513">
        <v>1200000</v>
      </c>
      <c r="D42" s="65"/>
      <c r="E42" s="66" t="s">
        <v>19</v>
      </c>
      <c r="F42" s="519">
        <v>0.18</v>
      </c>
      <c r="G42" s="41"/>
      <c r="H42" s="41"/>
      <c r="I42" s="39"/>
      <c r="K42" s="63"/>
      <c r="L42" s="63"/>
      <c r="M42" s="63"/>
    </row>
    <row r="43" spans="1:13" ht="12.6" customHeight="1">
      <c r="A43" s="47"/>
      <c r="B43" s="64"/>
      <c r="C43" s="67"/>
      <c r="D43" s="68" t="s">
        <v>70</v>
      </c>
      <c r="E43" s="69"/>
      <c r="F43" s="69"/>
      <c r="G43" s="41"/>
      <c r="H43" s="41"/>
      <c r="I43" s="39"/>
    </row>
    <row r="44" spans="1:13" ht="12.6" customHeight="1">
      <c r="A44" s="47"/>
      <c r="B44" s="64" t="s">
        <v>71</v>
      </c>
      <c r="C44" s="598">
        <v>24</v>
      </c>
      <c r="D44" s="503" t="s">
        <v>95</v>
      </c>
      <c r="E44" s="57" t="s">
        <v>73</v>
      </c>
      <c r="F44" s="503" t="s">
        <v>74</v>
      </c>
      <c r="G44" s="41"/>
      <c r="H44" s="41"/>
      <c r="I44" s="70"/>
    </row>
    <row r="45" spans="1:13" ht="12.6" customHeight="1">
      <c r="A45" s="47"/>
      <c r="B45" s="64"/>
      <c r="C45" s="50"/>
      <c r="D45" s="71"/>
      <c r="E45" s="72"/>
      <c r="F45" s="73"/>
      <c r="G45" s="41"/>
      <c r="H45" s="41"/>
      <c r="I45" s="69"/>
    </row>
    <row r="46" spans="1:13" ht="12.6" customHeight="1">
      <c r="A46" s="47"/>
      <c r="B46" s="64" t="s">
        <v>75</v>
      </c>
      <c r="C46" s="514">
        <v>0</v>
      </c>
      <c r="D46" s="518">
        <f>C46/C42</f>
        <v>0</v>
      </c>
      <c r="E46" s="57" t="s">
        <v>76</v>
      </c>
      <c r="F46" s="516">
        <f>IF(D44="","",IF(D44="Weekly",48,IF(D44="Bi-weekly",24,IF(D44="monthly",12,IF(D44="Quarterly",4,2)))))</f>
        <v>12</v>
      </c>
      <c r="G46" s="41"/>
      <c r="H46" s="41"/>
      <c r="I46" s="39"/>
    </row>
    <row r="47" spans="1:13" ht="12.6" customHeight="1">
      <c r="A47" s="47"/>
      <c r="B47" s="74"/>
      <c r="C47" s="75"/>
      <c r="D47" s="75"/>
      <c r="E47" s="76"/>
      <c r="F47" s="77"/>
      <c r="G47" s="41"/>
      <c r="H47" s="41"/>
      <c r="I47" s="78"/>
    </row>
    <row r="48" spans="1:13" ht="24" customHeight="1">
      <c r="A48" s="47"/>
      <c r="B48" s="79" t="s">
        <v>77</v>
      </c>
      <c r="C48" s="514"/>
      <c r="D48" s="69"/>
      <c r="E48" s="66" t="s">
        <v>78</v>
      </c>
      <c r="F48" s="517">
        <f>(C44/12)*F46-C48</f>
        <v>24</v>
      </c>
      <c r="G48" s="41"/>
      <c r="H48" s="41"/>
      <c r="I48" s="80"/>
    </row>
    <row r="49" spans="1:9" ht="12.6" customHeight="1">
      <c r="A49" s="47"/>
      <c r="B49" s="81" t="s">
        <v>79</v>
      </c>
      <c r="C49" s="515"/>
      <c r="D49" s="82"/>
      <c r="E49" s="82"/>
      <c r="F49" s="82"/>
      <c r="G49" s="83"/>
      <c r="H49" s="41"/>
      <c r="I49" s="41"/>
    </row>
    <row r="50" spans="1:9" ht="12.6" customHeight="1">
      <c r="A50" s="47"/>
      <c r="B50" s="81"/>
      <c r="C50" s="82"/>
      <c r="D50" s="82"/>
      <c r="E50" s="608" t="s">
        <v>223</v>
      </c>
      <c r="F50" s="82"/>
      <c r="G50" s="83"/>
      <c r="H50" s="41"/>
      <c r="I50" s="41"/>
    </row>
    <row r="51" spans="1:9" ht="12.6" customHeight="1">
      <c r="A51" s="47"/>
      <c r="B51" s="81" t="s">
        <v>80</v>
      </c>
      <c r="C51" s="82" t="s">
        <v>81</v>
      </c>
      <c r="D51" s="609">
        <v>540000</v>
      </c>
      <c r="E51" s="610">
        <f>D51/(C42+C46)*100%</f>
        <v>0.45</v>
      </c>
      <c r="F51" s="684" t="str">
        <f>IF((D51+D52)=(C42+C46), "OK", "ERROR")</f>
        <v>OK</v>
      </c>
      <c r="G51" s="83"/>
      <c r="H51" s="41"/>
      <c r="I51" s="41"/>
    </row>
    <row r="52" spans="1:9" ht="12.6" customHeight="1">
      <c r="A52" s="47"/>
      <c r="B52" s="81"/>
      <c r="C52" s="82" t="s">
        <v>462</v>
      </c>
      <c r="D52" s="609">
        <v>660000</v>
      </c>
      <c r="E52" s="610">
        <f>D52/(C42+C46)*100%</f>
        <v>0.55000000000000004</v>
      </c>
      <c r="F52" s="684"/>
      <c r="G52" s="83"/>
      <c r="H52" s="41"/>
      <c r="I52" s="41"/>
    </row>
    <row r="53" spans="1:9" ht="12.6" customHeight="1">
      <c r="A53" s="47"/>
      <c r="B53" s="41"/>
      <c r="C53" s="41"/>
      <c r="D53" s="611"/>
      <c r="E53" s="41"/>
      <c r="F53" s="41"/>
      <c r="G53" s="41"/>
      <c r="H53" s="41"/>
      <c r="I53" s="41"/>
    </row>
    <row r="54" spans="1:9" ht="12.6" customHeight="1">
      <c r="A54" s="47"/>
      <c r="B54" s="494" t="s">
        <v>540</v>
      </c>
      <c r="C54" s="495"/>
      <c r="D54" s="495"/>
      <c r="E54" s="495"/>
      <c r="F54" s="495"/>
      <c r="G54" s="495"/>
      <c r="H54" s="495"/>
      <c r="I54" s="496"/>
    </row>
    <row r="55" spans="1:9" ht="12.6" customHeight="1">
      <c r="A55" s="47"/>
      <c r="B55" s="498" t="s">
        <v>82</v>
      </c>
      <c r="C55" s="498" t="s">
        <v>83</v>
      </c>
      <c r="D55" s="498" t="s">
        <v>84</v>
      </c>
      <c r="E55" s="498" t="s">
        <v>85</v>
      </c>
      <c r="F55" s="41"/>
      <c r="G55" s="41"/>
      <c r="H55" s="41"/>
      <c r="I55" s="41"/>
    </row>
    <row r="56" spans="1:9" ht="12.6" customHeight="1">
      <c r="A56" s="47"/>
      <c r="B56" s="498" t="s">
        <v>86</v>
      </c>
      <c r="C56" s="498"/>
      <c r="D56" s="498"/>
      <c r="E56" s="498"/>
      <c r="F56" s="41"/>
      <c r="G56" s="41"/>
      <c r="H56" s="41"/>
      <c r="I56" s="41"/>
    </row>
    <row r="57" spans="1:9" ht="12.6" customHeight="1">
      <c r="A57" s="47"/>
      <c r="B57" s="520" t="s">
        <v>631</v>
      </c>
      <c r="C57" s="521">
        <v>2</v>
      </c>
      <c r="D57" s="522">
        <v>130000</v>
      </c>
      <c r="E57" s="84">
        <f>C57*D57</f>
        <v>260000</v>
      </c>
      <c r="F57" s="41"/>
      <c r="G57" s="41"/>
      <c r="H57" s="41"/>
      <c r="I57" s="41"/>
    </row>
    <row r="58" spans="1:9" ht="12.6" customHeight="1">
      <c r="A58" s="47"/>
      <c r="B58" s="520" t="s">
        <v>633</v>
      </c>
      <c r="C58" s="521">
        <v>1</v>
      </c>
      <c r="D58" s="522">
        <v>140000</v>
      </c>
      <c r="E58" s="84">
        <f t="shared" ref="E58:E66" si="0">C58*D58</f>
        <v>140000</v>
      </c>
      <c r="F58" s="41"/>
      <c r="G58" s="41"/>
      <c r="H58" s="41"/>
      <c r="I58" s="41"/>
    </row>
    <row r="59" spans="1:9" ht="12.6" customHeight="1">
      <c r="A59" s="47"/>
      <c r="B59" s="520" t="s">
        <v>635</v>
      </c>
      <c r="C59" s="521">
        <v>6</v>
      </c>
      <c r="D59" s="522">
        <v>5000</v>
      </c>
      <c r="E59" s="84">
        <f t="shared" si="0"/>
        <v>30000</v>
      </c>
      <c r="F59" s="41"/>
      <c r="G59" s="41"/>
      <c r="H59" s="41"/>
      <c r="I59" s="41"/>
    </row>
    <row r="60" spans="1:9" ht="12.6" customHeight="1">
      <c r="A60" s="47"/>
      <c r="B60" s="520"/>
      <c r="C60" s="521"/>
      <c r="D60" s="522"/>
      <c r="E60" s="84">
        <f t="shared" si="0"/>
        <v>0</v>
      </c>
      <c r="F60" s="41"/>
      <c r="G60" s="41"/>
      <c r="H60" s="41"/>
      <c r="I60" s="41"/>
    </row>
    <row r="61" spans="1:9" ht="12.6" customHeight="1">
      <c r="A61" s="47"/>
      <c r="B61" s="520"/>
      <c r="C61" s="521"/>
      <c r="D61" s="522"/>
      <c r="E61" s="84">
        <f t="shared" si="0"/>
        <v>0</v>
      </c>
      <c r="F61" s="41"/>
      <c r="G61" s="41"/>
      <c r="H61" s="41"/>
      <c r="I61" s="41"/>
    </row>
    <row r="62" spans="1:9" ht="12.6" customHeight="1">
      <c r="A62" s="47"/>
      <c r="B62" s="520"/>
      <c r="C62" s="521"/>
      <c r="D62" s="522"/>
      <c r="E62" s="84">
        <f t="shared" si="0"/>
        <v>0</v>
      </c>
      <c r="F62" s="41"/>
      <c r="G62" s="41"/>
      <c r="H62" s="41"/>
      <c r="I62" s="41"/>
    </row>
    <row r="63" spans="1:9" ht="12.6" customHeight="1">
      <c r="A63" s="47"/>
      <c r="B63" s="520"/>
      <c r="C63" s="521"/>
      <c r="D63" s="522"/>
      <c r="E63" s="84">
        <f t="shared" si="0"/>
        <v>0</v>
      </c>
      <c r="F63" s="41"/>
      <c r="G63" s="41"/>
      <c r="H63" s="41"/>
      <c r="I63" s="41"/>
    </row>
    <row r="64" spans="1:9" ht="12.6" customHeight="1">
      <c r="A64" s="47"/>
      <c r="B64" s="520"/>
      <c r="C64" s="521"/>
      <c r="D64" s="522"/>
      <c r="E64" s="84">
        <f t="shared" si="0"/>
        <v>0</v>
      </c>
      <c r="F64" s="41"/>
      <c r="G64" s="41"/>
      <c r="H64" s="41"/>
      <c r="I64" s="41"/>
    </row>
    <row r="65" spans="1:9" ht="12.6" customHeight="1">
      <c r="A65" s="47"/>
      <c r="B65" s="523"/>
      <c r="C65" s="521"/>
      <c r="D65" s="522"/>
      <c r="E65" s="84">
        <f t="shared" si="0"/>
        <v>0</v>
      </c>
      <c r="F65" s="41"/>
      <c r="G65" s="41"/>
      <c r="H65" s="41"/>
      <c r="I65" s="41"/>
    </row>
    <row r="66" spans="1:9" ht="12.6" customHeight="1">
      <c r="A66" s="47"/>
      <c r="B66" s="520"/>
      <c r="C66" s="521"/>
      <c r="D66" s="522"/>
      <c r="E66" s="84">
        <f t="shared" si="0"/>
        <v>0</v>
      </c>
      <c r="F66" s="41"/>
      <c r="G66" s="41"/>
      <c r="H66" s="41"/>
      <c r="I66" s="41"/>
    </row>
    <row r="67" spans="1:9" ht="12.6" customHeight="1">
      <c r="A67" s="47"/>
      <c r="B67" s="85" t="s">
        <v>88</v>
      </c>
      <c r="C67" s="41"/>
      <c r="D67" s="41"/>
      <c r="E67" s="86">
        <f>SUM(E57:E66)</f>
        <v>430000</v>
      </c>
      <c r="F67" s="87" t="str">
        <f>IF((E67+E79)=D51, "OK", "ERROR")</f>
        <v>OK</v>
      </c>
      <c r="G67" s="41"/>
      <c r="H67" s="41"/>
      <c r="I67" s="41"/>
    </row>
    <row r="68" spans="1:9" ht="12.6" customHeight="1">
      <c r="A68" s="47"/>
      <c r="B68" s="683" t="s">
        <v>541</v>
      </c>
      <c r="C68" s="683"/>
      <c r="D68" s="683"/>
      <c r="E68" s="499"/>
      <c r="F68" s="41"/>
      <c r="G68" s="41"/>
      <c r="H68" s="41"/>
      <c r="I68" s="41"/>
    </row>
    <row r="69" spans="1:9" ht="12.6" customHeight="1">
      <c r="A69" s="47"/>
      <c r="B69" s="520" t="s">
        <v>632</v>
      </c>
      <c r="C69" s="521">
        <v>3</v>
      </c>
      <c r="D69" s="524">
        <v>40000</v>
      </c>
      <c r="E69" s="84">
        <f t="shared" ref="E69:E77" si="1">C69*D69</f>
        <v>120000</v>
      </c>
      <c r="F69" s="88"/>
      <c r="G69" s="41"/>
      <c r="H69" s="41"/>
      <c r="I69" s="41"/>
    </row>
    <row r="70" spans="1:9" ht="12.6" customHeight="1">
      <c r="A70" s="47"/>
      <c r="B70" s="520" t="s">
        <v>634</v>
      </c>
      <c r="C70" s="521">
        <v>1</v>
      </c>
      <c r="D70" s="524">
        <v>540000</v>
      </c>
      <c r="E70" s="84">
        <f t="shared" si="1"/>
        <v>540000</v>
      </c>
      <c r="F70" s="88"/>
      <c r="G70" s="41"/>
      <c r="H70" s="41"/>
      <c r="I70" s="41"/>
    </row>
    <row r="71" spans="1:9" ht="12.6" customHeight="1">
      <c r="A71" s="47"/>
      <c r="B71" s="520"/>
      <c r="C71" s="521"/>
      <c r="D71" s="524"/>
      <c r="E71" s="84">
        <f t="shared" si="1"/>
        <v>0</v>
      </c>
      <c r="F71" s="88"/>
      <c r="G71" s="41"/>
      <c r="H71" s="41"/>
      <c r="I71" s="41"/>
    </row>
    <row r="72" spans="1:9" ht="12.6" customHeight="1">
      <c r="A72" s="47"/>
      <c r="B72" s="520"/>
      <c r="C72" s="521"/>
      <c r="D72" s="524"/>
      <c r="E72" s="84">
        <f t="shared" si="1"/>
        <v>0</v>
      </c>
      <c r="F72" s="88"/>
      <c r="G72" s="41"/>
      <c r="H72" s="41"/>
      <c r="I72" s="41"/>
    </row>
    <row r="73" spans="1:9" ht="12.6" customHeight="1">
      <c r="A73" s="47"/>
      <c r="B73" s="520"/>
      <c r="C73" s="521"/>
      <c r="D73" s="524"/>
      <c r="E73" s="84">
        <f t="shared" si="1"/>
        <v>0</v>
      </c>
      <c r="F73" s="88"/>
      <c r="G73" s="41"/>
      <c r="H73" s="41"/>
      <c r="I73" s="41"/>
    </row>
    <row r="74" spans="1:9" ht="12.6" customHeight="1">
      <c r="A74" s="47"/>
      <c r="B74" s="520"/>
      <c r="C74" s="521"/>
      <c r="D74" s="524"/>
      <c r="E74" s="84">
        <f t="shared" si="1"/>
        <v>0</v>
      </c>
      <c r="F74" s="88"/>
      <c r="G74" s="41"/>
      <c r="H74" s="41"/>
      <c r="I74" s="41"/>
    </row>
    <row r="75" spans="1:9" ht="12.6" customHeight="1">
      <c r="A75" s="47"/>
      <c r="B75" s="520"/>
      <c r="C75" s="521"/>
      <c r="D75" s="522"/>
      <c r="E75" s="84">
        <f t="shared" si="1"/>
        <v>0</v>
      </c>
      <c r="F75" s="88"/>
      <c r="G75" s="41"/>
      <c r="H75" s="41"/>
      <c r="I75" s="41"/>
    </row>
    <row r="76" spans="1:9" ht="12.6" customHeight="1">
      <c r="A76" s="47"/>
      <c r="B76" s="523"/>
      <c r="C76" s="521"/>
      <c r="D76" s="522"/>
      <c r="E76" s="84">
        <f t="shared" si="1"/>
        <v>0</v>
      </c>
      <c r="F76" s="88"/>
      <c r="G76" s="41"/>
      <c r="H76" s="41"/>
      <c r="I76" s="41"/>
    </row>
    <row r="77" spans="1:9" ht="12.6" customHeight="1">
      <c r="A77" s="47"/>
      <c r="B77" s="520"/>
      <c r="C77" s="521"/>
      <c r="D77" s="524"/>
      <c r="E77" s="84">
        <f t="shared" si="1"/>
        <v>0</v>
      </c>
      <c r="F77" s="88"/>
      <c r="G77" s="41"/>
      <c r="H77" s="41"/>
      <c r="I77" s="41"/>
    </row>
    <row r="78" spans="1:9" ht="12.6" customHeight="1">
      <c r="A78" s="47"/>
      <c r="B78" s="85" t="s">
        <v>89</v>
      </c>
      <c r="C78" s="41"/>
      <c r="D78" s="41"/>
      <c r="E78" s="86">
        <f>SUM(E69:E77)</f>
        <v>660000</v>
      </c>
      <c r="F78" s="87" t="str">
        <f>IF(E78=D52, "OK", "ERROR")</f>
        <v>OK</v>
      </c>
      <c r="G78" s="41"/>
      <c r="H78" s="41"/>
      <c r="I78" s="41"/>
    </row>
    <row r="79" spans="1:9" ht="12.6" customHeight="1">
      <c r="A79" s="47"/>
      <c r="B79" s="88" t="s">
        <v>90</v>
      </c>
      <c r="C79" s="88"/>
      <c r="D79" s="88"/>
      <c r="E79" s="89">
        <f>C42+C46-E67-E78</f>
        <v>110000</v>
      </c>
      <c r="F79" s="90">
        <f>E79/E80</f>
        <v>9.166666666666666E-2</v>
      </c>
      <c r="G79" s="91" t="str">
        <f>IF(F79&gt;20%,"EXCESS CASH-PLS CHECK", "OK")</f>
        <v>OK</v>
      </c>
      <c r="H79" s="41"/>
      <c r="I79" s="41"/>
    </row>
    <row r="80" spans="1:9" ht="12.6" customHeight="1">
      <c r="A80" s="47"/>
      <c r="B80" s="89" t="s">
        <v>91</v>
      </c>
      <c r="C80" s="89">
        <f>SUM(C57:C79)</f>
        <v>13</v>
      </c>
      <c r="D80" s="89">
        <f>SUM(D57:D79)</f>
        <v>855000</v>
      </c>
      <c r="E80" s="89">
        <f>E67+E78+E79</f>
        <v>1200000</v>
      </c>
      <c r="F80" s="89"/>
      <c r="G80" s="87" t="str">
        <f>IF(E79&gt;=0,"","NEGATIVE CASH,Pls Check")</f>
        <v/>
      </c>
      <c r="H80" s="41"/>
      <c r="I80" s="41"/>
    </row>
    <row r="81" ht="12.6" customHeight="1"/>
    <row r="82" ht="12.6" customHeight="1"/>
    <row r="83" ht="12.6" customHeight="1"/>
    <row r="84" ht="12.6" hidden="1" customHeight="1"/>
    <row r="85" ht="12.6" hidden="1" customHeight="1"/>
    <row r="86" ht="12.6" hidden="1" customHeight="1"/>
    <row r="87" ht="12.6" hidden="1" customHeight="1"/>
    <row r="88" ht="12.6" hidden="1" customHeight="1"/>
    <row r="89" ht="12.6" hidden="1" customHeight="1"/>
    <row r="90" ht="12.6" hidden="1" customHeight="1"/>
    <row r="91" ht="12.6" hidden="1" customHeight="1"/>
    <row r="92" ht="12.6" hidden="1" customHeight="1"/>
    <row r="93" ht="12.6" hidden="1" customHeight="1"/>
    <row r="94" ht="12.6" hidden="1" customHeight="1"/>
    <row r="95" ht="12.6" hidden="1" customHeight="1"/>
    <row r="96" ht="12.6" hidden="1" customHeight="1"/>
    <row r="97" ht="12.6" hidden="1" customHeight="1"/>
    <row r="98" ht="12.6" hidden="1" customHeight="1"/>
    <row r="99" ht="12.6" hidden="1" customHeight="1"/>
    <row r="100" ht="12.6" hidden="1" customHeight="1"/>
    <row r="101" ht="12.6" hidden="1" customHeight="1"/>
    <row r="102" ht="12.6" hidden="1" customHeight="1"/>
    <row r="103" ht="12.6" hidden="1" customHeight="1"/>
    <row r="104" ht="12.6" hidden="1" customHeight="1"/>
    <row r="105" ht="12.6" hidden="1" customHeight="1"/>
    <row r="106" ht="12.6" hidden="1" customHeight="1"/>
    <row r="107" ht="12.6" hidden="1" customHeight="1"/>
    <row r="108" ht="12.6" hidden="1" customHeight="1"/>
    <row r="109" ht="12.6" hidden="1" customHeight="1"/>
    <row r="110" ht="12.6" hidden="1" customHeight="1"/>
    <row r="111" ht="12.6" hidden="1" customHeight="1"/>
    <row r="112" ht="12.6" hidden="1" customHeight="1"/>
    <row r="113" ht="12.6" hidden="1" customHeight="1"/>
    <row r="114" ht="12.6" hidden="1" customHeight="1"/>
    <row r="115" ht="12.6" hidden="1" customHeight="1"/>
    <row r="116" ht="12.6" hidden="1" customHeight="1"/>
    <row r="117" ht="12.6" hidden="1" customHeight="1"/>
    <row r="118" ht="12.6" hidden="1" customHeight="1"/>
    <row r="119" ht="12.6" hidden="1" customHeight="1"/>
    <row r="120" ht="12.6" hidden="1" customHeight="1"/>
    <row r="121" ht="12.6" hidden="1" customHeight="1"/>
    <row r="122" ht="12.6" hidden="1" customHeight="1"/>
    <row r="123" ht="12.6" hidden="1" customHeight="1"/>
    <row r="124" ht="12.6" hidden="1" customHeight="1"/>
    <row r="125" ht="12.6" hidden="1" customHeight="1"/>
    <row r="126" ht="12.6" hidden="1" customHeight="1"/>
    <row r="127" ht="12.6" hidden="1" customHeight="1"/>
    <row r="128" ht="12.6" hidden="1" customHeight="1"/>
    <row r="129" spans="2:4" ht="12.6" hidden="1" customHeight="1"/>
    <row r="130" spans="2:4" ht="12.6" hidden="1" customHeight="1">
      <c r="B130" s="47"/>
      <c r="C130" s="47"/>
      <c r="D130" s="47"/>
    </row>
    <row r="131" spans="2:4" ht="12.6" hidden="1" customHeight="1">
      <c r="B131" s="47"/>
      <c r="C131" s="47"/>
      <c r="D131" s="47"/>
    </row>
    <row r="132" spans="2:4" ht="12.6" hidden="1" customHeight="1">
      <c r="B132" s="47"/>
      <c r="C132" s="47"/>
      <c r="D132" s="47"/>
    </row>
    <row r="133" spans="2:4" ht="12.6" hidden="1" customHeight="1">
      <c r="B133" s="47"/>
      <c r="C133" s="47"/>
      <c r="D133" s="47"/>
    </row>
    <row r="134" spans="2:4" ht="12.6" hidden="1" customHeight="1">
      <c r="B134" s="47"/>
      <c r="C134" s="47"/>
      <c r="D134" s="47"/>
    </row>
    <row r="135" spans="2:4" ht="12.6" hidden="1" customHeight="1">
      <c r="B135" s="47"/>
      <c r="C135" s="47"/>
      <c r="D135" s="47"/>
    </row>
    <row r="136" spans="2:4" ht="12.6" hidden="1" customHeight="1">
      <c r="B136" s="47"/>
      <c r="C136" s="47"/>
      <c r="D136" s="47"/>
    </row>
    <row r="137" spans="2:4" ht="12.6" hidden="1" customHeight="1">
      <c r="B137" s="47"/>
      <c r="C137" s="47"/>
      <c r="D137" s="47"/>
    </row>
    <row r="138" spans="2:4" ht="12.6" hidden="1" customHeight="1">
      <c r="B138" s="47"/>
      <c r="C138" s="47"/>
      <c r="D138" s="47"/>
    </row>
    <row r="139" spans="2:4" ht="12.6" hidden="1" customHeight="1">
      <c r="B139" s="47"/>
      <c r="C139" s="47"/>
      <c r="D139" s="47"/>
    </row>
    <row r="140" spans="2:4" ht="12.6" hidden="1" customHeight="1">
      <c r="B140" s="47"/>
      <c r="C140" s="47"/>
      <c r="D140" s="47"/>
    </row>
    <row r="141" spans="2:4" ht="12.6" hidden="1" customHeight="1">
      <c r="B141" s="47"/>
      <c r="C141" s="47"/>
      <c r="D141" s="47"/>
    </row>
    <row r="142" spans="2:4" ht="12.6" hidden="1" customHeight="1">
      <c r="B142" s="47"/>
      <c r="C142" s="47"/>
      <c r="D142" s="47"/>
    </row>
    <row r="143" spans="2:4" ht="12.6" hidden="1" customHeight="1">
      <c r="B143" s="47"/>
      <c r="C143" s="47"/>
      <c r="D143" s="47"/>
    </row>
    <row r="144" spans="2:4" ht="12.6" hidden="1" customHeight="1">
      <c r="B144" s="47"/>
      <c r="C144" s="47"/>
      <c r="D144" s="47"/>
    </row>
    <row r="145" spans="2:4" ht="12.6" hidden="1" customHeight="1">
      <c r="B145" s="47"/>
      <c r="C145" s="47"/>
      <c r="D145" s="47"/>
    </row>
    <row r="146" spans="2:4" ht="12.6" hidden="1" customHeight="1">
      <c r="B146" s="47"/>
      <c r="C146" s="47"/>
      <c r="D146" s="47"/>
    </row>
    <row r="147" spans="2:4" ht="12.6" hidden="1" customHeight="1">
      <c r="B147" s="47"/>
      <c r="C147" s="47"/>
      <c r="D147" s="47"/>
    </row>
    <row r="148" spans="2:4" ht="12.6" hidden="1" customHeight="1">
      <c r="B148" s="47"/>
      <c r="C148" s="47"/>
      <c r="D148" s="47"/>
    </row>
    <row r="149" spans="2:4" ht="12.6" hidden="1" customHeight="1">
      <c r="B149" s="47"/>
      <c r="C149" s="47"/>
      <c r="D149" s="47"/>
    </row>
    <row r="150" spans="2:4" ht="12.6" hidden="1" customHeight="1">
      <c r="B150" s="47"/>
      <c r="C150" s="47"/>
      <c r="D150" s="47"/>
    </row>
    <row r="151" spans="2:4" ht="12.6" hidden="1" customHeight="1">
      <c r="B151" s="47"/>
      <c r="C151" s="47"/>
      <c r="D151" s="47"/>
    </row>
    <row r="152" spans="2:4" ht="12.6" hidden="1" customHeight="1">
      <c r="B152" s="47"/>
      <c r="C152" s="47"/>
      <c r="D152" s="47"/>
    </row>
    <row r="153" spans="2:4" ht="12.6" hidden="1" customHeight="1">
      <c r="B153" s="47"/>
      <c r="C153" s="47"/>
      <c r="D153" s="47"/>
    </row>
    <row r="154" spans="2:4" ht="12.6" hidden="1" customHeight="1">
      <c r="B154" s="47"/>
      <c r="C154" s="47"/>
      <c r="D154" s="47"/>
    </row>
    <row r="155" spans="2:4" ht="12.6" hidden="1" customHeight="1">
      <c r="B155" s="47"/>
      <c r="C155" s="47"/>
      <c r="D155" s="47"/>
    </row>
    <row r="156" spans="2:4" ht="12.6" hidden="1" customHeight="1">
      <c r="B156" s="47"/>
      <c r="C156" s="47"/>
      <c r="D156" s="47"/>
    </row>
    <row r="157" spans="2:4" ht="12.6" hidden="1" customHeight="1">
      <c r="B157" s="47"/>
      <c r="C157" s="47"/>
      <c r="D157" s="47"/>
    </row>
    <row r="158" spans="2:4" ht="12.6" hidden="1" customHeight="1">
      <c r="B158" s="47"/>
      <c r="C158" s="47"/>
      <c r="D158" s="47"/>
    </row>
    <row r="159" spans="2:4" ht="12.6" hidden="1" customHeight="1">
      <c r="B159" s="47"/>
      <c r="C159" s="47"/>
      <c r="D159" s="47"/>
    </row>
    <row r="160" spans="2:4" ht="12.6" hidden="1" customHeight="1">
      <c r="B160" s="47"/>
      <c r="C160" s="47"/>
      <c r="D160" s="47"/>
    </row>
    <row r="161" spans="2:4" ht="12.6" hidden="1" customHeight="1">
      <c r="B161" s="47"/>
      <c r="C161" s="47"/>
      <c r="D161" s="47"/>
    </row>
    <row r="162" spans="2:4" ht="12.6" hidden="1" customHeight="1">
      <c r="B162" s="47"/>
      <c r="C162" s="47"/>
      <c r="D162" s="47"/>
    </row>
    <row r="163" spans="2:4" ht="12.6" hidden="1" customHeight="1">
      <c r="B163" s="47"/>
      <c r="C163" s="47"/>
      <c r="D163" s="47"/>
    </row>
    <row r="164" spans="2:4" ht="12.6" hidden="1" customHeight="1">
      <c r="B164" s="47"/>
      <c r="C164" s="47"/>
      <c r="D164" s="47"/>
    </row>
    <row r="165" spans="2:4" ht="12.6" hidden="1" customHeight="1">
      <c r="B165" s="47"/>
      <c r="C165" s="47"/>
      <c r="D165" s="47"/>
    </row>
    <row r="166" spans="2:4" ht="12.6" hidden="1" customHeight="1">
      <c r="B166" s="47"/>
      <c r="C166" s="47"/>
      <c r="D166" s="47"/>
    </row>
    <row r="167" spans="2:4" ht="12.6" hidden="1" customHeight="1">
      <c r="B167" s="47"/>
      <c r="C167" s="47"/>
      <c r="D167" s="47"/>
    </row>
    <row r="168" spans="2:4" ht="12.6" hidden="1" customHeight="1">
      <c r="B168" s="47"/>
      <c r="C168" s="47"/>
      <c r="D168" s="47"/>
    </row>
    <row r="169" spans="2:4" ht="12.6" hidden="1" customHeight="1">
      <c r="B169" s="47"/>
      <c r="C169" s="47"/>
      <c r="D169" s="47"/>
    </row>
    <row r="170" spans="2:4" ht="12.6" hidden="1" customHeight="1">
      <c r="B170" s="47"/>
      <c r="C170" s="47"/>
      <c r="D170" s="47"/>
    </row>
    <row r="171" spans="2:4" ht="12.6" hidden="1" customHeight="1">
      <c r="B171" s="47"/>
      <c r="C171" s="47"/>
      <c r="D171" s="47"/>
    </row>
    <row r="172" spans="2:4" ht="12.6" hidden="1" customHeight="1">
      <c r="B172" s="47"/>
      <c r="C172" s="47"/>
      <c r="D172" s="47"/>
    </row>
    <row r="173" spans="2:4" hidden="1">
      <c r="B173" s="47"/>
      <c r="C173" s="47"/>
      <c r="D173" s="47"/>
    </row>
    <row r="174" spans="2:4" hidden="1"/>
    <row r="175" spans="2:4" hidden="1"/>
    <row r="176" spans="2:4" hidden="1"/>
    <row r="177" hidden="1"/>
    <row r="178" hidden="1"/>
    <row r="179" hidden="1"/>
    <row r="180" hidden="1"/>
    <row r="181" hidden="1"/>
    <row r="182" hidden="1"/>
    <row r="183" hidden="1"/>
    <row r="184" hidden="1"/>
    <row r="185" hidden="1"/>
    <row r="186" hidden="1"/>
    <row r="187" hidden="1"/>
  </sheetData>
  <sheetProtection password="CA61" sheet="1" objects="1" scenarios="1"/>
  <protectedRanges>
    <protectedRange sqref="E26 B61:D66 B72:D77" name="Range3"/>
    <protectedRange sqref="C42 C44:D44 F42 F44 C46 C48:C49 D51:D52 B57:D66 B69:D77" name="Range1_1"/>
    <protectedRange sqref="C3:D5 F3:F4 H3 C11 G9 I9 F11 C14 H14 C16 F16 H16 C20 H20:I21 C24 C26 G26 I26 C28 C31 E31 C35:E38 H36 H39 C9:E9 E26" name="Range1"/>
  </protectedRanges>
  <mergeCells count="18">
    <mergeCell ref="B68:D68"/>
    <mergeCell ref="F51:F52"/>
    <mergeCell ref="F35:G37"/>
    <mergeCell ref="C14:F14"/>
    <mergeCell ref="H14:I14"/>
    <mergeCell ref="C24:F24"/>
    <mergeCell ref="C28:D28"/>
    <mergeCell ref="C20:E22"/>
    <mergeCell ref="H20:I20"/>
    <mergeCell ref="H21:I21"/>
    <mergeCell ref="F20:G20"/>
    <mergeCell ref="F21:G21"/>
    <mergeCell ref="B1:I1"/>
    <mergeCell ref="C3:D3"/>
    <mergeCell ref="C4:D4"/>
    <mergeCell ref="C5:D5"/>
    <mergeCell ref="C11:D11"/>
    <mergeCell ref="F11:G11"/>
  </mergeCells>
  <dataValidations count="20">
    <dataValidation type="list" allowBlank="1" showInputMessage="1" showErrorMessage="1" sqref="C28:D28 IY28:IZ28 SU28:SV28 ACQ28:ACR28 AMM28:AMN28 AWI28:AWJ28 BGE28:BGF28 BQA28:BQB28 BZW28:BZX28 CJS28:CJT28 CTO28:CTP28 DDK28:DDL28 DNG28:DNH28 DXC28:DXD28 EGY28:EGZ28 EQU28:EQV28 FAQ28:FAR28 FKM28:FKN28 FUI28:FUJ28 GEE28:GEF28 GOA28:GOB28 GXW28:GXX28 HHS28:HHT28 HRO28:HRP28 IBK28:IBL28 ILG28:ILH28 IVC28:IVD28 JEY28:JEZ28 JOU28:JOV28 JYQ28:JYR28 KIM28:KIN28 KSI28:KSJ28 LCE28:LCF28 LMA28:LMB28 LVW28:LVX28 MFS28:MFT28 MPO28:MPP28 MZK28:MZL28 NJG28:NJH28 NTC28:NTD28 OCY28:OCZ28 OMU28:OMV28 OWQ28:OWR28 PGM28:PGN28 PQI28:PQJ28 QAE28:QAF28 QKA28:QKB28 QTW28:QTX28 RDS28:RDT28 RNO28:RNP28 RXK28:RXL28 SHG28:SHH28 SRC28:SRD28 TAY28:TAZ28 TKU28:TKV28 TUQ28:TUR28 UEM28:UEN28 UOI28:UOJ28 UYE28:UYF28 VIA28:VIB28 VRW28:VRX28 WBS28:WBT28 WLO28:WLP28 WVK28:WVL28 C65564:D65564 IY65564:IZ65564 SU65564:SV65564 ACQ65564:ACR65564 AMM65564:AMN65564 AWI65564:AWJ65564 BGE65564:BGF65564 BQA65564:BQB65564 BZW65564:BZX65564 CJS65564:CJT65564 CTO65564:CTP65564 DDK65564:DDL65564 DNG65564:DNH65564 DXC65564:DXD65564 EGY65564:EGZ65564 EQU65564:EQV65564 FAQ65564:FAR65564 FKM65564:FKN65564 FUI65564:FUJ65564 GEE65564:GEF65564 GOA65564:GOB65564 GXW65564:GXX65564 HHS65564:HHT65564 HRO65564:HRP65564 IBK65564:IBL65564 ILG65564:ILH65564 IVC65564:IVD65564 JEY65564:JEZ65564 JOU65564:JOV65564 JYQ65564:JYR65564 KIM65564:KIN65564 KSI65564:KSJ65564 LCE65564:LCF65564 LMA65564:LMB65564 LVW65564:LVX65564 MFS65564:MFT65564 MPO65564:MPP65564 MZK65564:MZL65564 NJG65564:NJH65564 NTC65564:NTD65564 OCY65564:OCZ65564 OMU65564:OMV65564 OWQ65564:OWR65564 PGM65564:PGN65564 PQI65564:PQJ65564 QAE65564:QAF65564 QKA65564:QKB65564 QTW65564:QTX65564 RDS65564:RDT65564 RNO65564:RNP65564 RXK65564:RXL65564 SHG65564:SHH65564 SRC65564:SRD65564 TAY65564:TAZ65564 TKU65564:TKV65564 TUQ65564:TUR65564 UEM65564:UEN65564 UOI65564:UOJ65564 UYE65564:UYF65564 VIA65564:VIB65564 VRW65564:VRX65564 WBS65564:WBT65564 WLO65564:WLP65564 WVK65564:WVL65564 C131100:D131100 IY131100:IZ131100 SU131100:SV131100 ACQ131100:ACR131100 AMM131100:AMN131100 AWI131100:AWJ131100 BGE131100:BGF131100 BQA131100:BQB131100 BZW131100:BZX131100 CJS131100:CJT131100 CTO131100:CTP131100 DDK131100:DDL131100 DNG131100:DNH131100 DXC131100:DXD131100 EGY131100:EGZ131100 EQU131100:EQV131100 FAQ131100:FAR131100 FKM131100:FKN131100 FUI131100:FUJ131100 GEE131100:GEF131100 GOA131100:GOB131100 GXW131100:GXX131100 HHS131100:HHT131100 HRO131100:HRP131100 IBK131100:IBL131100 ILG131100:ILH131100 IVC131100:IVD131100 JEY131100:JEZ131100 JOU131100:JOV131100 JYQ131100:JYR131100 KIM131100:KIN131100 KSI131100:KSJ131100 LCE131100:LCF131100 LMA131100:LMB131100 LVW131100:LVX131100 MFS131100:MFT131100 MPO131100:MPP131100 MZK131100:MZL131100 NJG131100:NJH131100 NTC131100:NTD131100 OCY131100:OCZ131100 OMU131100:OMV131100 OWQ131100:OWR131100 PGM131100:PGN131100 PQI131100:PQJ131100 QAE131100:QAF131100 QKA131100:QKB131100 QTW131100:QTX131100 RDS131100:RDT131100 RNO131100:RNP131100 RXK131100:RXL131100 SHG131100:SHH131100 SRC131100:SRD131100 TAY131100:TAZ131100 TKU131100:TKV131100 TUQ131100:TUR131100 UEM131100:UEN131100 UOI131100:UOJ131100 UYE131100:UYF131100 VIA131100:VIB131100 VRW131100:VRX131100 WBS131100:WBT131100 WLO131100:WLP131100 WVK131100:WVL131100 C196636:D196636 IY196636:IZ196636 SU196636:SV196636 ACQ196636:ACR196636 AMM196636:AMN196636 AWI196636:AWJ196636 BGE196636:BGF196636 BQA196636:BQB196636 BZW196636:BZX196636 CJS196636:CJT196636 CTO196636:CTP196636 DDK196636:DDL196636 DNG196636:DNH196636 DXC196636:DXD196636 EGY196636:EGZ196636 EQU196636:EQV196636 FAQ196636:FAR196636 FKM196636:FKN196636 FUI196636:FUJ196636 GEE196636:GEF196636 GOA196636:GOB196636 GXW196636:GXX196636 HHS196636:HHT196636 HRO196636:HRP196636 IBK196636:IBL196636 ILG196636:ILH196636 IVC196636:IVD196636 JEY196636:JEZ196636 JOU196636:JOV196636 JYQ196636:JYR196636 KIM196636:KIN196636 KSI196636:KSJ196636 LCE196636:LCF196636 LMA196636:LMB196636 LVW196636:LVX196636 MFS196636:MFT196636 MPO196636:MPP196636 MZK196636:MZL196636 NJG196636:NJH196636 NTC196636:NTD196636 OCY196636:OCZ196636 OMU196636:OMV196636 OWQ196636:OWR196636 PGM196636:PGN196636 PQI196636:PQJ196636 QAE196636:QAF196636 QKA196636:QKB196636 QTW196636:QTX196636 RDS196636:RDT196636 RNO196636:RNP196636 RXK196636:RXL196636 SHG196636:SHH196636 SRC196636:SRD196636 TAY196636:TAZ196636 TKU196636:TKV196636 TUQ196636:TUR196636 UEM196636:UEN196636 UOI196636:UOJ196636 UYE196636:UYF196636 VIA196636:VIB196636 VRW196636:VRX196636 WBS196636:WBT196636 WLO196636:WLP196636 WVK196636:WVL196636 C262172:D262172 IY262172:IZ262172 SU262172:SV262172 ACQ262172:ACR262172 AMM262172:AMN262172 AWI262172:AWJ262172 BGE262172:BGF262172 BQA262172:BQB262172 BZW262172:BZX262172 CJS262172:CJT262172 CTO262172:CTP262172 DDK262172:DDL262172 DNG262172:DNH262172 DXC262172:DXD262172 EGY262172:EGZ262172 EQU262172:EQV262172 FAQ262172:FAR262172 FKM262172:FKN262172 FUI262172:FUJ262172 GEE262172:GEF262172 GOA262172:GOB262172 GXW262172:GXX262172 HHS262172:HHT262172 HRO262172:HRP262172 IBK262172:IBL262172 ILG262172:ILH262172 IVC262172:IVD262172 JEY262172:JEZ262172 JOU262172:JOV262172 JYQ262172:JYR262172 KIM262172:KIN262172 KSI262172:KSJ262172 LCE262172:LCF262172 LMA262172:LMB262172 LVW262172:LVX262172 MFS262172:MFT262172 MPO262172:MPP262172 MZK262172:MZL262172 NJG262172:NJH262172 NTC262172:NTD262172 OCY262172:OCZ262172 OMU262172:OMV262172 OWQ262172:OWR262172 PGM262172:PGN262172 PQI262172:PQJ262172 QAE262172:QAF262172 QKA262172:QKB262172 QTW262172:QTX262172 RDS262172:RDT262172 RNO262172:RNP262172 RXK262172:RXL262172 SHG262172:SHH262172 SRC262172:SRD262172 TAY262172:TAZ262172 TKU262172:TKV262172 TUQ262172:TUR262172 UEM262172:UEN262172 UOI262172:UOJ262172 UYE262172:UYF262172 VIA262172:VIB262172 VRW262172:VRX262172 WBS262172:WBT262172 WLO262172:WLP262172 WVK262172:WVL262172 C327708:D327708 IY327708:IZ327708 SU327708:SV327708 ACQ327708:ACR327708 AMM327708:AMN327708 AWI327708:AWJ327708 BGE327708:BGF327708 BQA327708:BQB327708 BZW327708:BZX327708 CJS327708:CJT327708 CTO327708:CTP327708 DDK327708:DDL327708 DNG327708:DNH327708 DXC327708:DXD327708 EGY327708:EGZ327708 EQU327708:EQV327708 FAQ327708:FAR327708 FKM327708:FKN327708 FUI327708:FUJ327708 GEE327708:GEF327708 GOA327708:GOB327708 GXW327708:GXX327708 HHS327708:HHT327708 HRO327708:HRP327708 IBK327708:IBL327708 ILG327708:ILH327708 IVC327708:IVD327708 JEY327708:JEZ327708 JOU327708:JOV327708 JYQ327708:JYR327708 KIM327708:KIN327708 KSI327708:KSJ327708 LCE327708:LCF327708 LMA327708:LMB327708 LVW327708:LVX327708 MFS327708:MFT327708 MPO327708:MPP327708 MZK327708:MZL327708 NJG327708:NJH327708 NTC327708:NTD327708 OCY327708:OCZ327708 OMU327708:OMV327708 OWQ327708:OWR327708 PGM327708:PGN327708 PQI327708:PQJ327708 QAE327708:QAF327708 QKA327708:QKB327708 QTW327708:QTX327708 RDS327708:RDT327708 RNO327708:RNP327708 RXK327708:RXL327708 SHG327708:SHH327708 SRC327708:SRD327708 TAY327708:TAZ327708 TKU327708:TKV327708 TUQ327708:TUR327708 UEM327708:UEN327708 UOI327708:UOJ327708 UYE327708:UYF327708 VIA327708:VIB327708 VRW327708:VRX327708 WBS327708:WBT327708 WLO327708:WLP327708 WVK327708:WVL327708 C393244:D393244 IY393244:IZ393244 SU393244:SV393244 ACQ393244:ACR393244 AMM393244:AMN393244 AWI393244:AWJ393244 BGE393244:BGF393244 BQA393244:BQB393244 BZW393244:BZX393244 CJS393244:CJT393244 CTO393244:CTP393244 DDK393244:DDL393244 DNG393244:DNH393244 DXC393244:DXD393244 EGY393244:EGZ393244 EQU393244:EQV393244 FAQ393244:FAR393244 FKM393244:FKN393244 FUI393244:FUJ393244 GEE393244:GEF393244 GOA393244:GOB393244 GXW393244:GXX393244 HHS393244:HHT393244 HRO393244:HRP393244 IBK393244:IBL393244 ILG393244:ILH393244 IVC393244:IVD393244 JEY393244:JEZ393244 JOU393244:JOV393244 JYQ393244:JYR393244 KIM393244:KIN393244 KSI393244:KSJ393244 LCE393244:LCF393244 LMA393244:LMB393244 LVW393244:LVX393244 MFS393244:MFT393244 MPO393244:MPP393244 MZK393244:MZL393244 NJG393244:NJH393244 NTC393244:NTD393244 OCY393244:OCZ393244 OMU393244:OMV393244 OWQ393244:OWR393244 PGM393244:PGN393244 PQI393244:PQJ393244 QAE393244:QAF393244 QKA393244:QKB393244 QTW393244:QTX393244 RDS393244:RDT393244 RNO393244:RNP393244 RXK393244:RXL393244 SHG393244:SHH393244 SRC393244:SRD393244 TAY393244:TAZ393244 TKU393244:TKV393244 TUQ393244:TUR393244 UEM393244:UEN393244 UOI393244:UOJ393244 UYE393244:UYF393244 VIA393244:VIB393244 VRW393244:VRX393244 WBS393244:WBT393244 WLO393244:WLP393244 WVK393244:WVL393244 C458780:D458780 IY458780:IZ458780 SU458780:SV458780 ACQ458780:ACR458780 AMM458780:AMN458780 AWI458780:AWJ458780 BGE458780:BGF458780 BQA458780:BQB458780 BZW458780:BZX458780 CJS458780:CJT458780 CTO458780:CTP458780 DDK458780:DDL458780 DNG458780:DNH458780 DXC458780:DXD458780 EGY458780:EGZ458780 EQU458780:EQV458780 FAQ458780:FAR458780 FKM458780:FKN458780 FUI458780:FUJ458780 GEE458780:GEF458780 GOA458780:GOB458780 GXW458780:GXX458780 HHS458780:HHT458780 HRO458780:HRP458780 IBK458780:IBL458780 ILG458780:ILH458780 IVC458780:IVD458780 JEY458780:JEZ458780 JOU458780:JOV458780 JYQ458780:JYR458780 KIM458780:KIN458780 KSI458780:KSJ458780 LCE458780:LCF458780 LMA458780:LMB458780 LVW458780:LVX458780 MFS458780:MFT458780 MPO458780:MPP458780 MZK458780:MZL458780 NJG458780:NJH458780 NTC458780:NTD458780 OCY458780:OCZ458780 OMU458780:OMV458780 OWQ458780:OWR458780 PGM458780:PGN458780 PQI458780:PQJ458780 QAE458780:QAF458780 QKA458780:QKB458780 QTW458780:QTX458780 RDS458780:RDT458780 RNO458780:RNP458780 RXK458780:RXL458780 SHG458780:SHH458780 SRC458780:SRD458780 TAY458780:TAZ458780 TKU458780:TKV458780 TUQ458780:TUR458780 UEM458780:UEN458780 UOI458780:UOJ458780 UYE458780:UYF458780 VIA458780:VIB458780 VRW458780:VRX458780 WBS458780:WBT458780 WLO458780:WLP458780 WVK458780:WVL458780 C524316:D524316 IY524316:IZ524316 SU524316:SV524316 ACQ524316:ACR524316 AMM524316:AMN524316 AWI524316:AWJ524316 BGE524316:BGF524316 BQA524316:BQB524316 BZW524316:BZX524316 CJS524316:CJT524316 CTO524316:CTP524316 DDK524316:DDL524316 DNG524316:DNH524316 DXC524316:DXD524316 EGY524316:EGZ524316 EQU524316:EQV524316 FAQ524316:FAR524316 FKM524316:FKN524316 FUI524316:FUJ524316 GEE524316:GEF524316 GOA524316:GOB524316 GXW524316:GXX524316 HHS524316:HHT524316 HRO524316:HRP524316 IBK524316:IBL524316 ILG524316:ILH524316 IVC524316:IVD524316 JEY524316:JEZ524316 JOU524316:JOV524316 JYQ524316:JYR524316 KIM524316:KIN524316 KSI524316:KSJ524316 LCE524316:LCF524316 LMA524316:LMB524316 LVW524316:LVX524316 MFS524316:MFT524316 MPO524316:MPP524316 MZK524316:MZL524316 NJG524316:NJH524316 NTC524316:NTD524316 OCY524316:OCZ524316 OMU524316:OMV524316 OWQ524316:OWR524316 PGM524316:PGN524316 PQI524316:PQJ524316 QAE524316:QAF524316 QKA524316:QKB524316 QTW524316:QTX524316 RDS524316:RDT524316 RNO524316:RNP524316 RXK524316:RXL524316 SHG524316:SHH524316 SRC524316:SRD524316 TAY524316:TAZ524316 TKU524316:TKV524316 TUQ524316:TUR524316 UEM524316:UEN524316 UOI524316:UOJ524316 UYE524316:UYF524316 VIA524316:VIB524316 VRW524316:VRX524316 WBS524316:WBT524316 WLO524316:WLP524316 WVK524316:WVL524316 C589852:D589852 IY589852:IZ589852 SU589852:SV589852 ACQ589852:ACR589852 AMM589852:AMN589852 AWI589852:AWJ589852 BGE589852:BGF589852 BQA589852:BQB589852 BZW589852:BZX589852 CJS589852:CJT589852 CTO589852:CTP589852 DDK589852:DDL589852 DNG589852:DNH589852 DXC589852:DXD589852 EGY589852:EGZ589852 EQU589852:EQV589852 FAQ589852:FAR589852 FKM589852:FKN589852 FUI589852:FUJ589852 GEE589852:GEF589852 GOA589852:GOB589852 GXW589852:GXX589852 HHS589852:HHT589852 HRO589852:HRP589852 IBK589852:IBL589852 ILG589852:ILH589852 IVC589852:IVD589852 JEY589852:JEZ589852 JOU589852:JOV589852 JYQ589852:JYR589852 KIM589852:KIN589852 KSI589852:KSJ589852 LCE589852:LCF589852 LMA589852:LMB589852 LVW589852:LVX589852 MFS589852:MFT589852 MPO589852:MPP589852 MZK589852:MZL589852 NJG589852:NJH589852 NTC589852:NTD589852 OCY589852:OCZ589852 OMU589852:OMV589852 OWQ589852:OWR589852 PGM589852:PGN589852 PQI589852:PQJ589852 QAE589852:QAF589852 QKA589852:QKB589852 QTW589852:QTX589852 RDS589852:RDT589852 RNO589852:RNP589852 RXK589852:RXL589852 SHG589852:SHH589852 SRC589852:SRD589852 TAY589852:TAZ589852 TKU589852:TKV589852 TUQ589852:TUR589852 UEM589852:UEN589852 UOI589852:UOJ589852 UYE589852:UYF589852 VIA589852:VIB589852 VRW589852:VRX589852 WBS589852:WBT589852 WLO589852:WLP589852 WVK589852:WVL589852 C655388:D655388 IY655388:IZ655388 SU655388:SV655388 ACQ655388:ACR655388 AMM655388:AMN655388 AWI655388:AWJ655388 BGE655388:BGF655388 BQA655388:BQB655388 BZW655388:BZX655388 CJS655388:CJT655388 CTO655388:CTP655388 DDK655388:DDL655388 DNG655388:DNH655388 DXC655388:DXD655388 EGY655388:EGZ655388 EQU655388:EQV655388 FAQ655388:FAR655388 FKM655388:FKN655388 FUI655388:FUJ655388 GEE655388:GEF655388 GOA655388:GOB655388 GXW655388:GXX655388 HHS655388:HHT655388 HRO655388:HRP655388 IBK655388:IBL655388 ILG655388:ILH655388 IVC655388:IVD655388 JEY655388:JEZ655388 JOU655388:JOV655388 JYQ655388:JYR655388 KIM655388:KIN655388 KSI655388:KSJ655388 LCE655388:LCF655388 LMA655388:LMB655388 LVW655388:LVX655388 MFS655388:MFT655388 MPO655388:MPP655388 MZK655388:MZL655388 NJG655388:NJH655388 NTC655388:NTD655388 OCY655388:OCZ655388 OMU655388:OMV655388 OWQ655388:OWR655388 PGM655388:PGN655388 PQI655388:PQJ655388 QAE655388:QAF655388 QKA655388:QKB655388 QTW655388:QTX655388 RDS655388:RDT655388 RNO655388:RNP655388 RXK655388:RXL655388 SHG655388:SHH655388 SRC655388:SRD655388 TAY655388:TAZ655388 TKU655388:TKV655388 TUQ655388:TUR655388 UEM655388:UEN655388 UOI655388:UOJ655388 UYE655388:UYF655388 VIA655388:VIB655388 VRW655388:VRX655388 WBS655388:WBT655388 WLO655388:WLP655388 WVK655388:WVL655388 C720924:D720924 IY720924:IZ720924 SU720924:SV720924 ACQ720924:ACR720924 AMM720924:AMN720924 AWI720924:AWJ720924 BGE720924:BGF720924 BQA720924:BQB720924 BZW720924:BZX720924 CJS720924:CJT720924 CTO720924:CTP720924 DDK720924:DDL720924 DNG720924:DNH720924 DXC720924:DXD720924 EGY720924:EGZ720924 EQU720924:EQV720924 FAQ720924:FAR720924 FKM720924:FKN720924 FUI720924:FUJ720924 GEE720924:GEF720924 GOA720924:GOB720924 GXW720924:GXX720924 HHS720924:HHT720924 HRO720924:HRP720924 IBK720924:IBL720924 ILG720924:ILH720924 IVC720924:IVD720924 JEY720924:JEZ720924 JOU720924:JOV720924 JYQ720924:JYR720924 KIM720924:KIN720924 KSI720924:KSJ720924 LCE720924:LCF720924 LMA720924:LMB720924 LVW720924:LVX720924 MFS720924:MFT720924 MPO720924:MPP720924 MZK720924:MZL720924 NJG720924:NJH720924 NTC720924:NTD720924 OCY720924:OCZ720924 OMU720924:OMV720924 OWQ720924:OWR720924 PGM720924:PGN720924 PQI720924:PQJ720924 QAE720924:QAF720924 QKA720924:QKB720924 QTW720924:QTX720924 RDS720924:RDT720924 RNO720924:RNP720924 RXK720924:RXL720924 SHG720924:SHH720924 SRC720924:SRD720924 TAY720924:TAZ720924 TKU720924:TKV720924 TUQ720924:TUR720924 UEM720924:UEN720924 UOI720924:UOJ720924 UYE720924:UYF720924 VIA720924:VIB720924 VRW720924:VRX720924 WBS720924:WBT720924 WLO720924:WLP720924 WVK720924:WVL720924 C786460:D786460 IY786460:IZ786460 SU786460:SV786460 ACQ786460:ACR786460 AMM786460:AMN786460 AWI786460:AWJ786460 BGE786460:BGF786460 BQA786460:BQB786460 BZW786460:BZX786460 CJS786460:CJT786460 CTO786460:CTP786460 DDK786460:DDL786460 DNG786460:DNH786460 DXC786460:DXD786460 EGY786460:EGZ786460 EQU786460:EQV786460 FAQ786460:FAR786460 FKM786460:FKN786460 FUI786460:FUJ786460 GEE786460:GEF786460 GOA786460:GOB786460 GXW786460:GXX786460 HHS786460:HHT786460 HRO786460:HRP786460 IBK786460:IBL786460 ILG786460:ILH786460 IVC786460:IVD786460 JEY786460:JEZ786460 JOU786460:JOV786460 JYQ786460:JYR786460 KIM786460:KIN786460 KSI786460:KSJ786460 LCE786460:LCF786460 LMA786460:LMB786460 LVW786460:LVX786460 MFS786460:MFT786460 MPO786460:MPP786460 MZK786460:MZL786460 NJG786460:NJH786460 NTC786460:NTD786460 OCY786460:OCZ786460 OMU786460:OMV786460 OWQ786460:OWR786460 PGM786460:PGN786460 PQI786460:PQJ786460 QAE786460:QAF786460 QKA786460:QKB786460 QTW786460:QTX786460 RDS786460:RDT786460 RNO786460:RNP786460 RXK786460:RXL786460 SHG786460:SHH786460 SRC786460:SRD786460 TAY786460:TAZ786460 TKU786460:TKV786460 TUQ786460:TUR786460 UEM786460:UEN786460 UOI786460:UOJ786460 UYE786460:UYF786460 VIA786460:VIB786460 VRW786460:VRX786460 WBS786460:WBT786460 WLO786460:WLP786460 WVK786460:WVL786460 C851996:D851996 IY851996:IZ851996 SU851996:SV851996 ACQ851996:ACR851996 AMM851996:AMN851996 AWI851996:AWJ851996 BGE851996:BGF851996 BQA851996:BQB851996 BZW851996:BZX851996 CJS851996:CJT851996 CTO851996:CTP851996 DDK851996:DDL851996 DNG851996:DNH851996 DXC851996:DXD851996 EGY851996:EGZ851996 EQU851996:EQV851996 FAQ851996:FAR851996 FKM851996:FKN851996 FUI851996:FUJ851996 GEE851996:GEF851996 GOA851996:GOB851996 GXW851996:GXX851996 HHS851996:HHT851996 HRO851996:HRP851996 IBK851996:IBL851996 ILG851996:ILH851996 IVC851996:IVD851996 JEY851996:JEZ851996 JOU851996:JOV851996 JYQ851996:JYR851996 KIM851996:KIN851996 KSI851996:KSJ851996 LCE851996:LCF851996 LMA851996:LMB851996 LVW851996:LVX851996 MFS851996:MFT851996 MPO851996:MPP851996 MZK851996:MZL851996 NJG851996:NJH851996 NTC851996:NTD851996 OCY851996:OCZ851996 OMU851996:OMV851996 OWQ851996:OWR851996 PGM851996:PGN851996 PQI851996:PQJ851996 QAE851996:QAF851996 QKA851996:QKB851996 QTW851996:QTX851996 RDS851996:RDT851996 RNO851996:RNP851996 RXK851996:RXL851996 SHG851996:SHH851996 SRC851996:SRD851996 TAY851996:TAZ851996 TKU851996:TKV851996 TUQ851996:TUR851996 UEM851996:UEN851996 UOI851996:UOJ851996 UYE851996:UYF851996 VIA851996:VIB851996 VRW851996:VRX851996 WBS851996:WBT851996 WLO851996:WLP851996 WVK851996:WVL851996 C917532:D917532 IY917532:IZ917532 SU917532:SV917532 ACQ917532:ACR917532 AMM917532:AMN917532 AWI917532:AWJ917532 BGE917532:BGF917532 BQA917532:BQB917532 BZW917532:BZX917532 CJS917532:CJT917532 CTO917532:CTP917532 DDK917532:DDL917532 DNG917532:DNH917532 DXC917532:DXD917532 EGY917532:EGZ917532 EQU917532:EQV917532 FAQ917532:FAR917532 FKM917532:FKN917532 FUI917532:FUJ917532 GEE917532:GEF917532 GOA917532:GOB917532 GXW917532:GXX917532 HHS917532:HHT917532 HRO917532:HRP917532 IBK917532:IBL917532 ILG917532:ILH917532 IVC917532:IVD917532 JEY917532:JEZ917532 JOU917532:JOV917532 JYQ917532:JYR917532 KIM917532:KIN917532 KSI917532:KSJ917532 LCE917532:LCF917532 LMA917532:LMB917532 LVW917532:LVX917532 MFS917532:MFT917532 MPO917532:MPP917532 MZK917532:MZL917532 NJG917532:NJH917532 NTC917532:NTD917532 OCY917532:OCZ917532 OMU917532:OMV917532 OWQ917532:OWR917532 PGM917532:PGN917532 PQI917532:PQJ917532 QAE917532:QAF917532 QKA917532:QKB917532 QTW917532:QTX917532 RDS917532:RDT917532 RNO917532:RNP917532 RXK917532:RXL917532 SHG917532:SHH917532 SRC917532:SRD917532 TAY917532:TAZ917532 TKU917532:TKV917532 TUQ917532:TUR917532 UEM917532:UEN917532 UOI917532:UOJ917532 UYE917532:UYF917532 VIA917532:VIB917532 VRW917532:VRX917532 WBS917532:WBT917532 WLO917532:WLP917532 WVK917532:WVL917532 C983068:D983068 IY983068:IZ983068 SU983068:SV983068 ACQ983068:ACR983068 AMM983068:AMN983068 AWI983068:AWJ983068 BGE983068:BGF983068 BQA983068:BQB983068 BZW983068:BZX983068 CJS983068:CJT983068 CTO983068:CTP983068 DDK983068:DDL983068 DNG983068:DNH983068 DXC983068:DXD983068 EGY983068:EGZ983068 EQU983068:EQV983068 FAQ983068:FAR983068 FKM983068:FKN983068 FUI983068:FUJ983068 GEE983068:GEF983068 GOA983068:GOB983068 GXW983068:GXX983068 HHS983068:HHT983068 HRO983068:HRP983068 IBK983068:IBL983068 ILG983068:ILH983068 IVC983068:IVD983068 JEY983068:JEZ983068 JOU983068:JOV983068 JYQ983068:JYR983068 KIM983068:KIN983068 KSI983068:KSJ983068 LCE983068:LCF983068 LMA983068:LMB983068 LVW983068:LVX983068 MFS983068:MFT983068 MPO983068:MPP983068 MZK983068:MZL983068 NJG983068:NJH983068 NTC983068:NTD983068 OCY983068:OCZ983068 OMU983068:OMV983068 OWQ983068:OWR983068 PGM983068:PGN983068 PQI983068:PQJ983068 QAE983068:QAF983068 QKA983068:QKB983068 QTW983068:QTX983068 RDS983068:RDT983068 RNO983068:RNP983068 RXK983068:RXL983068 SHG983068:SHH983068 SRC983068:SRD983068 TAY983068:TAZ983068 TKU983068:TKV983068 TUQ983068:TUR983068 UEM983068:UEN983068 UOI983068:UOJ983068 UYE983068:UYF983068 VIA983068:VIB983068 VRW983068:VRX983068 WBS983068:WBT983068 WLO983068:WLP983068 WVK983068:WVL983068">
      <formula1>"Sole Propritership, PLC, Partnership, Association, Share Compaany"</formula1>
    </dataValidation>
    <dataValidation type="list" allowBlank="1" showInputMessage="1" showErrorMessage="1" sqref="C65582 IY65582 SU65582 ACQ65582 AMM65582 AWI65582 BGE65582 BQA65582 BZW65582 CJS65582 CTO65582 DDK65582 DNG65582 DXC65582 EGY65582 EQU65582 FAQ65582 FKM65582 FUI65582 GEE65582 GOA65582 GXW65582 HHS65582 HRO65582 IBK65582 ILG65582 IVC65582 JEY65582 JOU65582 JYQ65582 KIM65582 KSI65582 LCE65582 LMA65582 LVW65582 MFS65582 MPO65582 MZK65582 NJG65582 NTC65582 OCY65582 OMU65582 OWQ65582 PGM65582 PQI65582 QAE65582 QKA65582 QTW65582 RDS65582 RNO65582 RXK65582 SHG65582 SRC65582 TAY65582 TKU65582 TUQ65582 UEM65582 UOI65582 UYE65582 VIA65582 VRW65582 WBS65582 WLO65582 WVK65582 C131118 IY131118 SU131118 ACQ131118 AMM131118 AWI131118 BGE131118 BQA131118 BZW131118 CJS131118 CTO131118 DDK131118 DNG131118 DXC131118 EGY131118 EQU131118 FAQ131118 FKM131118 FUI131118 GEE131118 GOA131118 GXW131118 HHS131118 HRO131118 IBK131118 ILG131118 IVC131118 JEY131118 JOU131118 JYQ131118 KIM131118 KSI131118 LCE131118 LMA131118 LVW131118 MFS131118 MPO131118 MZK131118 NJG131118 NTC131118 OCY131118 OMU131118 OWQ131118 PGM131118 PQI131118 QAE131118 QKA131118 QTW131118 RDS131118 RNO131118 RXK131118 SHG131118 SRC131118 TAY131118 TKU131118 TUQ131118 UEM131118 UOI131118 UYE131118 VIA131118 VRW131118 WBS131118 WLO131118 WVK131118 C196654 IY196654 SU196654 ACQ196654 AMM196654 AWI196654 BGE196654 BQA196654 BZW196654 CJS196654 CTO196654 DDK196654 DNG196654 DXC196654 EGY196654 EQU196654 FAQ196654 FKM196654 FUI196654 GEE196654 GOA196654 GXW196654 HHS196654 HRO196654 IBK196654 ILG196654 IVC196654 JEY196654 JOU196654 JYQ196654 KIM196654 KSI196654 LCE196654 LMA196654 LVW196654 MFS196654 MPO196654 MZK196654 NJG196654 NTC196654 OCY196654 OMU196654 OWQ196654 PGM196654 PQI196654 QAE196654 QKA196654 QTW196654 RDS196654 RNO196654 RXK196654 SHG196654 SRC196654 TAY196654 TKU196654 TUQ196654 UEM196654 UOI196654 UYE196654 VIA196654 VRW196654 WBS196654 WLO196654 WVK196654 C262190 IY262190 SU262190 ACQ262190 AMM262190 AWI262190 BGE262190 BQA262190 BZW262190 CJS262190 CTO262190 DDK262190 DNG262190 DXC262190 EGY262190 EQU262190 FAQ262190 FKM262190 FUI262190 GEE262190 GOA262190 GXW262190 HHS262190 HRO262190 IBK262190 ILG262190 IVC262190 JEY262190 JOU262190 JYQ262190 KIM262190 KSI262190 LCE262190 LMA262190 LVW262190 MFS262190 MPO262190 MZK262190 NJG262190 NTC262190 OCY262190 OMU262190 OWQ262190 PGM262190 PQI262190 QAE262190 QKA262190 QTW262190 RDS262190 RNO262190 RXK262190 SHG262190 SRC262190 TAY262190 TKU262190 TUQ262190 UEM262190 UOI262190 UYE262190 VIA262190 VRW262190 WBS262190 WLO262190 WVK262190 C327726 IY327726 SU327726 ACQ327726 AMM327726 AWI327726 BGE327726 BQA327726 BZW327726 CJS327726 CTO327726 DDK327726 DNG327726 DXC327726 EGY327726 EQU327726 FAQ327726 FKM327726 FUI327726 GEE327726 GOA327726 GXW327726 HHS327726 HRO327726 IBK327726 ILG327726 IVC327726 JEY327726 JOU327726 JYQ327726 KIM327726 KSI327726 LCE327726 LMA327726 LVW327726 MFS327726 MPO327726 MZK327726 NJG327726 NTC327726 OCY327726 OMU327726 OWQ327726 PGM327726 PQI327726 QAE327726 QKA327726 QTW327726 RDS327726 RNO327726 RXK327726 SHG327726 SRC327726 TAY327726 TKU327726 TUQ327726 UEM327726 UOI327726 UYE327726 VIA327726 VRW327726 WBS327726 WLO327726 WVK327726 C393262 IY393262 SU393262 ACQ393262 AMM393262 AWI393262 BGE393262 BQA393262 BZW393262 CJS393262 CTO393262 DDK393262 DNG393262 DXC393262 EGY393262 EQU393262 FAQ393262 FKM393262 FUI393262 GEE393262 GOA393262 GXW393262 HHS393262 HRO393262 IBK393262 ILG393262 IVC393262 JEY393262 JOU393262 JYQ393262 KIM393262 KSI393262 LCE393262 LMA393262 LVW393262 MFS393262 MPO393262 MZK393262 NJG393262 NTC393262 OCY393262 OMU393262 OWQ393262 PGM393262 PQI393262 QAE393262 QKA393262 QTW393262 RDS393262 RNO393262 RXK393262 SHG393262 SRC393262 TAY393262 TKU393262 TUQ393262 UEM393262 UOI393262 UYE393262 VIA393262 VRW393262 WBS393262 WLO393262 WVK393262 C458798 IY458798 SU458798 ACQ458798 AMM458798 AWI458798 BGE458798 BQA458798 BZW458798 CJS458798 CTO458798 DDK458798 DNG458798 DXC458798 EGY458798 EQU458798 FAQ458798 FKM458798 FUI458798 GEE458798 GOA458798 GXW458798 HHS458798 HRO458798 IBK458798 ILG458798 IVC458798 JEY458798 JOU458798 JYQ458798 KIM458798 KSI458798 LCE458798 LMA458798 LVW458798 MFS458798 MPO458798 MZK458798 NJG458798 NTC458798 OCY458798 OMU458798 OWQ458798 PGM458798 PQI458798 QAE458798 QKA458798 QTW458798 RDS458798 RNO458798 RXK458798 SHG458798 SRC458798 TAY458798 TKU458798 TUQ458798 UEM458798 UOI458798 UYE458798 VIA458798 VRW458798 WBS458798 WLO458798 WVK458798 C524334 IY524334 SU524334 ACQ524334 AMM524334 AWI524334 BGE524334 BQA524334 BZW524334 CJS524334 CTO524334 DDK524334 DNG524334 DXC524334 EGY524334 EQU524334 FAQ524334 FKM524334 FUI524334 GEE524334 GOA524334 GXW524334 HHS524334 HRO524334 IBK524334 ILG524334 IVC524334 JEY524334 JOU524334 JYQ524334 KIM524334 KSI524334 LCE524334 LMA524334 LVW524334 MFS524334 MPO524334 MZK524334 NJG524334 NTC524334 OCY524334 OMU524334 OWQ524334 PGM524334 PQI524334 QAE524334 QKA524334 QTW524334 RDS524334 RNO524334 RXK524334 SHG524334 SRC524334 TAY524334 TKU524334 TUQ524334 UEM524334 UOI524334 UYE524334 VIA524334 VRW524334 WBS524334 WLO524334 WVK524334 C589870 IY589870 SU589870 ACQ589870 AMM589870 AWI589870 BGE589870 BQA589870 BZW589870 CJS589870 CTO589870 DDK589870 DNG589870 DXC589870 EGY589870 EQU589870 FAQ589870 FKM589870 FUI589870 GEE589870 GOA589870 GXW589870 HHS589870 HRO589870 IBK589870 ILG589870 IVC589870 JEY589870 JOU589870 JYQ589870 KIM589870 KSI589870 LCE589870 LMA589870 LVW589870 MFS589870 MPO589870 MZK589870 NJG589870 NTC589870 OCY589870 OMU589870 OWQ589870 PGM589870 PQI589870 QAE589870 QKA589870 QTW589870 RDS589870 RNO589870 RXK589870 SHG589870 SRC589870 TAY589870 TKU589870 TUQ589870 UEM589870 UOI589870 UYE589870 VIA589870 VRW589870 WBS589870 WLO589870 WVK589870 C655406 IY655406 SU655406 ACQ655406 AMM655406 AWI655406 BGE655406 BQA655406 BZW655406 CJS655406 CTO655406 DDK655406 DNG655406 DXC655406 EGY655406 EQU655406 FAQ655406 FKM655406 FUI655406 GEE655406 GOA655406 GXW655406 HHS655406 HRO655406 IBK655406 ILG655406 IVC655406 JEY655406 JOU655406 JYQ655406 KIM655406 KSI655406 LCE655406 LMA655406 LVW655406 MFS655406 MPO655406 MZK655406 NJG655406 NTC655406 OCY655406 OMU655406 OWQ655406 PGM655406 PQI655406 QAE655406 QKA655406 QTW655406 RDS655406 RNO655406 RXK655406 SHG655406 SRC655406 TAY655406 TKU655406 TUQ655406 UEM655406 UOI655406 UYE655406 VIA655406 VRW655406 WBS655406 WLO655406 WVK655406 C720942 IY720942 SU720942 ACQ720942 AMM720942 AWI720942 BGE720942 BQA720942 BZW720942 CJS720942 CTO720942 DDK720942 DNG720942 DXC720942 EGY720942 EQU720942 FAQ720942 FKM720942 FUI720942 GEE720942 GOA720942 GXW720942 HHS720942 HRO720942 IBK720942 ILG720942 IVC720942 JEY720942 JOU720942 JYQ720942 KIM720942 KSI720942 LCE720942 LMA720942 LVW720942 MFS720942 MPO720942 MZK720942 NJG720942 NTC720942 OCY720942 OMU720942 OWQ720942 PGM720942 PQI720942 QAE720942 QKA720942 QTW720942 RDS720942 RNO720942 RXK720942 SHG720942 SRC720942 TAY720942 TKU720942 TUQ720942 UEM720942 UOI720942 UYE720942 VIA720942 VRW720942 WBS720942 WLO720942 WVK720942 C786478 IY786478 SU786478 ACQ786478 AMM786478 AWI786478 BGE786478 BQA786478 BZW786478 CJS786478 CTO786478 DDK786478 DNG786478 DXC786478 EGY786478 EQU786478 FAQ786478 FKM786478 FUI786478 GEE786478 GOA786478 GXW786478 HHS786478 HRO786478 IBK786478 ILG786478 IVC786478 JEY786478 JOU786478 JYQ786478 KIM786478 KSI786478 LCE786478 LMA786478 LVW786478 MFS786478 MPO786478 MZK786478 NJG786478 NTC786478 OCY786478 OMU786478 OWQ786478 PGM786478 PQI786478 QAE786478 QKA786478 QTW786478 RDS786478 RNO786478 RXK786478 SHG786478 SRC786478 TAY786478 TKU786478 TUQ786478 UEM786478 UOI786478 UYE786478 VIA786478 VRW786478 WBS786478 WLO786478 WVK786478 C852014 IY852014 SU852014 ACQ852014 AMM852014 AWI852014 BGE852014 BQA852014 BZW852014 CJS852014 CTO852014 DDK852014 DNG852014 DXC852014 EGY852014 EQU852014 FAQ852014 FKM852014 FUI852014 GEE852014 GOA852014 GXW852014 HHS852014 HRO852014 IBK852014 ILG852014 IVC852014 JEY852014 JOU852014 JYQ852014 KIM852014 KSI852014 LCE852014 LMA852014 LVW852014 MFS852014 MPO852014 MZK852014 NJG852014 NTC852014 OCY852014 OMU852014 OWQ852014 PGM852014 PQI852014 QAE852014 QKA852014 QTW852014 RDS852014 RNO852014 RXK852014 SHG852014 SRC852014 TAY852014 TKU852014 TUQ852014 UEM852014 UOI852014 UYE852014 VIA852014 VRW852014 WBS852014 WLO852014 WVK852014 C917550 IY917550 SU917550 ACQ917550 AMM917550 AWI917550 BGE917550 BQA917550 BZW917550 CJS917550 CTO917550 DDK917550 DNG917550 DXC917550 EGY917550 EQU917550 FAQ917550 FKM917550 FUI917550 GEE917550 GOA917550 GXW917550 HHS917550 HRO917550 IBK917550 ILG917550 IVC917550 JEY917550 JOU917550 JYQ917550 KIM917550 KSI917550 LCE917550 LMA917550 LVW917550 MFS917550 MPO917550 MZK917550 NJG917550 NTC917550 OCY917550 OMU917550 OWQ917550 PGM917550 PQI917550 QAE917550 QKA917550 QTW917550 RDS917550 RNO917550 RXK917550 SHG917550 SRC917550 TAY917550 TKU917550 TUQ917550 UEM917550 UOI917550 UYE917550 VIA917550 VRW917550 WBS917550 WLO917550 WVK917550 C983086 IY983086 SU983086 ACQ983086 AMM983086 AWI983086 BGE983086 BQA983086 BZW983086 CJS983086 CTO983086 DDK983086 DNG983086 DXC983086 EGY983086 EQU983086 FAQ983086 FKM983086 FUI983086 GEE983086 GOA983086 GXW983086 HHS983086 HRO983086 IBK983086 ILG983086 IVC983086 JEY983086 JOU983086 JYQ983086 KIM983086 KSI983086 LCE983086 LMA983086 LVW983086 MFS983086 MPO983086 MZK983086 NJG983086 NTC983086 OCY983086 OMU983086 OWQ983086 PGM983086 PQI983086 QAE983086 QKA983086 QTW983086 RDS983086 RNO983086 RXK983086 SHG983086 SRC983086 TAY983086 TKU983086 TUQ983086 UEM983086 UOI983086 UYE983086 VIA983086 VRW983086 WBS983086 WLO983086 WVK983086">
      <formula1>"Estimation, Professional accountant"</formula1>
    </dataValidation>
    <dataValidation type="list" allowBlank="1" showInputMessage="1" showErrorMessage="1" promptTitle="Attention:" prompt="Select &quot;professional&quot; if financial documents are prepared by professional accountant and all in order&#10;Select &quot;basic&quot; if there is basic record of sales and expenditure&#10;Select &quot;unprofessional&quot; if there is no documentation at all" sqref="C65581 IY65581 SU65581 ACQ65581 AMM65581 AWI65581 BGE65581 BQA65581 BZW65581 CJS65581 CTO65581 DDK65581 DNG65581 DXC65581 EGY65581 EQU65581 FAQ65581 FKM65581 FUI65581 GEE65581 GOA65581 GXW65581 HHS65581 HRO65581 IBK65581 ILG65581 IVC65581 JEY65581 JOU65581 JYQ65581 KIM65581 KSI65581 LCE65581 LMA65581 LVW65581 MFS65581 MPO65581 MZK65581 NJG65581 NTC65581 OCY65581 OMU65581 OWQ65581 PGM65581 PQI65581 QAE65581 QKA65581 QTW65581 RDS65581 RNO65581 RXK65581 SHG65581 SRC65581 TAY65581 TKU65581 TUQ65581 UEM65581 UOI65581 UYE65581 VIA65581 VRW65581 WBS65581 WLO65581 WVK65581 C131117 IY131117 SU131117 ACQ131117 AMM131117 AWI131117 BGE131117 BQA131117 BZW131117 CJS131117 CTO131117 DDK131117 DNG131117 DXC131117 EGY131117 EQU131117 FAQ131117 FKM131117 FUI131117 GEE131117 GOA131117 GXW131117 HHS131117 HRO131117 IBK131117 ILG131117 IVC131117 JEY131117 JOU131117 JYQ131117 KIM131117 KSI131117 LCE131117 LMA131117 LVW131117 MFS131117 MPO131117 MZK131117 NJG131117 NTC131117 OCY131117 OMU131117 OWQ131117 PGM131117 PQI131117 QAE131117 QKA131117 QTW131117 RDS131117 RNO131117 RXK131117 SHG131117 SRC131117 TAY131117 TKU131117 TUQ131117 UEM131117 UOI131117 UYE131117 VIA131117 VRW131117 WBS131117 WLO131117 WVK131117 C196653 IY196653 SU196653 ACQ196653 AMM196653 AWI196653 BGE196653 BQA196653 BZW196653 CJS196653 CTO196653 DDK196653 DNG196653 DXC196653 EGY196653 EQU196653 FAQ196653 FKM196653 FUI196653 GEE196653 GOA196653 GXW196653 HHS196653 HRO196653 IBK196653 ILG196653 IVC196653 JEY196653 JOU196653 JYQ196653 KIM196653 KSI196653 LCE196653 LMA196653 LVW196653 MFS196653 MPO196653 MZK196653 NJG196653 NTC196653 OCY196653 OMU196653 OWQ196653 PGM196653 PQI196653 QAE196653 QKA196653 QTW196653 RDS196653 RNO196653 RXK196653 SHG196653 SRC196653 TAY196653 TKU196653 TUQ196653 UEM196653 UOI196653 UYE196653 VIA196653 VRW196653 WBS196653 WLO196653 WVK196653 C262189 IY262189 SU262189 ACQ262189 AMM262189 AWI262189 BGE262189 BQA262189 BZW262189 CJS262189 CTO262189 DDK262189 DNG262189 DXC262189 EGY262189 EQU262189 FAQ262189 FKM262189 FUI262189 GEE262189 GOA262189 GXW262189 HHS262189 HRO262189 IBK262189 ILG262189 IVC262189 JEY262189 JOU262189 JYQ262189 KIM262189 KSI262189 LCE262189 LMA262189 LVW262189 MFS262189 MPO262189 MZK262189 NJG262189 NTC262189 OCY262189 OMU262189 OWQ262189 PGM262189 PQI262189 QAE262189 QKA262189 QTW262189 RDS262189 RNO262189 RXK262189 SHG262189 SRC262189 TAY262189 TKU262189 TUQ262189 UEM262189 UOI262189 UYE262189 VIA262189 VRW262189 WBS262189 WLO262189 WVK262189 C327725 IY327725 SU327725 ACQ327725 AMM327725 AWI327725 BGE327725 BQA327725 BZW327725 CJS327725 CTO327725 DDK327725 DNG327725 DXC327725 EGY327725 EQU327725 FAQ327725 FKM327725 FUI327725 GEE327725 GOA327725 GXW327725 HHS327725 HRO327725 IBK327725 ILG327725 IVC327725 JEY327725 JOU327725 JYQ327725 KIM327725 KSI327725 LCE327725 LMA327725 LVW327725 MFS327725 MPO327725 MZK327725 NJG327725 NTC327725 OCY327725 OMU327725 OWQ327725 PGM327725 PQI327725 QAE327725 QKA327725 QTW327725 RDS327725 RNO327725 RXK327725 SHG327725 SRC327725 TAY327725 TKU327725 TUQ327725 UEM327725 UOI327725 UYE327725 VIA327725 VRW327725 WBS327725 WLO327725 WVK327725 C393261 IY393261 SU393261 ACQ393261 AMM393261 AWI393261 BGE393261 BQA393261 BZW393261 CJS393261 CTO393261 DDK393261 DNG393261 DXC393261 EGY393261 EQU393261 FAQ393261 FKM393261 FUI393261 GEE393261 GOA393261 GXW393261 HHS393261 HRO393261 IBK393261 ILG393261 IVC393261 JEY393261 JOU393261 JYQ393261 KIM393261 KSI393261 LCE393261 LMA393261 LVW393261 MFS393261 MPO393261 MZK393261 NJG393261 NTC393261 OCY393261 OMU393261 OWQ393261 PGM393261 PQI393261 QAE393261 QKA393261 QTW393261 RDS393261 RNO393261 RXK393261 SHG393261 SRC393261 TAY393261 TKU393261 TUQ393261 UEM393261 UOI393261 UYE393261 VIA393261 VRW393261 WBS393261 WLO393261 WVK393261 C458797 IY458797 SU458797 ACQ458797 AMM458797 AWI458797 BGE458797 BQA458797 BZW458797 CJS458797 CTO458797 DDK458797 DNG458797 DXC458797 EGY458797 EQU458797 FAQ458797 FKM458797 FUI458797 GEE458797 GOA458797 GXW458797 HHS458797 HRO458797 IBK458797 ILG458797 IVC458797 JEY458797 JOU458797 JYQ458797 KIM458797 KSI458797 LCE458797 LMA458797 LVW458797 MFS458797 MPO458797 MZK458797 NJG458797 NTC458797 OCY458797 OMU458797 OWQ458797 PGM458797 PQI458797 QAE458797 QKA458797 QTW458797 RDS458797 RNO458797 RXK458797 SHG458797 SRC458797 TAY458797 TKU458797 TUQ458797 UEM458797 UOI458797 UYE458797 VIA458797 VRW458797 WBS458797 WLO458797 WVK458797 C524333 IY524333 SU524333 ACQ524333 AMM524333 AWI524333 BGE524333 BQA524333 BZW524333 CJS524333 CTO524333 DDK524333 DNG524333 DXC524333 EGY524333 EQU524333 FAQ524333 FKM524333 FUI524333 GEE524333 GOA524333 GXW524333 HHS524333 HRO524333 IBK524333 ILG524333 IVC524333 JEY524333 JOU524333 JYQ524333 KIM524333 KSI524333 LCE524333 LMA524333 LVW524333 MFS524333 MPO524333 MZK524333 NJG524333 NTC524333 OCY524333 OMU524333 OWQ524333 PGM524333 PQI524333 QAE524333 QKA524333 QTW524333 RDS524333 RNO524333 RXK524333 SHG524333 SRC524333 TAY524333 TKU524333 TUQ524333 UEM524333 UOI524333 UYE524333 VIA524333 VRW524333 WBS524333 WLO524333 WVK524333 C589869 IY589869 SU589869 ACQ589869 AMM589869 AWI589869 BGE589869 BQA589869 BZW589869 CJS589869 CTO589869 DDK589869 DNG589869 DXC589869 EGY589869 EQU589869 FAQ589869 FKM589869 FUI589869 GEE589869 GOA589869 GXW589869 HHS589869 HRO589869 IBK589869 ILG589869 IVC589869 JEY589869 JOU589869 JYQ589869 KIM589869 KSI589869 LCE589869 LMA589869 LVW589869 MFS589869 MPO589869 MZK589869 NJG589869 NTC589869 OCY589869 OMU589869 OWQ589869 PGM589869 PQI589869 QAE589869 QKA589869 QTW589869 RDS589869 RNO589869 RXK589869 SHG589869 SRC589869 TAY589869 TKU589869 TUQ589869 UEM589869 UOI589869 UYE589869 VIA589869 VRW589869 WBS589869 WLO589869 WVK589869 C655405 IY655405 SU655405 ACQ655405 AMM655405 AWI655405 BGE655405 BQA655405 BZW655405 CJS655405 CTO655405 DDK655405 DNG655405 DXC655405 EGY655405 EQU655405 FAQ655405 FKM655405 FUI655405 GEE655405 GOA655405 GXW655405 HHS655405 HRO655405 IBK655405 ILG655405 IVC655405 JEY655405 JOU655405 JYQ655405 KIM655405 KSI655405 LCE655405 LMA655405 LVW655405 MFS655405 MPO655405 MZK655405 NJG655405 NTC655405 OCY655405 OMU655405 OWQ655405 PGM655405 PQI655405 QAE655405 QKA655405 QTW655405 RDS655405 RNO655405 RXK655405 SHG655405 SRC655405 TAY655405 TKU655405 TUQ655405 UEM655405 UOI655405 UYE655405 VIA655405 VRW655405 WBS655405 WLO655405 WVK655405 C720941 IY720941 SU720941 ACQ720941 AMM720941 AWI720941 BGE720941 BQA720941 BZW720941 CJS720941 CTO720941 DDK720941 DNG720941 DXC720941 EGY720941 EQU720941 FAQ720941 FKM720941 FUI720941 GEE720941 GOA720941 GXW720941 HHS720941 HRO720941 IBK720941 ILG720941 IVC720941 JEY720941 JOU720941 JYQ720941 KIM720941 KSI720941 LCE720941 LMA720941 LVW720941 MFS720941 MPO720941 MZK720941 NJG720941 NTC720941 OCY720941 OMU720941 OWQ720941 PGM720941 PQI720941 QAE720941 QKA720941 QTW720941 RDS720941 RNO720941 RXK720941 SHG720941 SRC720941 TAY720941 TKU720941 TUQ720941 UEM720941 UOI720941 UYE720941 VIA720941 VRW720941 WBS720941 WLO720941 WVK720941 C786477 IY786477 SU786477 ACQ786477 AMM786477 AWI786477 BGE786477 BQA786477 BZW786477 CJS786477 CTO786477 DDK786477 DNG786477 DXC786477 EGY786477 EQU786477 FAQ786477 FKM786477 FUI786477 GEE786477 GOA786477 GXW786477 HHS786477 HRO786477 IBK786477 ILG786477 IVC786477 JEY786477 JOU786477 JYQ786477 KIM786477 KSI786477 LCE786477 LMA786477 LVW786477 MFS786477 MPO786477 MZK786477 NJG786477 NTC786477 OCY786477 OMU786477 OWQ786477 PGM786477 PQI786477 QAE786477 QKA786477 QTW786477 RDS786477 RNO786477 RXK786477 SHG786477 SRC786477 TAY786477 TKU786477 TUQ786477 UEM786477 UOI786477 UYE786477 VIA786477 VRW786477 WBS786477 WLO786477 WVK786477 C852013 IY852013 SU852013 ACQ852013 AMM852013 AWI852013 BGE852013 BQA852013 BZW852013 CJS852013 CTO852013 DDK852013 DNG852013 DXC852013 EGY852013 EQU852013 FAQ852013 FKM852013 FUI852013 GEE852013 GOA852013 GXW852013 HHS852013 HRO852013 IBK852013 ILG852013 IVC852013 JEY852013 JOU852013 JYQ852013 KIM852013 KSI852013 LCE852013 LMA852013 LVW852013 MFS852013 MPO852013 MZK852013 NJG852013 NTC852013 OCY852013 OMU852013 OWQ852013 PGM852013 PQI852013 QAE852013 QKA852013 QTW852013 RDS852013 RNO852013 RXK852013 SHG852013 SRC852013 TAY852013 TKU852013 TUQ852013 UEM852013 UOI852013 UYE852013 VIA852013 VRW852013 WBS852013 WLO852013 WVK852013 C917549 IY917549 SU917549 ACQ917549 AMM917549 AWI917549 BGE917549 BQA917549 BZW917549 CJS917549 CTO917549 DDK917549 DNG917549 DXC917549 EGY917549 EQU917549 FAQ917549 FKM917549 FUI917549 GEE917549 GOA917549 GXW917549 HHS917549 HRO917549 IBK917549 ILG917549 IVC917549 JEY917549 JOU917549 JYQ917549 KIM917549 KSI917549 LCE917549 LMA917549 LVW917549 MFS917549 MPO917549 MZK917549 NJG917549 NTC917549 OCY917549 OMU917549 OWQ917549 PGM917549 PQI917549 QAE917549 QKA917549 QTW917549 RDS917549 RNO917549 RXK917549 SHG917549 SRC917549 TAY917549 TKU917549 TUQ917549 UEM917549 UOI917549 UYE917549 VIA917549 VRW917549 WBS917549 WLO917549 WVK917549 C983085 IY983085 SU983085 ACQ983085 AMM983085 AWI983085 BGE983085 BQA983085 BZW983085 CJS983085 CTO983085 DDK983085 DNG983085 DXC983085 EGY983085 EQU983085 FAQ983085 FKM983085 FUI983085 GEE983085 GOA983085 GXW983085 HHS983085 HRO983085 IBK983085 ILG983085 IVC983085 JEY983085 JOU983085 JYQ983085 KIM983085 KSI983085 LCE983085 LMA983085 LVW983085 MFS983085 MPO983085 MZK983085 NJG983085 NTC983085 OCY983085 OMU983085 OWQ983085 PGM983085 PQI983085 QAE983085 QKA983085 QTW983085 RDS983085 RNO983085 RXK983085 SHG983085 SRC983085 TAY983085 TKU983085 TUQ983085 UEM983085 UOI983085 UYE983085 VIA983085 VRW983085 WBS983085 WLO983085 WVK983085">
      <formula1>"Poor, basic, Professional"</formula1>
    </dataValidation>
    <dataValidation showInputMessage="1" showErrorMessage="1" sqref="G9 JB9 SX9 ACT9 AMP9 AWL9 BGH9 BQD9 BZZ9 CJV9 CTR9 DDN9 DNJ9 DXF9 EHB9 EQX9 FAT9 FKP9 FUL9 GEH9 GOD9 GXZ9 HHV9 HRR9 IBN9 ILJ9 IVF9 JFB9 JOX9 JYT9 KIP9 KSL9 LCH9 LMD9 LVZ9 MFV9 MPR9 MZN9 NJJ9 NTF9 ODB9 OMX9 OWT9 PGP9 PQL9 QAH9 QKD9 QTZ9 RDV9 RNR9 RXN9 SHJ9 SRF9 TBB9 TKX9 TUT9 UEP9 UOL9 UYH9 VID9 VRZ9 WBV9 WLR9 WVN9 F65543 JB65543 SX65543 ACT65543 AMP65543 AWL65543 BGH65543 BQD65543 BZZ65543 CJV65543 CTR65543 DDN65543 DNJ65543 DXF65543 EHB65543 EQX65543 FAT65543 FKP65543 FUL65543 GEH65543 GOD65543 GXZ65543 HHV65543 HRR65543 IBN65543 ILJ65543 IVF65543 JFB65543 JOX65543 JYT65543 KIP65543 KSL65543 LCH65543 LMD65543 LVZ65543 MFV65543 MPR65543 MZN65543 NJJ65543 NTF65543 ODB65543 OMX65543 OWT65543 PGP65543 PQL65543 QAH65543 QKD65543 QTZ65543 RDV65543 RNR65543 RXN65543 SHJ65543 SRF65543 TBB65543 TKX65543 TUT65543 UEP65543 UOL65543 UYH65543 VID65543 VRZ65543 WBV65543 WLR65543 WVN65543 F131079 JB131079 SX131079 ACT131079 AMP131079 AWL131079 BGH131079 BQD131079 BZZ131079 CJV131079 CTR131079 DDN131079 DNJ131079 DXF131079 EHB131079 EQX131079 FAT131079 FKP131079 FUL131079 GEH131079 GOD131079 GXZ131079 HHV131079 HRR131079 IBN131079 ILJ131079 IVF131079 JFB131079 JOX131079 JYT131079 KIP131079 KSL131079 LCH131079 LMD131079 LVZ131079 MFV131079 MPR131079 MZN131079 NJJ131079 NTF131079 ODB131079 OMX131079 OWT131079 PGP131079 PQL131079 QAH131079 QKD131079 QTZ131079 RDV131079 RNR131079 RXN131079 SHJ131079 SRF131079 TBB131079 TKX131079 TUT131079 UEP131079 UOL131079 UYH131079 VID131079 VRZ131079 WBV131079 WLR131079 WVN131079 F196615 JB196615 SX196615 ACT196615 AMP196615 AWL196615 BGH196615 BQD196615 BZZ196615 CJV196615 CTR196615 DDN196615 DNJ196615 DXF196615 EHB196615 EQX196615 FAT196615 FKP196615 FUL196615 GEH196615 GOD196615 GXZ196615 HHV196615 HRR196615 IBN196615 ILJ196615 IVF196615 JFB196615 JOX196615 JYT196615 KIP196615 KSL196615 LCH196615 LMD196615 LVZ196615 MFV196615 MPR196615 MZN196615 NJJ196615 NTF196615 ODB196615 OMX196615 OWT196615 PGP196615 PQL196615 QAH196615 QKD196615 QTZ196615 RDV196615 RNR196615 RXN196615 SHJ196615 SRF196615 TBB196615 TKX196615 TUT196615 UEP196615 UOL196615 UYH196615 VID196615 VRZ196615 WBV196615 WLR196615 WVN196615 F262151 JB262151 SX262151 ACT262151 AMP262151 AWL262151 BGH262151 BQD262151 BZZ262151 CJV262151 CTR262151 DDN262151 DNJ262151 DXF262151 EHB262151 EQX262151 FAT262151 FKP262151 FUL262151 GEH262151 GOD262151 GXZ262151 HHV262151 HRR262151 IBN262151 ILJ262151 IVF262151 JFB262151 JOX262151 JYT262151 KIP262151 KSL262151 LCH262151 LMD262151 LVZ262151 MFV262151 MPR262151 MZN262151 NJJ262151 NTF262151 ODB262151 OMX262151 OWT262151 PGP262151 PQL262151 QAH262151 QKD262151 QTZ262151 RDV262151 RNR262151 RXN262151 SHJ262151 SRF262151 TBB262151 TKX262151 TUT262151 UEP262151 UOL262151 UYH262151 VID262151 VRZ262151 WBV262151 WLR262151 WVN262151 F327687 JB327687 SX327687 ACT327687 AMP327687 AWL327687 BGH327687 BQD327687 BZZ327687 CJV327687 CTR327687 DDN327687 DNJ327687 DXF327687 EHB327687 EQX327687 FAT327687 FKP327687 FUL327687 GEH327687 GOD327687 GXZ327687 HHV327687 HRR327687 IBN327687 ILJ327687 IVF327687 JFB327687 JOX327687 JYT327687 KIP327687 KSL327687 LCH327687 LMD327687 LVZ327687 MFV327687 MPR327687 MZN327687 NJJ327687 NTF327687 ODB327687 OMX327687 OWT327687 PGP327687 PQL327687 QAH327687 QKD327687 QTZ327687 RDV327687 RNR327687 RXN327687 SHJ327687 SRF327687 TBB327687 TKX327687 TUT327687 UEP327687 UOL327687 UYH327687 VID327687 VRZ327687 WBV327687 WLR327687 WVN327687 F393223 JB393223 SX393223 ACT393223 AMP393223 AWL393223 BGH393223 BQD393223 BZZ393223 CJV393223 CTR393223 DDN393223 DNJ393223 DXF393223 EHB393223 EQX393223 FAT393223 FKP393223 FUL393223 GEH393223 GOD393223 GXZ393223 HHV393223 HRR393223 IBN393223 ILJ393223 IVF393223 JFB393223 JOX393223 JYT393223 KIP393223 KSL393223 LCH393223 LMD393223 LVZ393223 MFV393223 MPR393223 MZN393223 NJJ393223 NTF393223 ODB393223 OMX393223 OWT393223 PGP393223 PQL393223 QAH393223 QKD393223 QTZ393223 RDV393223 RNR393223 RXN393223 SHJ393223 SRF393223 TBB393223 TKX393223 TUT393223 UEP393223 UOL393223 UYH393223 VID393223 VRZ393223 WBV393223 WLR393223 WVN393223 F458759 JB458759 SX458759 ACT458759 AMP458759 AWL458759 BGH458759 BQD458759 BZZ458759 CJV458759 CTR458759 DDN458759 DNJ458759 DXF458759 EHB458759 EQX458759 FAT458759 FKP458759 FUL458759 GEH458759 GOD458759 GXZ458759 HHV458759 HRR458759 IBN458759 ILJ458759 IVF458759 JFB458759 JOX458759 JYT458759 KIP458759 KSL458759 LCH458759 LMD458759 LVZ458759 MFV458759 MPR458759 MZN458759 NJJ458759 NTF458759 ODB458759 OMX458759 OWT458759 PGP458759 PQL458759 QAH458759 QKD458759 QTZ458759 RDV458759 RNR458759 RXN458759 SHJ458759 SRF458759 TBB458759 TKX458759 TUT458759 UEP458759 UOL458759 UYH458759 VID458759 VRZ458759 WBV458759 WLR458759 WVN458759 F524295 JB524295 SX524295 ACT524295 AMP524295 AWL524295 BGH524295 BQD524295 BZZ524295 CJV524295 CTR524295 DDN524295 DNJ524295 DXF524295 EHB524295 EQX524295 FAT524295 FKP524295 FUL524295 GEH524295 GOD524295 GXZ524295 HHV524295 HRR524295 IBN524295 ILJ524295 IVF524295 JFB524295 JOX524295 JYT524295 KIP524295 KSL524295 LCH524295 LMD524295 LVZ524295 MFV524295 MPR524295 MZN524295 NJJ524295 NTF524295 ODB524295 OMX524295 OWT524295 PGP524295 PQL524295 QAH524295 QKD524295 QTZ524295 RDV524295 RNR524295 RXN524295 SHJ524295 SRF524295 TBB524295 TKX524295 TUT524295 UEP524295 UOL524295 UYH524295 VID524295 VRZ524295 WBV524295 WLR524295 WVN524295 F589831 JB589831 SX589831 ACT589831 AMP589831 AWL589831 BGH589831 BQD589831 BZZ589831 CJV589831 CTR589831 DDN589831 DNJ589831 DXF589831 EHB589831 EQX589831 FAT589831 FKP589831 FUL589831 GEH589831 GOD589831 GXZ589831 HHV589831 HRR589831 IBN589831 ILJ589831 IVF589831 JFB589831 JOX589831 JYT589831 KIP589831 KSL589831 LCH589831 LMD589831 LVZ589831 MFV589831 MPR589831 MZN589831 NJJ589831 NTF589831 ODB589831 OMX589831 OWT589831 PGP589831 PQL589831 QAH589831 QKD589831 QTZ589831 RDV589831 RNR589831 RXN589831 SHJ589831 SRF589831 TBB589831 TKX589831 TUT589831 UEP589831 UOL589831 UYH589831 VID589831 VRZ589831 WBV589831 WLR589831 WVN589831 F655367 JB655367 SX655367 ACT655367 AMP655367 AWL655367 BGH655367 BQD655367 BZZ655367 CJV655367 CTR655367 DDN655367 DNJ655367 DXF655367 EHB655367 EQX655367 FAT655367 FKP655367 FUL655367 GEH655367 GOD655367 GXZ655367 HHV655367 HRR655367 IBN655367 ILJ655367 IVF655367 JFB655367 JOX655367 JYT655367 KIP655367 KSL655367 LCH655367 LMD655367 LVZ655367 MFV655367 MPR655367 MZN655367 NJJ655367 NTF655367 ODB655367 OMX655367 OWT655367 PGP655367 PQL655367 QAH655367 QKD655367 QTZ655367 RDV655367 RNR655367 RXN655367 SHJ655367 SRF655367 TBB655367 TKX655367 TUT655367 UEP655367 UOL655367 UYH655367 VID655367 VRZ655367 WBV655367 WLR655367 WVN655367 F720903 JB720903 SX720903 ACT720903 AMP720903 AWL720903 BGH720903 BQD720903 BZZ720903 CJV720903 CTR720903 DDN720903 DNJ720903 DXF720903 EHB720903 EQX720903 FAT720903 FKP720903 FUL720903 GEH720903 GOD720903 GXZ720903 HHV720903 HRR720903 IBN720903 ILJ720903 IVF720903 JFB720903 JOX720903 JYT720903 KIP720903 KSL720903 LCH720903 LMD720903 LVZ720903 MFV720903 MPR720903 MZN720903 NJJ720903 NTF720903 ODB720903 OMX720903 OWT720903 PGP720903 PQL720903 QAH720903 QKD720903 QTZ720903 RDV720903 RNR720903 RXN720903 SHJ720903 SRF720903 TBB720903 TKX720903 TUT720903 UEP720903 UOL720903 UYH720903 VID720903 VRZ720903 WBV720903 WLR720903 WVN720903 F786439 JB786439 SX786439 ACT786439 AMP786439 AWL786439 BGH786439 BQD786439 BZZ786439 CJV786439 CTR786439 DDN786439 DNJ786439 DXF786439 EHB786439 EQX786439 FAT786439 FKP786439 FUL786439 GEH786439 GOD786439 GXZ786439 HHV786439 HRR786439 IBN786439 ILJ786439 IVF786439 JFB786439 JOX786439 JYT786439 KIP786439 KSL786439 LCH786439 LMD786439 LVZ786439 MFV786439 MPR786439 MZN786439 NJJ786439 NTF786439 ODB786439 OMX786439 OWT786439 PGP786439 PQL786439 QAH786439 QKD786439 QTZ786439 RDV786439 RNR786439 RXN786439 SHJ786439 SRF786439 TBB786439 TKX786439 TUT786439 UEP786439 UOL786439 UYH786439 VID786439 VRZ786439 WBV786439 WLR786439 WVN786439 F851975 JB851975 SX851975 ACT851975 AMP851975 AWL851975 BGH851975 BQD851975 BZZ851975 CJV851975 CTR851975 DDN851975 DNJ851975 DXF851975 EHB851975 EQX851975 FAT851975 FKP851975 FUL851975 GEH851975 GOD851975 GXZ851975 HHV851975 HRR851975 IBN851975 ILJ851975 IVF851975 JFB851975 JOX851975 JYT851975 KIP851975 KSL851975 LCH851975 LMD851975 LVZ851975 MFV851975 MPR851975 MZN851975 NJJ851975 NTF851975 ODB851975 OMX851975 OWT851975 PGP851975 PQL851975 QAH851975 QKD851975 QTZ851975 RDV851975 RNR851975 RXN851975 SHJ851975 SRF851975 TBB851975 TKX851975 TUT851975 UEP851975 UOL851975 UYH851975 VID851975 VRZ851975 WBV851975 WLR851975 WVN851975 F917511 JB917511 SX917511 ACT917511 AMP917511 AWL917511 BGH917511 BQD917511 BZZ917511 CJV917511 CTR917511 DDN917511 DNJ917511 DXF917511 EHB917511 EQX917511 FAT917511 FKP917511 FUL917511 GEH917511 GOD917511 GXZ917511 HHV917511 HRR917511 IBN917511 ILJ917511 IVF917511 JFB917511 JOX917511 JYT917511 KIP917511 KSL917511 LCH917511 LMD917511 LVZ917511 MFV917511 MPR917511 MZN917511 NJJ917511 NTF917511 ODB917511 OMX917511 OWT917511 PGP917511 PQL917511 QAH917511 QKD917511 QTZ917511 RDV917511 RNR917511 RXN917511 SHJ917511 SRF917511 TBB917511 TKX917511 TUT917511 UEP917511 UOL917511 UYH917511 VID917511 VRZ917511 WBV917511 WLR917511 WVN917511 F983047 JB983047 SX983047 ACT983047 AMP983047 AWL983047 BGH983047 BQD983047 BZZ983047 CJV983047 CTR983047 DDN983047 DNJ983047 DXF983047 EHB983047 EQX983047 FAT983047 FKP983047 FUL983047 GEH983047 GOD983047 GXZ983047 HHV983047 HRR983047 IBN983047 ILJ983047 IVF983047 JFB983047 JOX983047 JYT983047 KIP983047 KSL983047 LCH983047 LMD983047 LVZ983047 MFV983047 MPR983047 MZN983047 NJJ983047 NTF983047 ODB983047 OMX983047 OWT983047 PGP983047 PQL983047 QAH983047 QKD983047 QTZ983047 RDV983047 RNR983047 RXN983047 SHJ983047 SRF983047 TBB983047 TKX983047 TUT983047 UEP983047 UOL983047 UYH983047 VID983047 VRZ983047 WBV983047 WLR983047 WVN983047"/>
    <dataValidation type="list" allowBlank="1" showInputMessage="1" showErrorMessage="1" sqref="C31 IY31 SU31 ACQ31 AMM31 AWI31 BGE31 BQA31 BZW31 CJS31 CTO31 DDK31 DNG31 DXC31 EGY31 EQU31 FAQ31 FKM31 FUI31 GEE31 GOA31 GXW31 HHS31 HRO31 IBK31 ILG31 IVC31 JEY31 JOU31 JYQ31 KIM31 KSI31 LCE31 LMA31 LVW31 MFS31 MPO31 MZK31 NJG31 NTC31 OCY31 OMU31 OWQ31 PGM31 PQI31 QAE31 QKA31 QTW31 RDS31 RNO31 RXK31 SHG31 SRC31 TAY31 TKU31 TUQ31 UEM31 UOI31 UYE31 VIA31 VRW31 WBS31 WLO31 WVK31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WVK983072">
      <formula1>"Manufacturing, Trade, Service, Construction, Agriculture"</formula1>
    </dataValidation>
    <dataValidation type="list" allowBlank="1" showInputMessage="1" showErrorMessage="1" sqref="I9 JD9 SZ9 ACV9 AMR9 AWN9 BGJ9 BQF9 CAB9 CJX9 CTT9 DDP9 DNL9 DXH9 EHD9 EQZ9 FAV9 FKR9 FUN9 GEJ9 GOF9 GYB9 HHX9 HRT9 IBP9 ILL9 IVH9 JFD9 JOZ9 JYV9 KIR9 KSN9 LCJ9 LMF9 LWB9 MFX9 MPT9 MZP9 NJL9 NTH9 ODD9 OMZ9 OWV9 PGR9 PQN9 QAJ9 QKF9 QUB9 RDX9 RNT9 RXP9 SHL9 SRH9 TBD9 TKZ9 TUV9 UER9 UON9 UYJ9 VIF9 VSB9 WBX9 WLT9 WVP9 H65543 JD65543 SZ65543 ACV65543 AMR65543 AWN65543 BGJ65543 BQF65543 CAB65543 CJX65543 CTT65543 DDP65543 DNL65543 DXH65543 EHD65543 EQZ65543 FAV65543 FKR65543 FUN65543 GEJ65543 GOF65543 GYB65543 HHX65543 HRT65543 IBP65543 ILL65543 IVH65543 JFD65543 JOZ65543 JYV65543 KIR65543 KSN65543 LCJ65543 LMF65543 LWB65543 MFX65543 MPT65543 MZP65543 NJL65543 NTH65543 ODD65543 OMZ65543 OWV65543 PGR65543 PQN65543 QAJ65543 QKF65543 QUB65543 RDX65543 RNT65543 RXP65543 SHL65543 SRH65543 TBD65543 TKZ65543 TUV65543 UER65543 UON65543 UYJ65543 VIF65543 VSB65543 WBX65543 WLT65543 WVP65543 H131079 JD131079 SZ131079 ACV131079 AMR131079 AWN131079 BGJ131079 BQF131079 CAB131079 CJX131079 CTT131079 DDP131079 DNL131079 DXH131079 EHD131079 EQZ131079 FAV131079 FKR131079 FUN131079 GEJ131079 GOF131079 GYB131079 HHX131079 HRT131079 IBP131079 ILL131079 IVH131079 JFD131079 JOZ131079 JYV131079 KIR131079 KSN131079 LCJ131079 LMF131079 LWB131079 MFX131079 MPT131079 MZP131079 NJL131079 NTH131079 ODD131079 OMZ131079 OWV131079 PGR131079 PQN131079 QAJ131079 QKF131079 QUB131079 RDX131079 RNT131079 RXP131079 SHL131079 SRH131079 TBD131079 TKZ131079 TUV131079 UER131079 UON131079 UYJ131079 VIF131079 VSB131079 WBX131079 WLT131079 WVP131079 H196615 JD196615 SZ196615 ACV196615 AMR196615 AWN196615 BGJ196615 BQF196615 CAB196615 CJX196615 CTT196615 DDP196615 DNL196615 DXH196615 EHD196615 EQZ196615 FAV196615 FKR196615 FUN196615 GEJ196615 GOF196615 GYB196615 HHX196615 HRT196615 IBP196615 ILL196615 IVH196615 JFD196615 JOZ196615 JYV196615 KIR196615 KSN196615 LCJ196615 LMF196615 LWB196615 MFX196615 MPT196615 MZP196615 NJL196615 NTH196615 ODD196615 OMZ196615 OWV196615 PGR196615 PQN196615 QAJ196615 QKF196615 QUB196615 RDX196615 RNT196615 RXP196615 SHL196615 SRH196615 TBD196615 TKZ196615 TUV196615 UER196615 UON196615 UYJ196615 VIF196615 VSB196615 WBX196615 WLT196615 WVP196615 H262151 JD262151 SZ262151 ACV262151 AMR262151 AWN262151 BGJ262151 BQF262151 CAB262151 CJX262151 CTT262151 DDP262151 DNL262151 DXH262151 EHD262151 EQZ262151 FAV262151 FKR262151 FUN262151 GEJ262151 GOF262151 GYB262151 HHX262151 HRT262151 IBP262151 ILL262151 IVH262151 JFD262151 JOZ262151 JYV262151 KIR262151 KSN262151 LCJ262151 LMF262151 LWB262151 MFX262151 MPT262151 MZP262151 NJL262151 NTH262151 ODD262151 OMZ262151 OWV262151 PGR262151 PQN262151 QAJ262151 QKF262151 QUB262151 RDX262151 RNT262151 RXP262151 SHL262151 SRH262151 TBD262151 TKZ262151 TUV262151 UER262151 UON262151 UYJ262151 VIF262151 VSB262151 WBX262151 WLT262151 WVP262151 H327687 JD327687 SZ327687 ACV327687 AMR327687 AWN327687 BGJ327687 BQF327687 CAB327687 CJX327687 CTT327687 DDP327687 DNL327687 DXH327687 EHD327687 EQZ327687 FAV327687 FKR327687 FUN327687 GEJ327687 GOF327687 GYB327687 HHX327687 HRT327687 IBP327687 ILL327687 IVH327687 JFD327687 JOZ327687 JYV327687 KIR327687 KSN327687 LCJ327687 LMF327687 LWB327687 MFX327687 MPT327687 MZP327687 NJL327687 NTH327687 ODD327687 OMZ327687 OWV327687 PGR327687 PQN327687 QAJ327687 QKF327687 QUB327687 RDX327687 RNT327687 RXP327687 SHL327687 SRH327687 TBD327687 TKZ327687 TUV327687 UER327687 UON327687 UYJ327687 VIF327687 VSB327687 WBX327687 WLT327687 WVP327687 H393223 JD393223 SZ393223 ACV393223 AMR393223 AWN393223 BGJ393223 BQF393223 CAB393223 CJX393223 CTT393223 DDP393223 DNL393223 DXH393223 EHD393223 EQZ393223 FAV393223 FKR393223 FUN393223 GEJ393223 GOF393223 GYB393223 HHX393223 HRT393223 IBP393223 ILL393223 IVH393223 JFD393223 JOZ393223 JYV393223 KIR393223 KSN393223 LCJ393223 LMF393223 LWB393223 MFX393223 MPT393223 MZP393223 NJL393223 NTH393223 ODD393223 OMZ393223 OWV393223 PGR393223 PQN393223 QAJ393223 QKF393223 QUB393223 RDX393223 RNT393223 RXP393223 SHL393223 SRH393223 TBD393223 TKZ393223 TUV393223 UER393223 UON393223 UYJ393223 VIF393223 VSB393223 WBX393223 WLT393223 WVP393223 H458759 JD458759 SZ458759 ACV458759 AMR458759 AWN458759 BGJ458759 BQF458759 CAB458759 CJX458759 CTT458759 DDP458759 DNL458759 DXH458759 EHD458759 EQZ458759 FAV458759 FKR458759 FUN458759 GEJ458759 GOF458759 GYB458759 HHX458759 HRT458759 IBP458759 ILL458759 IVH458759 JFD458759 JOZ458759 JYV458759 KIR458759 KSN458759 LCJ458759 LMF458759 LWB458759 MFX458759 MPT458759 MZP458759 NJL458759 NTH458759 ODD458759 OMZ458759 OWV458759 PGR458759 PQN458759 QAJ458759 QKF458759 QUB458759 RDX458759 RNT458759 RXP458759 SHL458759 SRH458759 TBD458759 TKZ458759 TUV458759 UER458759 UON458759 UYJ458759 VIF458759 VSB458759 WBX458759 WLT458759 WVP458759 H524295 JD524295 SZ524295 ACV524295 AMR524295 AWN524295 BGJ524295 BQF524295 CAB524295 CJX524295 CTT524295 DDP524295 DNL524295 DXH524295 EHD524295 EQZ524295 FAV524295 FKR524295 FUN524295 GEJ524295 GOF524295 GYB524295 HHX524295 HRT524295 IBP524295 ILL524295 IVH524295 JFD524295 JOZ524295 JYV524295 KIR524295 KSN524295 LCJ524295 LMF524295 LWB524295 MFX524295 MPT524295 MZP524295 NJL524295 NTH524295 ODD524295 OMZ524295 OWV524295 PGR524295 PQN524295 QAJ524295 QKF524295 QUB524295 RDX524295 RNT524295 RXP524295 SHL524295 SRH524295 TBD524295 TKZ524295 TUV524295 UER524295 UON524295 UYJ524295 VIF524295 VSB524295 WBX524295 WLT524295 WVP524295 H589831 JD589831 SZ589831 ACV589831 AMR589831 AWN589831 BGJ589831 BQF589831 CAB589831 CJX589831 CTT589831 DDP589831 DNL589831 DXH589831 EHD589831 EQZ589831 FAV589831 FKR589831 FUN589831 GEJ589831 GOF589831 GYB589831 HHX589831 HRT589831 IBP589831 ILL589831 IVH589831 JFD589831 JOZ589831 JYV589831 KIR589831 KSN589831 LCJ589831 LMF589831 LWB589831 MFX589831 MPT589831 MZP589831 NJL589831 NTH589831 ODD589831 OMZ589831 OWV589831 PGR589831 PQN589831 QAJ589831 QKF589831 QUB589831 RDX589831 RNT589831 RXP589831 SHL589831 SRH589831 TBD589831 TKZ589831 TUV589831 UER589831 UON589831 UYJ589831 VIF589831 VSB589831 WBX589831 WLT589831 WVP589831 H655367 JD655367 SZ655367 ACV655367 AMR655367 AWN655367 BGJ655367 BQF655367 CAB655367 CJX655367 CTT655367 DDP655367 DNL655367 DXH655367 EHD655367 EQZ655367 FAV655367 FKR655367 FUN655367 GEJ655367 GOF655367 GYB655367 HHX655367 HRT655367 IBP655367 ILL655367 IVH655367 JFD655367 JOZ655367 JYV655367 KIR655367 KSN655367 LCJ655367 LMF655367 LWB655367 MFX655367 MPT655367 MZP655367 NJL655367 NTH655367 ODD655367 OMZ655367 OWV655367 PGR655367 PQN655367 QAJ655367 QKF655367 QUB655367 RDX655367 RNT655367 RXP655367 SHL655367 SRH655367 TBD655367 TKZ655367 TUV655367 UER655367 UON655367 UYJ655367 VIF655367 VSB655367 WBX655367 WLT655367 WVP655367 H720903 JD720903 SZ720903 ACV720903 AMR720903 AWN720903 BGJ720903 BQF720903 CAB720903 CJX720903 CTT720903 DDP720903 DNL720903 DXH720903 EHD720903 EQZ720903 FAV720903 FKR720903 FUN720903 GEJ720903 GOF720903 GYB720903 HHX720903 HRT720903 IBP720903 ILL720903 IVH720903 JFD720903 JOZ720903 JYV720903 KIR720903 KSN720903 LCJ720903 LMF720903 LWB720903 MFX720903 MPT720903 MZP720903 NJL720903 NTH720903 ODD720903 OMZ720903 OWV720903 PGR720903 PQN720903 QAJ720903 QKF720903 QUB720903 RDX720903 RNT720903 RXP720903 SHL720903 SRH720903 TBD720903 TKZ720903 TUV720903 UER720903 UON720903 UYJ720903 VIF720903 VSB720903 WBX720903 WLT720903 WVP720903 H786439 JD786439 SZ786439 ACV786439 AMR786439 AWN786439 BGJ786439 BQF786439 CAB786439 CJX786439 CTT786439 DDP786439 DNL786439 DXH786439 EHD786439 EQZ786439 FAV786439 FKR786439 FUN786439 GEJ786439 GOF786439 GYB786439 HHX786439 HRT786439 IBP786439 ILL786439 IVH786439 JFD786439 JOZ786439 JYV786439 KIR786439 KSN786439 LCJ786439 LMF786439 LWB786439 MFX786439 MPT786439 MZP786439 NJL786439 NTH786439 ODD786439 OMZ786439 OWV786439 PGR786439 PQN786439 QAJ786439 QKF786439 QUB786439 RDX786439 RNT786439 RXP786439 SHL786439 SRH786439 TBD786439 TKZ786439 TUV786439 UER786439 UON786439 UYJ786439 VIF786439 VSB786439 WBX786439 WLT786439 WVP786439 H851975 JD851975 SZ851975 ACV851975 AMR851975 AWN851975 BGJ851975 BQF851975 CAB851975 CJX851975 CTT851975 DDP851975 DNL851975 DXH851975 EHD851975 EQZ851975 FAV851975 FKR851975 FUN851975 GEJ851975 GOF851975 GYB851975 HHX851975 HRT851975 IBP851975 ILL851975 IVH851975 JFD851975 JOZ851975 JYV851975 KIR851975 KSN851975 LCJ851975 LMF851975 LWB851975 MFX851975 MPT851975 MZP851975 NJL851975 NTH851975 ODD851975 OMZ851975 OWV851975 PGR851975 PQN851975 QAJ851975 QKF851975 QUB851975 RDX851975 RNT851975 RXP851975 SHL851975 SRH851975 TBD851975 TKZ851975 TUV851975 UER851975 UON851975 UYJ851975 VIF851975 VSB851975 WBX851975 WLT851975 WVP851975 H917511 JD917511 SZ917511 ACV917511 AMR917511 AWN917511 BGJ917511 BQF917511 CAB917511 CJX917511 CTT917511 DDP917511 DNL917511 DXH917511 EHD917511 EQZ917511 FAV917511 FKR917511 FUN917511 GEJ917511 GOF917511 GYB917511 HHX917511 HRT917511 IBP917511 ILL917511 IVH917511 JFD917511 JOZ917511 JYV917511 KIR917511 KSN917511 LCJ917511 LMF917511 LWB917511 MFX917511 MPT917511 MZP917511 NJL917511 NTH917511 ODD917511 OMZ917511 OWV917511 PGR917511 PQN917511 QAJ917511 QKF917511 QUB917511 RDX917511 RNT917511 RXP917511 SHL917511 SRH917511 TBD917511 TKZ917511 TUV917511 UER917511 UON917511 UYJ917511 VIF917511 VSB917511 WBX917511 WLT917511 WVP917511 H983047 JD983047 SZ983047 ACV983047 AMR983047 AWN983047 BGJ983047 BQF983047 CAB983047 CJX983047 CTT983047 DDP983047 DNL983047 DXH983047 EHD983047 EQZ983047 FAV983047 FKR983047 FUN983047 GEJ983047 GOF983047 GYB983047 HHX983047 HRT983047 IBP983047 ILL983047 IVH983047 JFD983047 JOZ983047 JYV983047 KIR983047 KSN983047 LCJ983047 LMF983047 LWB983047 MFX983047 MPT983047 MZP983047 NJL983047 NTH983047 ODD983047 OMZ983047 OWV983047 PGR983047 PQN983047 QAJ983047 QKF983047 QUB983047 RDX983047 RNT983047 RXP983047 SHL983047 SRH983047 TBD983047 TKZ983047 TUV983047 UER983047 UON983047 UYJ983047 VIF983047 VSB983047 WBX983047 WLT983047 WVP983047">
      <formula1>"Male, Female"</formula1>
    </dataValidation>
    <dataValidation type="list" allowBlank="1" showInputMessage="1" showErrorMessage="1" sqref="F16 JB16 SX16 ACT16 AMP16 AWL16 BGH16 BQD16 BZZ16 CJV16 CTR16 DDN16 DNJ16 DXF16 EHB16 EQX16 FAT16 FKP16 FUL16 GEH16 GOD16 GXZ16 HHV16 HRR16 IBN16 ILJ16 IVF16 JFB16 JOX16 JYT16 KIP16 KSL16 LCH16 LMD16 LVZ16 MFV16 MPR16 MZN16 NJJ16 NTF16 ODB16 OMX16 OWT16 PGP16 PQL16 QAH16 QKD16 QTZ16 RDV16 RNR16 RXN16 SHJ16 SRF16 TBB16 TKX16 TUT16 UEP16 UOL16 UYH16 VID16 VRZ16 WBV16 WLR16 WVN16 F65550 JB65550 SX65550 ACT65550 AMP65550 AWL65550 BGH65550 BQD65550 BZZ65550 CJV65550 CTR65550 DDN65550 DNJ65550 DXF65550 EHB65550 EQX65550 FAT65550 FKP65550 FUL65550 GEH65550 GOD65550 GXZ65550 HHV65550 HRR65550 IBN65550 ILJ65550 IVF65550 JFB65550 JOX65550 JYT65550 KIP65550 KSL65550 LCH65550 LMD65550 LVZ65550 MFV65550 MPR65550 MZN65550 NJJ65550 NTF65550 ODB65550 OMX65550 OWT65550 PGP65550 PQL65550 QAH65550 QKD65550 QTZ65550 RDV65550 RNR65550 RXN65550 SHJ65550 SRF65550 TBB65550 TKX65550 TUT65550 UEP65550 UOL65550 UYH65550 VID65550 VRZ65550 WBV65550 WLR65550 WVN65550 F131086 JB131086 SX131086 ACT131086 AMP131086 AWL131086 BGH131086 BQD131086 BZZ131086 CJV131086 CTR131086 DDN131086 DNJ131086 DXF131086 EHB131086 EQX131086 FAT131086 FKP131086 FUL131086 GEH131086 GOD131086 GXZ131086 HHV131086 HRR131086 IBN131086 ILJ131086 IVF131086 JFB131086 JOX131086 JYT131086 KIP131086 KSL131086 LCH131086 LMD131086 LVZ131086 MFV131086 MPR131086 MZN131086 NJJ131086 NTF131086 ODB131086 OMX131086 OWT131086 PGP131086 PQL131086 QAH131086 QKD131086 QTZ131086 RDV131086 RNR131086 RXN131086 SHJ131086 SRF131086 TBB131086 TKX131086 TUT131086 UEP131086 UOL131086 UYH131086 VID131086 VRZ131086 WBV131086 WLR131086 WVN131086 F196622 JB196622 SX196622 ACT196622 AMP196622 AWL196622 BGH196622 BQD196622 BZZ196622 CJV196622 CTR196622 DDN196622 DNJ196622 DXF196622 EHB196622 EQX196622 FAT196622 FKP196622 FUL196622 GEH196622 GOD196622 GXZ196622 HHV196622 HRR196622 IBN196622 ILJ196622 IVF196622 JFB196622 JOX196622 JYT196622 KIP196622 KSL196622 LCH196622 LMD196622 LVZ196622 MFV196622 MPR196622 MZN196622 NJJ196622 NTF196622 ODB196622 OMX196622 OWT196622 PGP196622 PQL196622 QAH196622 QKD196622 QTZ196622 RDV196622 RNR196622 RXN196622 SHJ196622 SRF196622 TBB196622 TKX196622 TUT196622 UEP196622 UOL196622 UYH196622 VID196622 VRZ196622 WBV196622 WLR196622 WVN196622 F262158 JB262158 SX262158 ACT262158 AMP262158 AWL262158 BGH262158 BQD262158 BZZ262158 CJV262158 CTR262158 DDN262158 DNJ262158 DXF262158 EHB262158 EQX262158 FAT262158 FKP262158 FUL262158 GEH262158 GOD262158 GXZ262158 HHV262158 HRR262158 IBN262158 ILJ262158 IVF262158 JFB262158 JOX262158 JYT262158 KIP262158 KSL262158 LCH262158 LMD262158 LVZ262158 MFV262158 MPR262158 MZN262158 NJJ262158 NTF262158 ODB262158 OMX262158 OWT262158 PGP262158 PQL262158 QAH262158 QKD262158 QTZ262158 RDV262158 RNR262158 RXN262158 SHJ262158 SRF262158 TBB262158 TKX262158 TUT262158 UEP262158 UOL262158 UYH262158 VID262158 VRZ262158 WBV262158 WLR262158 WVN262158 F327694 JB327694 SX327694 ACT327694 AMP327694 AWL327694 BGH327694 BQD327694 BZZ327694 CJV327694 CTR327694 DDN327694 DNJ327694 DXF327694 EHB327694 EQX327694 FAT327694 FKP327694 FUL327694 GEH327694 GOD327694 GXZ327694 HHV327694 HRR327694 IBN327694 ILJ327694 IVF327694 JFB327694 JOX327694 JYT327694 KIP327694 KSL327694 LCH327694 LMD327694 LVZ327694 MFV327694 MPR327694 MZN327694 NJJ327694 NTF327694 ODB327694 OMX327694 OWT327694 PGP327694 PQL327694 QAH327694 QKD327694 QTZ327694 RDV327694 RNR327694 RXN327694 SHJ327694 SRF327694 TBB327694 TKX327694 TUT327694 UEP327694 UOL327694 UYH327694 VID327694 VRZ327694 WBV327694 WLR327694 WVN327694 F393230 JB393230 SX393230 ACT393230 AMP393230 AWL393230 BGH393230 BQD393230 BZZ393230 CJV393230 CTR393230 DDN393230 DNJ393230 DXF393230 EHB393230 EQX393230 FAT393230 FKP393230 FUL393230 GEH393230 GOD393230 GXZ393230 HHV393230 HRR393230 IBN393230 ILJ393230 IVF393230 JFB393230 JOX393230 JYT393230 KIP393230 KSL393230 LCH393230 LMD393230 LVZ393230 MFV393230 MPR393230 MZN393230 NJJ393230 NTF393230 ODB393230 OMX393230 OWT393230 PGP393230 PQL393230 QAH393230 QKD393230 QTZ393230 RDV393230 RNR393230 RXN393230 SHJ393230 SRF393230 TBB393230 TKX393230 TUT393230 UEP393230 UOL393230 UYH393230 VID393230 VRZ393230 WBV393230 WLR393230 WVN393230 F458766 JB458766 SX458766 ACT458766 AMP458766 AWL458766 BGH458766 BQD458766 BZZ458766 CJV458766 CTR458766 DDN458766 DNJ458766 DXF458766 EHB458766 EQX458766 FAT458766 FKP458766 FUL458766 GEH458766 GOD458766 GXZ458766 HHV458766 HRR458766 IBN458766 ILJ458766 IVF458766 JFB458766 JOX458766 JYT458766 KIP458766 KSL458766 LCH458766 LMD458766 LVZ458766 MFV458766 MPR458766 MZN458766 NJJ458766 NTF458766 ODB458766 OMX458766 OWT458766 PGP458766 PQL458766 QAH458766 QKD458766 QTZ458766 RDV458766 RNR458766 RXN458766 SHJ458766 SRF458766 TBB458766 TKX458766 TUT458766 UEP458766 UOL458766 UYH458766 VID458766 VRZ458766 WBV458766 WLR458766 WVN458766 F524302 JB524302 SX524302 ACT524302 AMP524302 AWL524302 BGH524302 BQD524302 BZZ524302 CJV524302 CTR524302 DDN524302 DNJ524302 DXF524302 EHB524302 EQX524302 FAT524302 FKP524302 FUL524302 GEH524302 GOD524302 GXZ524302 HHV524302 HRR524302 IBN524302 ILJ524302 IVF524302 JFB524302 JOX524302 JYT524302 KIP524302 KSL524302 LCH524302 LMD524302 LVZ524302 MFV524302 MPR524302 MZN524302 NJJ524302 NTF524302 ODB524302 OMX524302 OWT524302 PGP524302 PQL524302 QAH524302 QKD524302 QTZ524302 RDV524302 RNR524302 RXN524302 SHJ524302 SRF524302 TBB524302 TKX524302 TUT524302 UEP524302 UOL524302 UYH524302 VID524302 VRZ524302 WBV524302 WLR524302 WVN524302 F589838 JB589838 SX589838 ACT589838 AMP589838 AWL589838 BGH589838 BQD589838 BZZ589838 CJV589838 CTR589838 DDN589838 DNJ589838 DXF589838 EHB589838 EQX589838 FAT589838 FKP589838 FUL589838 GEH589838 GOD589838 GXZ589838 HHV589838 HRR589838 IBN589838 ILJ589838 IVF589838 JFB589838 JOX589838 JYT589838 KIP589838 KSL589838 LCH589838 LMD589838 LVZ589838 MFV589838 MPR589838 MZN589838 NJJ589838 NTF589838 ODB589838 OMX589838 OWT589838 PGP589838 PQL589838 QAH589838 QKD589838 QTZ589838 RDV589838 RNR589838 RXN589838 SHJ589838 SRF589838 TBB589838 TKX589838 TUT589838 UEP589838 UOL589838 UYH589838 VID589838 VRZ589838 WBV589838 WLR589838 WVN589838 F655374 JB655374 SX655374 ACT655374 AMP655374 AWL655374 BGH655374 BQD655374 BZZ655374 CJV655374 CTR655374 DDN655374 DNJ655374 DXF655374 EHB655374 EQX655374 FAT655374 FKP655374 FUL655374 GEH655374 GOD655374 GXZ655374 HHV655374 HRR655374 IBN655374 ILJ655374 IVF655374 JFB655374 JOX655374 JYT655374 KIP655374 KSL655374 LCH655374 LMD655374 LVZ655374 MFV655374 MPR655374 MZN655374 NJJ655374 NTF655374 ODB655374 OMX655374 OWT655374 PGP655374 PQL655374 QAH655374 QKD655374 QTZ655374 RDV655374 RNR655374 RXN655374 SHJ655374 SRF655374 TBB655374 TKX655374 TUT655374 UEP655374 UOL655374 UYH655374 VID655374 VRZ655374 WBV655374 WLR655374 WVN655374 F720910 JB720910 SX720910 ACT720910 AMP720910 AWL720910 BGH720910 BQD720910 BZZ720910 CJV720910 CTR720910 DDN720910 DNJ720910 DXF720910 EHB720910 EQX720910 FAT720910 FKP720910 FUL720910 GEH720910 GOD720910 GXZ720910 HHV720910 HRR720910 IBN720910 ILJ720910 IVF720910 JFB720910 JOX720910 JYT720910 KIP720910 KSL720910 LCH720910 LMD720910 LVZ720910 MFV720910 MPR720910 MZN720910 NJJ720910 NTF720910 ODB720910 OMX720910 OWT720910 PGP720910 PQL720910 QAH720910 QKD720910 QTZ720910 RDV720910 RNR720910 RXN720910 SHJ720910 SRF720910 TBB720910 TKX720910 TUT720910 UEP720910 UOL720910 UYH720910 VID720910 VRZ720910 WBV720910 WLR720910 WVN720910 F786446 JB786446 SX786446 ACT786446 AMP786446 AWL786446 BGH786446 BQD786446 BZZ786446 CJV786446 CTR786446 DDN786446 DNJ786446 DXF786446 EHB786446 EQX786446 FAT786446 FKP786446 FUL786446 GEH786446 GOD786446 GXZ786446 HHV786446 HRR786446 IBN786446 ILJ786446 IVF786446 JFB786446 JOX786446 JYT786446 KIP786446 KSL786446 LCH786446 LMD786446 LVZ786446 MFV786446 MPR786446 MZN786446 NJJ786446 NTF786446 ODB786446 OMX786446 OWT786446 PGP786446 PQL786446 QAH786446 QKD786446 QTZ786446 RDV786446 RNR786446 RXN786446 SHJ786446 SRF786446 TBB786446 TKX786446 TUT786446 UEP786446 UOL786446 UYH786446 VID786446 VRZ786446 WBV786446 WLR786446 WVN786446 F851982 JB851982 SX851982 ACT851982 AMP851982 AWL851982 BGH851982 BQD851982 BZZ851982 CJV851982 CTR851982 DDN851982 DNJ851982 DXF851982 EHB851982 EQX851982 FAT851982 FKP851982 FUL851982 GEH851982 GOD851982 GXZ851982 HHV851982 HRR851982 IBN851982 ILJ851982 IVF851982 JFB851982 JOX851982 JYT851982 KIP851982 KSL851982 LCH851982 LMD851982 LVZ851982 MFV851982 MPR851982 MZN851982 NJJ851982 NTF851982 ODB851982 OMX851982 OWT851982 PGP851982 PQL851982 QAH851982 QKD851982 QTZ851982 RDV851982 RNR851982 RXN851982 SHJ851982 SRF851982 TBB851982 TKX851982 TUT851982 UEP851982 UOL851982 UYH851982 VID851982 VRZ851982 WBV851982 WLR851982 WVN851982 F917518 JB917518 SX917518 ACT917518 AMP917518 AWL917518 BGH917518 BQD917518 BZZ917518 CJV917518 CTR917518 DDN917518 DNJ917518 DXF917518 EHB917518 EQX917518 FAT917518 FKP917518 FUL917518 GEH917518 GOD917518 GXZ917518 HHV917518 HRR917518 IBN917518 ILJ917518 IVF917518 JFB917518 JOX917518 JYT917518 KIP917518 KSL917518 LCH917518 LMD917518 LVZ917518 MFV917518 MPR917518 MZN917518 NJJ917518 NTF917518 ODB917518 OMX917518 OWT917518 PGP917518 PQL917518 QAH917518 QKD917518 QTZ917518 RDV917518 RNR917518 RXN917518 SHJ917518 SRF917518 TBB917518 TKX917518 TUT917518 UEP917518 UOL917518 UYH917518 VID917518 VRZ917518 WBV917518 WLR917518 WVN917518 F983054 JB983054 SX983054 ACT983054 AMP983054 AWL983054 BGH983054 BQD983054 BZZ983054 CJV983054 CTR983054 DDN983054 DNJ983054 DXF983054 EHB983054 EQX983054 FAT983054 FKP983054 FUL983054 GEH983054 GOD983054 GXZ983054 HHV983054 HRR983054 IBN983054 ILJ983054 IVF983054 JFB983054 JOX983054 JYT983054 KIP983054 KSL983054 LCH983054 LMD983054 LVZ983054 MFV983054 MPR983054 MZN983054 NJJ983054 NTF983054 ODB983054 OMX983054 OWT983054 PGP983054 PQL983054 QAH983054 QKD983054 QTZ983054 RDV983054 RNR983054 RXN983054 SHJ983054 SRF983054 TBB983054 TKX983054 TUT983054 UEP983054 UOL983054 UYH983054 VID983054 VRZ983054 WBV983054 WLR983054 WVN983054">
      <formula1>"None, Primary, Secondary, College, BA and above"</formula1>
    </dataValidation>
    <dataValidation type="list" allowBlank="1" showInputMessage="1" showErrorMessage="1" sqref="C1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WVK983054">
      <formula1>"Single, Married, Divorced, Widowed"</formula1>
    </dataValidation>
    <dataValidation type="list" allowBlank="1" showInputMessage="1" showErrorMessage="1" sqref="D44">
      <formula1>" Bi-Weekly,Monthly, Quarterly, Semi-annual, Annual"</formula1>
    </dataValidation>
    <dataValidation allowBlank="1" showInputMessage="1" showErrorMessage="1" promptTitle="Attention:" prompt="Encode quantity of each item to be purchased" sqref="C57:C67 C69:C78"/>
    <dataValidation allowBlank="1" showInputMessage="1" showErrorMessage="1" promptTitle="Attention:" prompt="List items to be purchased by additional resource from the loan" sqref="B57:B64"/>
    <dataValidation allowBlank="1" showInputMessage="1" showErrorMessage="1" promptTitle="Attention:" prompt="Encode price per unit of items to be purchased" sqref="D57:D67 D69:D78"/>
    <dataValidation allowBlank="1" showInputMessage="1" showErrorMessage="1" promptTitle="Attention:" prompt="Please indicate loan tenure in # of months" sqref="C44"/>
    <dataValidation allowBlank="1" showInputMessage="1" showErrorMessage="1" promptTitle="Attention:" prompt="This indicates the amount the owner is willing to contribute towards planned activity" sqref="C46"/>
    <dataValidation type="whole" operator="greaterThan" allowBlank="1" showInputMessage="1" showErrorMessage="1" promptTitle="Note!" prompt="please put expected number of employees(total) after the loan" sqref="E35:E38">
      <formula1>0</formula1>
    </dataValidation>
    <dataValidation type="whole" operator="greaterThan" allowBlank="1" showInputMessage="1" showErrorMessage="1" promptTitle="Note!" prompt="Put number of existing staff by term of employment" sqref="C35:C38">
      <formula1>0</formula1>
    </dataValidation>
    <dataValidation type="whole" operator="greaterThan" allowBlank="1" showInputMessage="1" showErrorMessage="1" sqref="D35:D38">
      <formula1>0</formula1>
    </dataValidation>
    <dataValidation type="list" allowBlank="1" showInputMessage="1" showErrorMessage="1" sqref="F44">
      <formula1>"Declining, Flat"</formula1>
    </dataValidation>
    <dataValidation type="list" allowBlank="1" showInputMessage="1" showErrorMessage="1" sqref="C4:D4">
      <formula1>"WEDP, Regular MSME loan, YouthFund, Enterprise Loan, Business Loan, Others"</formula1>
    </dataValidation>
    <dataValidation allowBlank="1" showInputMessage="1" showErrorMessage="1" prompt="List items to be purchased by additional resource from the loan" sqref="B65:B78"/>
  </dataValidations>
  <pageMargins left="0.24" right="0.24" top="0.86" bottom="0.54" header="0.3" footer="0.511811023622047"/>
  <pageSetup paperSize="9" scale="75" orientation="portrait" r:id="rId1"/>
  <headerFooter alignWithMargins="0"/>
</worksheet>
</file>

<file path=xl/worksheets/sheet3.xml><?xml version="1.0" encoding="utf-8"?>
<worksheet xmlns="http://schemas.openxmlformats.org/spreadsheetml/2006/main" xmlns:r="http://schemas.openxmlformats.org/officeDocument/2006/relationships">
  <sheetPr>
    <tabColor theme="6" tint="-0.249977111117893"/>
  </sheetPr>
  <dimension ref="A1:Z105"/>
  <sheetViews>
    <sheetView showGridLines="0" topLeftCell="A42" zoomScale="110" zoomScaleNormal="110" workbookViewId="0">
      <selection activeCell="C5" sqref="C5"/>
    </sheetView>
  </sheetViews>
  <sheetFormatPr defaultColWidth="9.140625" defaultRowHeight="15"/>
  <cols>
    <col min="1" max="1" width="6.28515625" customWidth="1"/>
    <col min="2" max="2" width="36.85546875" customWidth="1"/>
    <col min="3" max="3" width="17.28515625" customWidth="1"/>
    <col min="4" max="4" width="14.85546875" customWidth="1"/>
    <col min="5" max="5" width="9.85546875" customWidth="1"/>
    <col min="6" max="6" width="9.5703125" customWidth="1"/>
    <col min="7" max="7" width="11.85546875" customWidth="1"/>
    <col min="8" max="8" width="13.140625" customWidth="1"/>
    <col min="9" max="9" width="10.140625" customWidth="1"/>
    <col min="10" max="10" width="7.85546875" customWidth="1"/>
    <col min="11" max="11" width="7.5703125" customWidth="1"/>
    <col min="12" max="18" width="9.140625" customWidth="1"/>
    <col min="24" max="24" width="13.42578125" customWidth="1"/>
    <col min="257" max="257" width="6.28515625" customWidth="1"/>
    <col min="258" max="258" width="40" customWidth="1"/>
    <col min="259" max="259" width="17.28515625" customWidth="1"/>
    <col min="260" max="260" width="15.85546875" customWidth="1"/>
    <col min="261" max="261" width="13" customWidth="1"/>
    <col min="262" max="262" width="14.5703125" customWidth="1"/>
    <col min="263" max="263" width="14.42578125" customWidth="1"/>
    <col min="264" max="264" width="15.5703125" customWidth="1"/>
    <col min="265" max="265" width="11.5703125" customWidth="1"/>
    <col min="266" max="266" width="8.140625" customWidth="1"/>
    <col min="267" max="274" width="9.140625" customWidth="1"/>
    <col min="280" max="280" width="13.42578125" customWidth="1"/>
    <col min="513" max="513" width="6.28515625" customWidth="1"/>
    <col min="514" max="514" width="40" customWidth="1"/>
    <col min="515" max="515" width="17.28515625" customWidth="1"/>
    <col min="516" max="516" width="15.85546875" customWidth="1"/>
    <col min="517" max="517" width="13" customWidth="1"/>
    <col min="518" max="518" width="14.5703125" customWidth="1"/>
    <col min="519" max="519" width="14.42578125" customWidth="1"/>
    <col min="520" max="520" width="15.5703125" customWidth="1"/>
    <col min="521" max="521" width="11.5703125" customWidth="1"/>
    <col min="522" max="522" width="8.140625" customWidth="1"/>
    <col min="523" max="530" width="9.140625" customWidth="1"/>
    <col min="536" max="536" width="13.42578125" customWidth="1"/>
    <col min="769" max="769" width="6.28515625" customWidth="1"/>
    <col min="770" max="770" width="40" customWidth="1"/>
    <col min="771" max="771" width="17.28515625" customWidth="1"/>
    <col min="772" max="772" width="15.85546875" customWidth="1"/>
    <col min="773" max="773" width="13" customWidth="1"/>
    <col min="774" max="774" width="14.5703125" customWidth="1"/>
    <col min="775" max="775" width="14.42578125" customWidth="1"/>
    <col min="776" max="776" width="15.5703125" customWidth="1"/>
    <col min="777" max="777" width="11.5703125" customWidth="1"/>
    <col min="778" max="778" width="8.140625" customWidth="1"/>
    <col min="779" max="786" width="9.140625" customWidth="1"/>
    <col min="792" max="792" width="13.42578125" customWidth="1"/>
    <col min="1025" max="1025" width="6.28515625" customWidth="1"/>
    <col min="1026" max="1026" width="40" customWidth="1"/>
    <col min="1027" max="1027" width="17.28515625" customWidth="1"/>
    <col min="1028" max="1028" width="15.85546875" customWidth="1"/>
    <col min="1029" max="1029" width="13" customWidth="1"/>
    <col min="1030" max="1030" width="14.5703125" customWidth="1"/>
    <col min="1031" max="1031" width="14.42578125" customWidth="1"/>
    <col min="1032" max="1032" width="15.5703125" customWidth="1"/>
    <col min="1033" max="1033" width="11.5703125" customWidth="1"/>
    <col min="1034" max="1034" width="8.140625" customWidth="1"/>
    <col min="1035" max="1042" width="9.140625" customWidth="1"/>
    <col min="1048" max="1048" width="13.42578125" customWidth="1"/>
    <col min="1281" max="1281" width="6.28515625" customWidth="1"/>
    <col min="1282" max="1282" width="40" customWidth="1"/>
    <col min="1283" max="1283" width="17.28515625" customWidth="1"/>
    <col min="1284" max="1284" width="15.85546875" customWidth="1"/>
    <col min="1285" max="1285" width="13" customWidth="1"/>
    <col min="1286" max="1286" width="14.5703125" customWidth="1"/>
    <col min="1287" max="1287" width="14.42578125" customWidth="1"/>
    <col min="1288" max="1288" width="15.5703125" customWidth="1"/>
    <col min="1289" max="1289" width="11.5703125" customWidth="1"/>
    <col min="1290" max="1290" width="8.140625" customWidth="1"/>
    <col min="1291" max="1298" width="9.140625" customWidth="1"/>
    <col min="1304" max="1304" width="13.42578125" customWidth="1"/>
    <col min="1537" max="1537" width="6.28515625" customWidth="1"/>
    <col min="1538" max="1538" width="40" customWidth="1"/>
    <col min="1539" max="1539" width="17.28515625" customWidth="1"/>
    <col min="1540" max="1540" width="15.85546875" customWidth="1"/>
    <col min="1541" max="1541" width="13" customWidth="1"/>
    <col min="1542" max="1542" width="14.5703125" customWidth="1"/>
    <col min="1543" max="1543" width="14.42578125" customWidth="1"/>
    <col min="1544" max="1544" width="15.5703125" customWidth="1"/>
    <col min="1545" max="1545" width="11.5703125" customWidth="1"/>
    <col min="1546" max="1546" width="8.140625" customWidth="1"/>
    <col min="1547" max="1554" width="9.140625" customWidth="1"/>
    <col min="1560" max="1560" width="13.42578125" customWidth="1"/>
    <col min="1793" max="1793" width="6.28515625" customWidth="1"/>
    <col min="1794" max="1794" width="40" customWidth="1"/>
    <col min="1795" max="1795" width="17.28515625" customWidth="1"/>
    <col min="1796" max="1796" width="15.85546875" customWidth="1"/>
    <col min="1797" max="1797" width="13" customWidth="1"/>
    <col min="1798" max="1798" width="14.5703125" customWidth="1"/>
    <col min="1799" max="1799" width="14.42578125" customWidth="1"/>
    <col min="1800" max="1800" width="15.5703125" customWidth="1"/>
    <col min="1801" max="1801" width="11.5703125" customWidth="1"/>
    <col min="1802" max="1802" width="8.140625" customWidth="1"/>
    <col min="1803" max="1810" width="9.140625" customWidth="1"/>
    <col min="1816" max="1816" width="13.42578125" customWidth="1"/>
    <col min="2049" max="2049" width="6.28515625" customWidth="1"/>
    <col min="2050" max="2050" width="40" customWidth="1"/>
    <col min="2051" max="2051" width="17.28515625" customWidth="1"/>
    <col min="2052" max="2052" width="15.85546875" customWidth="1"/>
    <col min="2053" max="2053" width="13" customWidth="1"/>
    <col min="2054" max="2054" width="14.5703125" customWidth="1"/>
    <col min="2055" max="2055" width="14.42578125" customWidth="1"/>
    <col min="2056" max="2056" width="15.5703125" customWidth="1"/>
    <col min="2057" max="2057" width="11.5703125" customWidth="1"/>
    <col min="2058" max="2058" width="8.140625" customWidth="1"/>
    <col min="2059" max="2066" width="9.140625" customWidth="1"/>
    <col min="2072" max="2072" width="13.42578125" customWidth="1"/>
    <col min="2305" max="2305" width="6.28515625" customWidth="1"/>
    <col min="2306" max="2306" width="40" customWidth="1"/>
    <col min="2307" max="2307" width="17.28515625" customWidth="1"/>
    <col min="2308" max="2308" width="15.85546875" customWidth="1"/>
    <col min="2309" max="2309" width="13" customWidth="1"/>
    <col min="2310" max="2310" width="14.5703125" customWidth="1"/>
    <col min="2311" max="2311" width="14.42578125" customWidth="1"/>
    <col min="2312" max="2312" width="15.5703125" customWidth="1"/>
    <col min="2313" max="2313" width="11.5703125" customWidth="1"/>
    <col min="2314" max="2314" width="8.140625" customWidth="1"/>
    <col min="2315" max="2322" width="9.140625" customWidth="1"/>
    <col min="2328" max="2328" width="13.42578125" customWidth="1"/>
    <col min="2561" max="2561" width="6.28515625" customWidth="1"/>
    <col min="2562" max="2562" width="40" customWidth="1"/>
    <col min="2563" max="2563" width="17.28515625" customWidth="1"/>
    <col min="2564" max="2564" width="15.85546875" customWidth="1"/>
    <col min="2565" max="2565" width="13" customWidth="1"/>
    <col min="2566" max="2566" width="14.5703125" customWidth="1"/>
    <col min="2567" max="2567" width="14.42578125" customWidth="1"/>
    <col min="2568" max="2568" width="15.5703125" customWidth="1"/>
    <col min="2569" max="2569" width="11.5703125" customWidth="1"/>
    <col min="2570" max="2570" width="8.140625" customWidth="1"/>
    <col min="2571" max="2578" width="9.140625" customWidth="1"/>
    <col min="2584" max="2584" width="13.42578125" customWidth="1"/>
    <col min="2817" max="2817" width="6.28515625" customWidth="1"/>
    <col min="2818" max="2818" width="40" customWidth="1"/>
    <col min="2819" max="2819" width="17.28515625" customWidth="1"/>
    <col min="2820" max="2820" width="15.85546875" customWidth="1"/>
    <col min="2821" max="2821" width="13" customWidth="1"/>
    <col min="2822" max="2822" width="14.5703125" customWidth="1"/>
    <col min="2823" max="2823" width="14.42578125" customWidth="1"/>
    <col min="2824" max="2824" width="15.5703125" customWidth="1"/>
    <col min="2825" max="2825" width="11.5703125" customWidth="1"/>
    <col min="2826" max="2826" width="8.140625" customWidth="1"/>
    <col min="2827" max="2834" width="9.140625" customWidth="1"/>
    <col min="2840" max="2840" width="13.42578125" customWidth="1"/>
    <col min="3073" max="3073" width="6.28515625" customWidth="1"/>
    <col min="3074" max="3074" width="40" customWidth="1"/>
    <col min="3075" max="3075" width="17.28515625" customWidth="1"/>
    <col min="3076" max="3076" width="15.85546875" customWidth="1"/>
    <col min="3077" max="3077" width="13" customWidth="1"/>
    <col min="3078" max="3078" width="14.5703125" customWidth="1"/>
    <col min="3079" max="3079" width="14.42578125" customWidth="1"/>
    <col min="3080" max="3080" width="15.5703125" customWidth="1"/>
    <col min="3081" max="3081" width="11.5703125" customWidth="1"/>
    <col min="3082" max="3082" width="8.140625" customWidth="1"/>
    <col min="3083" max="3090" width="9.140625" customWidth="1"/>
    <col min="3096" max="3096" width="13.42578125" customWidth="1"/>
    <col min="3329" max="3329" width="6.28515625" customWidth="1"/>
    <col min="3330" max="3330" width="40" customWidth="1"/>
    <col min="3331" max="3331" width="17.28515625" customWidth="1"/>
    <col min="3332" max="3332" width="15.85546875" customWidth="1"/>
    <col min="3333" max="3333" width="13" customWidth="1"/>
    <col min="3334" max="3334" width="14.5703125" customWidth="1"/>
    <col min="3335" max="3335" width="14.42578125" customWidth="1"/>
    <col min="3336" max="3336" width="15.5703125" customWidth="1"/>
    <col min="3337" max="3337" width="11.5703125" customWidth="1"/>
    <col min="3338" max="3338" width="8.140625" customWidth="1"/>
    <col min="3339" max="3346" width="9.140625" customWidth="1"/>
    <col min="3352" max="3352" width="13.42578125" customWidth="1"/>
    <col min="3585" max="3585" width="6.28515625" customWidth="1"/>
    <col min="3586" max="3586" width="40" customWidth="1"/>
    <col min="3587" max="3587" width="17.28515625" customWidth="1"/>
    <col min="3588" max="3588" width="15.85546875" customWidth="1"/>
    <col min="3589" max="3589" width="13" customWidth="1"/>
    <col min="3590" max="3590" width="14.5703125" customWidth="1"/>
    <col min="3591" max="3591" width="14.42578125" customWidth="1"/>
    <col min="3592" max="3592" width="15.5703125" customWidth="1"/>
    <col min="3593" max="3593" width="11.5703125" customWidth="1"/>
    <col min="3594" max="3594" width="8.140625" customWidth="1"/>
    <col min="3595" max="3602" width="9.140625" customWidth="1"/>
    <col min="3608" max="3608" width="13.42578125" customWidth="1"/>
    <col min="3841" max="3841" width="6.28515625" customWidth="1"/>
    <col min="3842" max="3842" width="40" customWidth="1"/>
    <col min="3843" max="3843" width="17.28515625" customWidth="1"/>
    <col min="3844" max="3844" width="15.85546875" customWidth="1"/>
    <col min="3845" max="3845" width="13" customWidth="1"/>
    <col min="3846" max="3846" width="14.5703125" customWidth="1"/>
    <col min="3847" max="3847" width="14.42578125" customWidth="1"/>
    <col min="3848" max="3848" width="15.5703125" customWidth="1"/>
    <col min="3849" max="3849" width="11.5703125" customWidth="1"/>
    <col min="3850" max="3850" width="8.140625" customWidth="1"/>
    <col min="3851" max="3858" width="9.140625" customWidth="1"/>
    <col min="3864" max="3864" width="13.42578125" customWidth="1"/>
    <col min="4097" max="4097" width="6.28515625" customWidth="1"/>
    <col min="4098" max="4098" width="40" customWidth="1"/>
    <col min="4099" max="4099" width="17.28515625" customWidth="1"/>
    <col min="4100" max="4100" width="15.85546875" customWidth="1"/>
    <col min="4101" max="4101" width="13" customWidth="1"/>
    <col min="4102" max="4102" width="14.5703125" customWidth="1"/>
    <col min="4103" max="4103" width="14.42578125" customWidth="1"/>
    <col min="4104" max="4104" width="15.5703125" customWidth="1"/>
    <col min="4105" max="4105" width="11.5703125" customWidth="1"/>
    <col min="4106" max="4106" width="8.140625" customWidth="1"/>
    <col min="4107" max="4114" width="9.140625" customWidth="1"/>
    <col min="4120" max="4120" width="13.42578125" customWidth="1"/>
    <col min="4353" max="4353" width="6.28515625" customWidth="1"/>
    <col min="4354" max="4354" width="40" customWidth="1"/>
    <col min="4355" max="4355" width="17.28515625" customWidth="1"/>
    <col min="4356" max="4356" width="15.85546875" customWidth="1"/>
    <col min="4357" max="4357" width="13" customWidth="1"/>
    <col min="4358" max="4358" width="14.5703125" customWidth="1"/>
    <col min="4359" max="4359" width="14.42578125" customWidth="1"/>
    <col min="4360" max="4360" width="15.5703125" customWidth="1"/>
    <col min="4361" max="4361" width="11.5703125" customWidth="1"/>
    <col min="4362" max="4362" width="8.140625" customWidth="1"/>
    <col min="4363" max="4370" width="9.140625" customWidth="1"/>
    <col min="4376" max="4376" width="13.42578125" customWidth="1"/>
    <col min="4609" max="4609" width="6.28515625" customWidth="1"/>
    <col min="4610" max="4610" width="40" customWidth="1"/>
    <col min="4611" max="4611" width="17.28515625" customWidth="1"/>
    <col min="4612" max="4612" width="15.85546875" customWidth="1"/>
    <col min="4613" max="4613" width="13" customWidth="1"/>
    <col min="4614" max="4614" width="14.5703125" customWidth="1"/>
    <col min="4615" max="4615" width="14.42578125" customWidth="1"/>
    <col min="4616" max="4616" width="15.5703125" customWidth="1"/>
    <col min="4617" max="4617" width="11.5703125" customWidth="1"/>
    <col min="4618" max="4618" width="8.140625" customWidth="1"/>
    <col min="4619" max="4626" width="9.140625" customWidth="1"/>
    <col min="4632" max="4632" width="13.42578125" customWidth="1"/>
    <col min="4865" max="4865" width="6.28515625" customWidth="1"/>
    <col min="4866" max="4866" width="40" customWidth="1"/>
    <col min="4867" max="4867" width="17.28515625" customWidth="1"/>
    <col min="4868" max="4868" width="15.85546875" customWidth="1"/>
    <col min="4869" max="4869" width="13" customWidth="1"/>
    <col min="4870" max="4870" width="14.5703125" customWidth="1"/>
    <col min="4871" max="4871" width="14.42578125" customWidth="1"/>
    <col min="4872" max="4872" width="15.5703125" customWidth="1"/>
    <col min="4873" max="4873" width="11.5703125" customWidth="1"/>
    <col min="4874" max="4874" width="8.140625" customWidth="1"/>
    <col min="4875" max="4882" width="9.140625" customWidth="1"/>
    <col min="4888" max="4888" width="13.42578125" customWidth="1"/>
    <col min="5121" max="5121" width="6.28515625" customWidth="1"/>
    <col min="5122" max="5122" width="40" customWidth="1"/>
    <col min="5123" max="5123" width="17.28515625" customWidth="1"/>
    <col min="5124" max="5124" width="15.85546875" customWidth="1"/>
    <col min="5125" max="5125" width="13" customWidth="1"/>
    <col min="5126" max="5126" width="14.5703125" customWidth="1"/>
    <col min="5127" max="5127" width="14.42578125" customWidth="1"/>
    <col min="5128" max="5128" width="15.5703125" customWidth="1"/>
    <col min="5129" max="5129" width="11.5703125" customWidth="1"/>
    <col min="5130" max="5130" width="8.140625" customWidth="1"/>
    <col min="5131" max="5138" width="9.140625" customWidth="1"/>
    <col min="5144" max="5144" width="13.42578125" customWidth="1"/>
    <col min="5377" max="5377" width="6.28515625" customWidth="1"/>
    <col min="5378" max="5378" width="40" customWidth="1"/>
    <col min="5379" max="5379" width="17.28515625" customWidth="1"/>
    <col min="5380" max="5380" width="15.85546875" customWidth="1"/>
    <col min="5381" max="5381" width="13" customWidth="1"/>
    <col min="5382" max="5382" width="14.5703125" customWidth="1"/>
    <col min="5383" max="5383" width="14.42578125" customWidth="1"/>
    <col min="5384" max="5384" width="15.5703125" customWidth="1"/>
    <col min="5385" max="5385" width="11.5703125" customWidth="1"/>
    <col min="5386" max="5386" width="8.140625" customWidth="1"/>
    <col min="5387" max="5394" width="9.140625" customWidth="1"/>
    <col min="5400" max="5400" width="13.42578125" customWidth="1"/>
    <col min="5633" max="5633" width="6.28515625" customWidth="1"/>
    <col min="5634" max="5634" width="40" customWidth="1"/>
    <col min="5635" max="5635" width="17.28515625" customWidth="1"/>
    <col min="5636" max="5636" width="15.85546875" customWidth="1"/>
    <col min="5637" max="5637" width="13" customWidth="1"/>
    <col min="5638" max="5638" width="14.5703125" customWidth="1"/>
    <col min="5639" max="5639" width="14.42578125" customWidth="1"/>
    <col min="5640" max="5640" width="15.5703125" customWidth="1"/>
    <col min="5641" max="5641" width="11.5703125" customWidth="1"/>
    <col min="5642" max="5642" width="8.140625" customWidth="1"/>
    <col min="5643" max="5650" width="9.140625" customWidth="1"/>
    <col min="5656" max="5656" width="13.42578125" customWidth="1"/>
    <col min="5889" max="5889" width="6.28515625" customWidth="1"/>
    <col min="5890" max="5890" width="40" customWidth="1"/>
    <col min="5891" max="5891" width="17.28515625" customWidth="1"/>
    <col min="5892" max="5892" width="15.85546875" customWidth="1"/>
    <col min="5893" max="5893" width="13" customWidth="1"/>
    <col min="5894" max="5894" width="14.5703125" customWidth="1"/>
    <col min="5895" max="5895" width="14.42578125" customWidth="1"/>
    <col min="5896" max="5896" width="15.5703125" customWidth="1"/>
    <col min="5897" max="5897" width="11.5703125" customWidth="1"/>
    <col min="5898" max="5898" width="8.140625" customWidth="1"/>
    <col min="5899" max="5906" width="9.140625" customWidth="1"/>
    <col min="5912" max="5912" width="13.42578125" customWidth="1"/>
    <col min="6145" max="6145" width="6.28515625" customWidth="1"/>
    <col min="6146" max="6146" width="40" customWidth="1"/>
    <col min="6147" max="6147" width="17.28515625" customWidth="1"/>
    <col min="6148" max="6148" width="15.85546875" customWidth="1"/>
    <col min="6149" max="6149" width="13" customWidth="1"/>
    <col min="6150" max="6150" width="14.5703125" customWidth="1"/>
    <col min="6151" max="6151" width="14.42578125" customWidth="1"/>
    <col min="6152" max="6152" width="15.5703125" customWidth="1"/>
    <col min="6153" max="6153" width="11.5703125" customWidth="1"/>
    <col min="6154" max="6154" width="8.140625" customWidth="1"/>
    <col min="6155" max="6162" width="9.140625" customWidth="1"/>
    <col min="6168" max="6168" width="13.42578125" customWidth="1"/>
    <col min="6401" max="6401" width="6.28515625" customWidth="1"/>
    <col min="6402" max="6402" width="40" customWidth="1"/>
    <col min="6403" max="6403" width="17.28515625" customWidth="1"/>
    <col min="6404" max="6404" width="15.85546875" customWidth="1"/>
    <col min="6405" max="6405" width="13" customWidth="1"/>
    <col min="6406" max="6406" width="14.5703125" customWidth="1"/>
    <col min="6407" max="6407" width="14.42578125" customWidth="1"/>
    <col min="6408" max="6408" width="15.5703125" customWidth="1"/>
    <col min="6409" max="6409" width="11.5703125" customWidth="1"/>
    <col min="6410" max="6410" width="8.140625" customWidth="1"/>
    <col min="6411" max="6418" width="9.140625" customWidth="1"/>
    <col min="6424" max="6424" width="13.42578125" customWidth="1"/>
    <col min="6657" max="6657" width="6.28515625" customWidth="1"/>
    <col min="6658" max="6658" width="40" customWidth="1"/>
    <col min="6659" max="6659" width="17.28515625" customWidth="1"/>
    <col min="6660" max="6660" width="15.85546875" customWidth="1"/>
    <col min="6661" max="6661" width="13" customWidth="1"/>
    <col min="6662" max="6662" width="14.5703125" customWidth="1"/>
    <col min="6663" max="6663" width="14.42578125" customWidth="1"/>
    <col min="6664" max="6664" width="15.5703125" customWidth="1"/>
    <col min="6665" max="6665" width="11.5703125" customWidth="1"/>
    <col min="6666" max="6666" width="8.140625" customWidth="1"/>
    <col min="6667" max="6674" width="9.140625" customWidth="1"/>
    <col min="6680" max="6680" width="13.42578125" customWidth="1"/>
    <col min="6913" max="6913" width="6.28515625" customWidth="1"/>
    <col min="6914" max="6914" width="40" customWidth="1"/>
    <col min="6915" max="6915" width="17.28515625" customWidth="1"/>
    <col min="6916" max="6916" width="15.85546875" customWidth="1"/>
    <col min="6917" max="6917" width="13" customWidth="1"/>
    <col min="6918" max="6918" width="14.5703125" customWidth="1"/>
    <col min="6919" max="6919" width="14.42578125" customWidth="1"/>
    <col min="6920" max="6920" width="15.5703125" customWidth="1"/>
    <col min="6921" max="6921" width="11.5703125" customWidth="1"/>
    <col min="6922" max="6922" width="8.140625" customWidth="1"/>
    <col min="6923" max="6930" width="9.140625" customWidth="1"/>
    <col min="6936" max="6936" width="13.42578125" customWidth="1"/>
    <col min="7169" max="7169" width="6.28515625" customWidth="1"/>
    <col min="7170" max="7170" width="40" customWidth="1"/>
    <col min="7171" max="7171" width="17.28515625" customWidth="1"/>
    <col min="7172" max="7172" width="15.85546875" customWidth="1"/>
    <col min="7173" max="7173" width="13" customWidth="1"/>
    <col min="7174" max="7174" width="14.5703125" customWidth="1"/>
    <col min="7175" max="7175" width="14.42578125" customWidth="1"/>
    <col min="7176" max="7176" width="15.5703125" customWidth="1"/>
    <col min="7177" max="7177" width="11.5703125" customWidth="1"/>
    <col min="7178" max="7178" width="8.140625" customWidth="1"/>
    <col min="7179" max="7186" width="9.140625" customWidth="1"/>
    <col min="7192" max="7192" width="13.42578125" customWidth="1"/>
    <col min="7425" max="7425" width="6.28515625" customWidth="1"/>
    <col min="7426" max="7426" width="40" customWidth="1"/>
    <col min="7427" max="7427" width="17.28515625" customWidth="1"/>
    <col min="7428" max="7428" width="15.85546875" customWidth="1"/>
    <col min="7429" max="7429" width="13" customWidth="1"/>
    <col min="7430" max="7430" width="14.5703125" customWidth="1"/>
    <col min="7431" max="7431" width="14.42578125" customWidth="1"/>
    <col min="7432" max="7432" width="15.5703125" customWidth="1"/>
    <col min="7433" max="7433" width="11.5703125" customWidth="1"/>
    <col min="7434" max="7434" width="8.140625" customWidth="1"/>
    <col min="7435" max="7442" width="9.140625" customWidth="1"/>
    <col min="7448" max="7448" width="13.42578125" customWidth="1"/>
    <col min="7681" max="7681" width="6.28515625" customWidth="1"/>
    <col min="7682" max="7682" width="40" customWidth="1"/>
    <col min="7683" max="7683" width="17.28515625" customWidth="1"/>
    <col min="7684" max="7684" width="15.85546875" customWidth="1"/>
    <col min="7685" max="7685" width="13" customWidth="1"/>
    <col min="7686" max="7686" width="14.5703125" customWidth="1"/>
    <col min="7687" max="7687" width="14.42578125" customWidth="1"/>
    <col min="7688" max="7688" width="15.5703125" customWidth="1"/>
    <col min="7689" max="7689" width="11.5703125" customWidth="1"/>
    <col min="7690" max="7690" width="8.140625" customWidth="1"/>
    <col min="7691" max="7698" width="9.140625" customWidth="1"/>
    <col min="7704" max="7704" width="13.42578125" customWidth="1"/>
    <col min="7937" max="7937" width="6.28515625" customWidth="1"/>
    <col min="7938" max="7938" width="40" customWidth="1"/>
    <col min="7939" max="7939" width="17.28515625" customWidth="1"/>
    <col min="7940" max="7940" width="15.85546875" customWidth="1"/>
    <col min="7941" max="7941" width="13" customWidth="1"/>
    <col min="7942" max="7942" width="14.5703125" customWidth="1"/>
    <col min="7943" max="7943" width="14.42578125" customWidth="1"/>
    <col min="7944" max="7944" width="15.5703125" customWidth="1"/>
    <col min="7945" max="7945" width="11.5703125" customWidth="1"/>
    <col min="7946" max="7946" width="8.140625" customWidth="1"/>
    <col min="7947" max="7954" width="9.140625" customWidth="1"/>
    <col min="7960" max="7960" width="13.42578125" customWidth="1"/>
    <col min="8193" max="8193" width="6.28515625" customWidth="1"/>
    <col min="8194" max="8194" width="40" customWidth="1"/>
    <col min="8195" max="8195" width="17.28515625" customWidth="1"/>
    <col min="8196" max="8196" width="15.85546875" customWidth="1"/>
    <col min="8197" max="8197" width="13" customWidth="1"/>
    <col min="8198" max="8198" width="14.5703125" customWidth="1"/>
    <col min="8199" max="8199" width="14.42578125" customWidth="1"/>
    <col min="8200" max="8200" width="15.5703125" customWidth="1"/>
    <col min="8201" max="8201" width="11.5703125" customWidth="1"/>
    <col min="8202" max="8202" width="8.140625" customWidth="1"/>
    <col min="8203" max="8210" width="9.140625" customWidth="1"/>
    <col min="8216" max="8216" width="13.42578125" customWidth="1"/>
    <col min="8449" max="8449" width="6.28515625" customWidth="1"/>
    <col min="8450" max="8450" width="40" customWidth="1"/>
    <col min="8451" max="8451" width="17.28515625" customWidth="1"/>
    <col min="8452" max="8452" width="15.85546875" customWidth="1"/>
    <col min="8453" max="8453" width="13" customWidth="1"/>
    <col min="8454" max="8454" width="14.5703125" customWidth="1"/>
    <col min="8455" max="8455" width="14.42578125" customWidth="1"/>
    <col min="8456" max="8456" width="15.5703125" customWidth="1"/>
    <col min="8457" max="8457" width="11.5703125" customWidth="1"/>
    <col min="8458" max="8458" width="8.140625" customWidth="1"/>
    <col min="8459" max="8466" width="9.140625" customWidth="1"/>
    <col min="8472" max="8472" width="13.42578125" customWidth="1"/>
    <col min="8705" max="8705" width="6.28515625" customWidth="1"/>
    <col min="8706" max="8706" width="40" customWidth="1"/>
    <col min="8707" max="8707" width="17.28515625" customWidth="1"/>
    <col min="8708" max="8708" width="15.85546875" customWidth="1"/>
    <col min="8709" max="8709" width="13" customWidth="1"/>
    <col min="8710" max="8710" width="14.5703125" customWidth="1"/>
    <col min="8711" max="8711" width="14.42578125" customWidth="1"/>
    <col min="8712" max="8712" width="15.5703125" customWidth="1"/>
    <col min="8713" max="8713" width="11.5703125" customWidth="1"/>
    <col min="8714" max="8714" width="8.140625" customWidth="1"/>
    <col min="8715" max="8722" width="9.140625" customWidth="1"/>
    <col min="8728" max="8728" width="13.42578125" customWidth="1"/>
    <col min="8961" max="8961" width="6.28515625" customWidth="1"/>
    <col min="8962" max="8962" width="40" customWidth="1"/>
    <col min="8963" max="8963" width="17.28515625" customWidth="1"/>
    <col min="8964" max="8964" width="15.85546875" customWidth="1"/>
    <col min="8965" max="8965" width="13" customWidth="1"/>
    <col min="8966" max="8966" width="14.5703125" customWidth="1"/>
    <col min="8967" max="8967" width="14.42578125" customWidth="1"/>
    <col min="8968" max="8968" width="15.5703125" customWidth="1"/>
    <col min="8969" max="8969" width="11.5703125" customWidth="1"/>
    <col min="8970" max="8970" width="8.140625" customWidth="1"/>
    <col min="8971" max="8978" width="9.140625" customWidth="1"/>
    <col min="8984" max="8984" width="13.42578125" customWidth="1"/>
    <col min="9217" max="9217" width="6.28515625" customWidth="1"/>
    <col min="9218" max="9218" width="40" customWidth="1"/>
    <col min="9219" max="9219" width="17.28515625" customWidth="1"/>
    <col min="9220" max="9220" width="15.85546875" customWidth="1"/>
    <col min="9221" max="9221" width="13" customWidth="1"/>
    <col min="9222" max="9222" width="14.5703125" customWidth="1"/>
    <col min="9223" max="9223" width="14.42578125" customWidth="1"/>
    <col min="9224" max="9224" width="15.5703125" customWidth="1"/>
    <col min="9225" max="9225" width="11.5703125" customWidth="1"/>
    <col min="9226" max="9226" width="8.140625" customWidth="1"/>
    <col min="9227" max="9234" width="9.140625" customWidth="1"/>
    <col min="9240" max="9240" width="13.42578125" customWidth="1"/>
    <col min="9473" max="9473" width="6.28515625" customWidth="1"/>
    <col min="9474" max="9474" width="40" customWidth="1"/>
    <col min="9475" max="9475" width="17.28515625" customWidth="1"/>
    <col min="9476" max="9476" width="15.85546875" customWidth="1"/>
    <col min="9477" max="9477" width="13" customWidth="1"/>
    <col min="9478" max="9478" width="14.5703125" customWidth="1"/>
    <col min="9479" max="9479" width="14.42578125" customWidth="1"/>
    <col min="9480" max="9480" width="15.5703125" customWidth="1"/>
    <col min="9481" max="9481" width="11.5703125" customWidth="1"/>
    <col min="9482" max="9482" width="8.140625" customWidth="1"/>
    <col min="9483" max="9490" width="9.140625" customWidth="1"/>
    <col min="9496" max="9496" width="13.42578125" customWidth="1"/>
    <col min="9729" max="9729" width="6.28515625" customWidth="1"/>
    <col min="9730" max="9730" width="40" customWidth="1"/>
    <col min="9731" max="9731" width="17.28515625" customWidth="1"/>
    <col min="9732" max="9732" width="15.85546875" customWidth="1"/>
    <col min="9733" max="9733" width="13" customWidth="1"/>
    <col min="9734" max="9734" width="14.5703125" customWidth="1"/>
    <col min="9735" max="9735" width="14.42578125" customWidth="1"/>
    <col min="9736" max="9736" width="15.5703125" customWidth="1"/>
    <col min="9737" max="9737" width="11.5703125" customWidth="1"/>
    <col min="9738" max="9738" width="8.140625" customWidth="1"/>
    <col min="9739" max="9746" width="9.140625" customWidth="1"/>
    <col min="9752" max="9752" width="13.42578125" customWidth="1"/>
    <col min="9985" max="9985" width="6.28515625" customWidth="1"/>
    <col min="9986" max="9986" width="40" customWidth="1"/>
    <col min="9987" max="9987" width="17.28515625" customWidth="1"/>
    <col min="9988" max="9988" width="15.85546875" customWidth="1"/>
    <col min="9989" max="9989" width="13" customWidth="1"/>
    <col min="9990" max="9990" width="14.5703125" customWidth="1"/>
    <col min="9991" max="9991" width="14.42578125" customWidth="1"/>
    <col min="9992" max="9992" width="15.5703125" customWidth="1"/>
    <col min="9993" max="9993" width="11.5703125" customWidth="1"/>
    <col min="9994" max="9994" width="8.140625" customWidth="1"/>
    <col min="9995" max="10002" width="9.140625" customWidth="1"/>
    <col min="10008" max="10008" width="13.42578125" customWidth="1"/>
    <col min="10241" max="10241" width="6.28515625" customWidth="1"/>
    <col min="10242" max="10242" width="40" customWidth="1"/>
    <col min="10243" max="10243" width="17.28515625" customWidth="1"/>
    <col min="10244" max="10244" width="15.85546875" customWidth="1"/>
    <col min="10245" max="10245" width="13" customWidth="1"/>
    <col min="10246" max="10246" width="14.5703125" customWidth="1"/>
    <col min="10247" max="10247" width="14.42578125" customWidth="1"/>
    <col min="10248" max="10248" width="15.5703125" customWidth="1"/>
    <col min="10249" max="10249" width="11.5703125" customWidth="1"/>
    <col min="10250" max="10250" width="8.140625" customWidth="1"/>
    <col min="10251" max="10258" width="9.140625" customWidth="1"/>
    <col min="10264" max="10264" width="13.42578125" customWidth="1"/>
    <col min="10497" max="10497" width="6.28515625" customWidth="1"/>
    <col min="10498" max="10498" width="40" customWidth="1"/>
    <col min="10499" max="10499" width="17.28515625" customWidth="1"/>
    <col min="10500" max="10500" width="15.85546875" customWidth="1"/>
    <col min="10501" max="10501" width="13" customWidth="1"/>
    <col min="10502" max="10502" width="14.5703125" customWidth="1"/>
    <col min="10503" max="10503" width="14.42578125" customWidth="1"/>
    <col min="10504" max="10504" width="15.5703125" customWidth="1"/>
    <col min="10505" max="10505" width="11.5703125" customWidth="1"/>
    <col min="10506" max="10506" width="8.140625" customWidth="1"/>
    <col min="10507" max="10514" width="9.140625" customWidth="1"/>
    <col min="10520" max="10520" width="13.42578125" customWidth="1"/>
    <col min="10753" max="10753" width="6.28515625" customWidth="1"/>
    <col min="10754" max="10754" width="40" customWidth="1"/>
    <col min="10755" max="10755" width="17.28515625" customWidth="1"/>
    <col min="10756" max="10756" width="15.85546875" customWidth="1"/>
    <col min="10757" max="10757" width="13" customWidth="1"/>
    <col min="10758" max="10758" width="14.5703125" customWidth="1"/>
    <col min="10759" max="10759" width="14.42578125" customWidth="1"/>
    <col min="10760" max="10760" width="15.5703125" customWidth="1"/>
    <col min="10761" max="10761" width="11.5703125" customWidth="1"/>
    <col min="10762" max="10762" width="8.140625" customWidth="1"/>
    <col min="10763" max="10770" width="9.140625" customWidth="1"/>
    <col min="10776" max="10776" width="13.42578125" customWidth="1"/>
    <col min="11009" max="11009" width="6.28515625" customWidth="1"/>
    <col min="11010" max="11010" width="40" customWidth="1"/>
    <col min="11011" max="11011" width="17.28515625" customWidth="1"/>
    <col min="11012" max="11012" width="15.85546875" customWidth="1"/>
    <col min="11013" max="11013" width="13" customWidth="1"/>
    <col min="11014" max="11014" width="14.5703125" customWidth="1"/>
    <col min="11015" max="11015" width="14.42578125" customWidth="1"/>
    <col min="11016" max="11016" width="15.5703125" customWidth="1"/>
    <col min="11017" max="11017" width="11.5703125" customWidth="1"/>
    <col min="11018" max="11018" width="8.140625" customWidth="1"/>
    <col min="11019" max="11026" width="9.140625" customWidth="1"/>
    <col min="11032" max="11032" width="13.42578125" customWidth="1"/>
    <col min="11265" max="11265" width="6.28515625" customWidth="1"/>
    <col min="11266" max="11266" width="40" customWidth="1"/>
    <col min="11267" max="11267" width="17.28515625" customWidth="1"/>
    <col min="11268" max="11268" width="15.85546875" customWidth="1"/>
    <col min="11269" max="11269" width="13" customWidth="1"/>
    <col min="11270" max="11270" width="14.5703125" customWidth="1"/>
    <col min="11271" max="11271" width="14.42578125" customWidth="1"/>
    <col min="11272" max="11272" width="15.5703125" customWidth="1"/>
    <col min="11273" max="11273" width="11.5703125" customWidth="1"/>
    <col min="11274" max="11274" width="8.140625" customWidth="1"/>
    <col min="11275" max="11282" width="9.140625" customWidth="1"/>
    <col min="11288" max="11288" width="13.42578125" customWidth="1"/>
    <col min="11521" max="11521" width="6.28515625" customWidth="1"/>
    <col min="11522" max="11522" width="40" customWidth="1"/>
    <col min="11523" max="11523" width="17.28515625" customWidth="1"/>
    <col min="11524" max="11524" width="15.85546875" customWidth="1"/>
    <col min="11525" max="11525" width="13" customWidth="1"/>
    <col min="11526" max="11526" width="14.5703125" customWidth="1"/>
    <col min="11527" max="11527" width="14.42578125" customWidth="1"/>
    <col min="11528" max="11528" width="15.5703125" customWidth="1"/>
    <col min="11529" max="11529" width="11.5703125" customWidth="1"/>
    <col min="11530" max="11530" width="8.140625" customWidth="1"/>
    <col min="11531" max="11538" width="9.140625" customWidth="1"/>
    <col min="11544" max="11544" width="13.42578125" customWidth="1"/>
    <col min="11777" max="11777" width="6.28515625" customWidth="1"/>
    <col min="11778" max="11778" width="40" customWidth="1"/>
    <col min="11779" max="11779" width="17.28515625" customWidth="1"/>
    <col min="11780" max="11780" width="15.85546875" customWidth="1"/>
    <col min="11781" max="11781" width="13" customWidth="1"/>
    <col min="11782" max="11782" width="14.5703125" customWidth="1"/>
    <col min="11783" max="11783" width="14.42578125" customWidth="1"/>
    <col min="11784" max="11784" width="15.5703125" customWidth="1"/>
    <col min="11785" max="11785" width="11.5703125" customWidth="1"/>
    <col min="11786" max="11786" width="8.140625" customWidth="1"/>
    <col min="11787" max="11794" width="9.140625" customWidth="1"/>
    <col min="11800" max="11800" width="13.42578125" customWidth="1"/>
    <col min="12033" max="12033" width="6.28515625" customWidth="1"/>
    <col min="12034" max="12034" width="40" customWidth="1"/>
    <col min="12035" max="12035" width="17.28515625" customWidth="1"/>
    <col min="12036" max="12036" width="15.85546875" customWidth="1"/>
    <col min="12037" max="12037" width="13" customWidth="1"/>
    <col min="12038" max="12038" width="14.5703125" customWidth="1"/>
    <col min="12039" max="12039" width="14.42578125" customWidth="1"/>
    <col min="12040" max="12040" width="15.5703125" customWidth="1"/>
    <col min="12041" max="12041" width="11.5703125" customWidth="1"/>
    <col min="12042" max="12042" width="8.140625" customWidth="1"/>
    <col min="12043" max="12050" width="9.140625" customWidth="1"/>
    <col min="12056" max="12056" width="13.42578125" customWidth="1"/>
    <col min="12289" max="12289" width="6.28515625" customWidth="1"/>
    <col min="12290" max="12290" width="40" customWidth="1"/>
    <col min="12291" max="12291" width="17.28515625" customWidth="1"/>
    <col min="12292" max="12292" width="15.85546875" customWidth="1"/>
    <col min="12293" max="12293" width="13" customWidth="1"/>
    <col min="12294" max="12294" width="14.5703125" customWidth="1"/>
    <col min="12295" max="12295" width="14.42578125" customWidth="1"/>
    <col min="12296" max="12296" width="15.5703125" customWidth="1"/>
    <col min="12297" max="12297" width="11.5703125" customWidth="1"/>
    <col min="12298" max="12298" width="8.140625" customWidth="1"/>
    <col min="12299" max="12306" width="9.140625" customWidth="1"/>
    <col min="12312" max="12312" width="13.42578125" customWidth="1"/>
    <col min="12545" max="12545" width="6.28515625" customWidth="1"/>
    <col min="12546" max="12546" width="40" customWidth="1"/>
    <col min="12547" max="12547" width="17.28515625" customWidth="1"/>
    <col min="12548" max="12548" width="15.85546875" customWidth="1"/>
    <col min="12549" max="12549" width="13" customWidth="1"/>
    <col min="12550" max="12550" width="14.5703125" customWidth="1"/>
    <col min="12551" max="12551" width="14.42578125" customWidth="1"/>
    <col min="12552" max="12552" width="15.5703125" customWidth="1"/>
    <col min="12553" max="12553" width="11.5703125" customWidth="1"/>
    <col min="12554" max="12554" width="8.140625" customWidth="1"/>
    <col min="12555" max="12562" width="9.140625" customWidth="1"/>
    <col min="12568" max="12568" width="13.42578125" customWidth="1"/>
    <col min="12801" max="12801" width="6.28515625" customWidth="1"/>
    <col min="12802" max="12802" width="40" customWidth="1"/>
    <col min="12803" max="12803" width="17.28515625" customWidth="1"/>
    <col min="12804" max="12804" width="15.85546875" customWidth="1"/>
    <col min="12805" max="12805" width="13" customWidth="1"/>
    <col min="12806" max="12806" width="14.5703125" customWidth="1"/>
    <col min="12807" max="12807" width="14.42578125" customWidth="1"/>
    <col min="12808" max="12808" width="15.5703125" customWidth="1"/>
    <col min="12809" max="12809" width="11.5703125" customWidth="1"/>
    <col min="12810" max="12810" width="8.140625" customWidth="1"/>
    <col min="12811" max="12818" width="9.140625" customWidth="1"/>
    <col min="12824" max="12824" width="13.42578125" customWidth="1"/>
    <col min="13057" max="13057" width="6.28515625" customWidth="1"/>
    <col min="13058" max="13058" width="40" customWidth="1"/>
    <col min="13059" max="13059" width="17.28515625" customWidth="1"/>
    <col min="13060" max="13060" width="15.85546875" customWidth="1"/>
    <col min="13061" max="13061" width="13" customWidth="1"/>
    <col min="13062" max="13062" width="14.5703125" customWidth="1"/>
    <col min="13063" max="13063" width="14.42578125" customWidth="1"/>
    <col min="13064" max="13064" width="15.5703125" customWidth="1"/>
    <col min="13065" max="13065" width="11.5703125" customWidth="1"/>
    <col min="13066" max="13066" width="8.140625" customWidth="1"/>
    <col min="13067" max="13074" width="9.140625" customWidth="1"/>
    <col min="13080" max="13080" width="13.42578125" customWidth="1"/>
    <col min="13313" max="13313" width="6.28515625" customWidth="1"/>
    <col min="13314" max="13314" width="40" customWidth="1"/>
    <col min="13315" max="13315" width="17.28515625" customWidth="1"/>
    <col min="13316" max="13316" width="15.85546875" customWidth="1"/>
    <col min="13317" max="13317" width="13" customWidth="1"/>
    <col min="13318" max="13318" width="14.5703125" customWidth="1"/>
    <col min="13319" max="13319" width="14.42578125" customWidth="1"/>
    <col min="13320" max="13320" width="15.5703125" customWidth="1"/>
    <col min="13321" max="13321" width="11.5703125" customWidth="1"/>
    <col min="13322" max="13322" width="8.140625" customWidth="1"/>
    <col min="13323" max="13330" width="9.140625" customWidth="1"/>
    <col min="13336" max="13336" width="13.42578125" customWidth="1"/>
    <col min="13569" max="13569" width="6.28515625" customWidth="1"/>
    <col min="13570" max="13570" width="40" customWidth="1"/>
    <col min="13571" max="13571" width="17.28515625" customWidth="1"/>
    <col min="13572" max="13572" width="15.85546875" customWidth="1"/>
    <col min="13573" max="13573" width="13" customWidth="1"/>
    <col min="13574" max="13574" width="14.5703125" customWidth="1"/>
    <col min="13575" max="13575" width="14.42578125" customWidth="1"/>
    <col min="13576" max="13576" width="15.5703125" customWidth="1"/>
    <col min="13577" max="13577" width="11.5703125" customWidth="1"/>
    <col min="13578" max="13578" width="8.140625" customWidth="1"/>
    <col min="13579" max="13586" width="9.140625" customWidth="1"/>
    <col min="13592" max="13592" width="13.42578125" customWidth="1"/>
    <col min="13825" max="13825" width="6.28515625" customWidth="1"/>
    <col min="13826" max="13826" width="40" customWidth="1"/>
    <col min="13827" max="13827" width="17.28515625" customWidth="1"/>
    <col min="13828" max="13828" width="15.85546875" customWidth="1"/>
    <col min="13829" max="13829" width="13" customWidth="1"/>
    <col min="13830" max="13830" width="14.5703125" customWidth="1"/>
    <col min="13831" max="13831" width="14.42578125" customWidth="1"/>
    <col min="13832" max="13832" width="15.5703125" customWidth="1"/>
    <col min="13833" max="13833" width="11.5703125" customWidth="1"/>
    <col min="13834" max="13834" width="8.140625" customWidth="1"/>
    <col min="13835" max="13842" width="9.140625" customWidth="1"/>
    <col min="13848" max="13848" width="13.42578125" customWidth="1"/>
    <col min="14081" max="14081" width="6.28515625" customWidth="1"/>
    <col min="14082" max="14082" width="40" customWidth="1"/>
    <col min="14083" max="14083" width="17.28515625" customWidth="1"/>
    <col min="14084" max="14084" width="15.85546875" customWidth="1"/>
    <col min="14085" max="14085" width="13" customWidth="1"/>
    <col min="14086" max="14086" width="14.5703125" customWidth="1"/>
    <col min="14087" max="14087" width="14.42578125" customWidth="1"/>
    <col min="14088" max="14088" width="15.5703125" customWidth="1"/>
    <col min="14089" max="14089" width="11.5703125" customWidth="1"/>
    <col min="14090" max="14090" width="8.140625" customWidth="1"/>
    <col min="14091" max="14098" width="9.140625" customWidth="1"/>
    <col min="14104" max="14104" width="13.42578125" customWidth="1"/>
    <col min="14337" max="14337" width="6.28515625" customWidth="1"/>
    <col min="14338" max="14338" width="40" customWidth="1"/>
    <col min="14339" max="14339" width="17.28515625" customWidth="1"/>
    <col min="14340" max="14340" width="15.85546875" customWidth="1"/>
    <col min="14341" max="14341" width="13" customWidth="1"/>
    <col min="14342" max="14342" width="14.5703125" customWidth="1"/>
    <col min="14343" max="14343" width="14.42578125" customWidth="1"/>
    <col min="14344" max="14344" width="15.5703125" customWidth="1"/>
    <col min="14345" max="14345" width="11.5703125" customWidth="1"/>
    <col min="14346" max="14346" width="8.140625" customWidth="1"/>
    <col min="14347" max="14354" width="9.140625" customWidth="1"/>
    <col min="14360" max="14360" width="13.42578125" customWidth="1"/>
    <col min="14593" max="14593" width="6.28515625" customWidth="1"/>
    <col min="14594" max="14594" width="40" customWidth="1"/>
    <col min="14595" max="14595" width="17.28515625" customWidth="1"/>
    <col min="14596" max="14596" width="15.85546875" customWidth="1"/>
    <col min="14597" max="14597" width="13" customWidth="1"/>
    <col min="14598" max="14598" width="14.5703125" customWidth="1"/>
    <col min="14599" max="14599" width="14.42578125" customWidth="1"/>
    <col min="14600" max="14600" width="15.5703125" customWidth="1"/>
    <col min="14601" max="14601" width="11.5703125" customWidth="1"/>
    <col min="14602" max="14602" width="8.140625" customWidth="1"/>
    <col min="14603" max="14610" width="9.140625" customWidth="1"/>
    <col min="14616" max="14616" width="13.42578125" customWidth="1"/>
    <col min="14849" max="14849" width="6.28515625" customWidth="1"/>
    <col min="14850" max="14850" width="40" customWidth="1"/>
    <col min="14851" max="14851" width="17.28515625" customWidth="1"/>
    <col min="14852" max="14852" width="15.85546875" customWidth="1"/>
    <col min="14853" max="14853" width="13" customWidth="1"/>
    <col min="14854" max="14854" width="14.5703125" customWidth="1"/>
    <col min="14855" max="14855" width="14.42578125" customWidth="1"/>
    <col min="14856" max="14856" width="15.5703125" customWidth="1"/>
    <col min="14857" max="14857" width="11.5703125" customWidth="1"/>
    <col min="14858" max="14858" width="8.140625" customWidth="1"/>
    <col min="14859" max="14866" width="9.140625" customWidth="1"/>
    <col min="14872" max="14872" width="13.42578125" customWidth="1"/>
    <col min="15105" max="15105" width="6.28515625" customWidth="1"/>
    <col min="15106" max="15106" width="40" customWidth="1"/>
    <col min="15107" max="15107" width="17.28515625" customWidth="1"/>
    <col min="15108" max="15108" width="15.85546875" customWidth="1"/>
    <col min="15109" max="15109" width="13" customWidth="1"/>
    <col min="15110" max="15110" width="14.5703125" customWidth="1"/>
    <col min="15111" max="15111" width="14.42578125" customWidth="1"/>
    <col min="15112" max="15112" width="15.5703125" customWidth="1"/>
    <col min="15113" max="15113" width="11.5703125" customWidth="1"/>
    <col min="15114" max="15114" width="8.140625" customWidth="1"/>
    <col min="15115" max="15122" width="9.140625" customWidth="1"/>
    <col min="15128" max="15128" width="13.42578125" customWidth="1"/>
    <col min="15361" max="15361" width="6.28515625" customWidth="1"/>
    <col min="15362" max="15362" width="40" customWidth="1"/>
    <col min="15363" max="15363" width="17.28515625" customWidth="1"/>
    <col min="15364" max="15364" width="15.85546875" customWidth="1"/>
    <col min="15365" max="15365" width="13" customWidth="1"/>
    <col min="15366" max="15366" width="14.5703125" customWidth="1"/>
    <col min="15367" max="15367" width="14.42578125" customWidth="1"/>
    <col min="15368" max="15368" width="15.5703125" customWidth="1"/>
    <col min="15369" max="15369" width="11.5703125" customWidth="1"/>
    <col min="15370" max="15370" width="8.140625" customWidth="1"/>
    <col min="15371" max="15378" width="9.140625" customWidth="1"/>
    <col min="15384" max="15384" width="13.42578125" customWidth="1"/>
    <col min="15617" max="15617" width="6.28515625" customWidth="1"/>
    <col min="15618" max="15618" width="40" customWidth="1"/>
    <col min="15619" max="15619" width="17.28515625" customWidth="1"/>
    <col min="15620" max="15620" width="15.85546875" customWidth="1"/>
    <col min="15621" max="15621" width="13" customWidth="1"/>
    <col min="15622" max="15622" width="14.5703125" customWidth="1"/>
    <col min="15623" max="15623" width="14.42578125" customWidth="1"/>
    <col min="15624" max="15624" width="15.5703125" customWidth="1"/>
    <col min="15625" max="15625" width="11.5703125" customWidth="1"/>
    <col min="15626" max="15626" width="8.140625" customWidth="1"/>
    <col min="15627" max="15634" width="9.140625" customWidth="1"/>
    <col min="15640" max="15640" width="13.42578125" customWidth="1"/>
    <col min="15873" max="15873" width="6.28515625" customWidth="1"/>
    <col min="15874" max="15874" width="40" customWidth="1"/>
    <col min="15875" max="15875" width="17.28515625" customWidth="1"/>
    <col min="15876" max="15876" width="15.85546875" customWidth="1"/>
    <col min="15877" max="15877" width="13" customWidth="1"/>
    <col min="15878" max="15878" width="14.5703125" customWidth="1"/>
    <col min="15879" max="15879" width="14.42578125" customWidth="1"/>
    <col min="15880" max="15880" width="15.5703125" customWidth="1"/>
    <col min="15881" max="15881" width="11.5703125" customWidth="1"/>
    <col min="15882" max="15882" width="8.140625" customWidth="1"/>
    <col min="15883" max="15890" width="9.140625" customWidth="1"/>
    <col min="15896" max="15896" width="13.42578125" customWidth="1"/>
    <col min="16129" max="16129" width="6.28515625" customWidth="1"/>
    <col min="16130" max="16130" width="40" customWidth="1"/>
    <col min="16131" max="16131" width="17.28515625" customWidth="1"/>
    <col min="16132" max="16132" width="15.85546875" customWidth="1"/>
    <col min="16133" max="16133" width="13" customWidth="1"/>
    <col min="16134" max="16134" width="14.5703125" customWidth="1"/>
    <col min="16135" max="16135" width="14.42578125" customWidth="1"/>
    <col min="16136" max="16136" width="15.5703125" customWidth="1"/>
    <col min="16137" max="16137" width="11.5703125" customWidth="1"/>
    <col min="16138" max="16138" width="8.140625" customWidth="1"/>
    <col min="16139" max="16146" width="9.140625" customWidth="1"/>
    <col min="16152" max="16152" width="13.42578125" customWidth="1"/>
  </cols>
  <sheetData>
    <row r="1" spans="2:20" ht="18">
      <c r="B1" s="675" t="s">
        <v>97</v>
      </c>
      <c r="C1" s="675"/>
      <c r="D1" s="675"/>
      <c r="E1" s="675"/>
      <c r="F1" s="675"/>
      <c r="G1" s="675"/>
      <c r="H1" s="675"/>
      <c r="I1" s="675"/>
      <c r="J1" s="653"/>
      <c r="K1" s="92"/>
      <c r="L1" s="92"/>
      <c r="M1" s="92"/>
      <c r="N1" s="92"/>
      <c r="O1" s="92"/>
      <c r="P1" s="92"/>
      <c r="Q1" s="92"/>
      <c r="R1" s="92"/>
      <c r="S1" s="92"/>
      <c r="T1" s="92"/>
    </row>
    <row r="2" spans="2:20" ht="5.45" customHeight="1">
      <c r="B2" s="82"/>
      <c r="C2" s="82"/>
      <c r="D2" s="82"/>
      <c r="E2" s="82"/>
      <c r="F2" s="82"/>
      <c r="G2" s="82"/>
      <c r="H2" s="82"/>
      <c r="I2" s="82"/>
      <c r="J2" s="82"/>
    </row>
    <row r="3" spans="2:20" ht="14.1" customHeight="1">
      <c r="B3" s="493" t="s">
        <v>98</v>
      </c>
      <c r="C3" s="493"/>
      <c r="D3" s="493"/>
      <c r="E3" s="493"/>
      <c r="F3" s="493"/>
      <c r="G3" s="493"/>
      <c r="H3" s="493"/>
      <c r="I3" s="493"/>
      <c r="J3" s="93"/>
      <c r="K3" s="92"/>
      <c r="L3" s="92"/>
      <c r="M3" s="92"/>
      <c r="N3" s="92"/>
      <c r="O3" s="92"/>
      <c r="P3" s="92"/>
      <c r="Q3" s="92"/>
      <c r="R3" s="92"/>
      <c r="S3" s="92"/>
      <c r="T3" s="92"/>
    </row>
    <row r="4" spans="2:20" ht="3.95" customHeight="1">
      <c r="B4" s="82"/>
      <c r="C4" s="82"/>
      <c r="D4" s="82"/>
      <c r="E4" s="82"/>
      <c r="F4" s="82"/>
      <c r="G4" s="82"/>
      <c r="H4" s="82"/>
      <c r="I4" s="82"/>
      <c r="J4" s="82"/>
      <c r="K4" s="92"/>
      <c r="L4" s="92"/>
      <c r="M4" s="92"/>
      <c r="N4" s="92"/>
      <c r="O4" s="92"/>
      <c r="P4" s="92"/>
      <c r="Q4" s="92"/>
      <c r="R4" s="92"/>
      <c r="S4" s="92"/>
      <c r="T4" s="92"/>
    </row>
    <row r="5" spans="2:20" ht="14.1" customHeight="1">
      <c r="B5" s="82" t="s">
        <v>99</v>
      </c>
      <c r="C5" s="525" t="s">
        <v>100</v>
      </c>
      <c r="D5" s="82"/>
      <c r="E5" s="82"/>
      <c r="F5" s="82"/>
      <c r="G5" s="82"/>
      <c r="H5" s="82"/>
      <c r="I5" s="82"/>
      <c r="J5" s="82"/>
      <c r="K5" s="92"/>
      <c r="L5" s="92"/>
      <c r="M5" s="92"/>
      <c r="N5" s="92"/>
      <c r="O5" s="92"/>
      <c r="P5" s="92"/>
      <c r="Q5" s="92"/>
      <c r="R5" s="92"/>
      <c r="S5" s="92"/>
      <c r="T5" s="92"/>
    </row>
    <row r="6" spans="2:20" ht="14.1" customHeight="1">
      <c r="B6" s="82" t="s">
        <v>101</v>
      </c>
      <c r="C6" s="525">
        <v>3</v>
      </c>
      <c r="D6" s="82"/>
      <c r="E6" s="82"/>
      <c r="F6" s="82"/>
      <c r="G6" s="82"/>
      <c r="H6" s="82"/>
      <c r="I6" s="82"/>
      <c r="J6" s="82"/>
      <c r="K6" s="92"/>
      <c r="L6" s="92"/>
      <c r="M6" s="92"/>
      <c r="N6" s="92"/>
      <c r="O6" s="92"/>
      <c r="P6" s="92"/>
      <c r="Q6" s="92"/>
      <c r="R6" s="92"/>
      <c r="S6" s="92"/>
      <c r="T6" s="92"/>
    </row>
    <row r="7" spans="2:20" ht="2.4500000000000002" customHeight="1">
      <c r="B7" s="82"/>
      <c r="C7" s="82"/>
      <c r="D7" s="82"/>
      <c r="E7" s="82"/>
      <c r="F7" s="82"/>
      <c r="G7" s="82"/>
      <c r="H7" s="82"/>
      <c r="I7" s="82"/>
      <c r="J7" s="82"/>
      <c r="K7" s="92"/>
      <c r="L7" s="92"/>
      <c r="M7" s="92"/>
      <c r="N7" s="92"/>
      <c r="O7" s="92"/>
      <c r="P7" s="92"/>
      <c r="Q7" s="92"/>
      <c r="R7" s="92"/>
      <c r="S7" s="92"/>
      <c r="T7" s="92"/>
    </row>
    <row r="8" spans="2:20" ht="14.1" customHeight="1">
      <c r="B8" s="493" t="s">
        <v>542</v>
      </c>
      <c r="C8" s="493"/>
      <c r="D8" s="493"/>
      <c r="E8" s="493"/>
      <c r="F8" s="493"/>
      <c r="G8" s="493"/>
      <c r="H8" s="493"/>
      <c r="I8" s="493"/>
      <c r="J8" s="731" t="s">
        <v>102</v>
      </c>
      <c r="K8" s="92"/>
      <c r="L8" s="92"/>
      <c r="M8" s="92"/>
      <c r="N8" s="92"/>
      <c r="O8" s="92"/>
      <c r="P8" s="92"/>
      <c r="Q8" s="92"/>
      <c r="R8" s="92" t="s">
        <v>103</v>
      </c>
      <c r="S8" s="92"/>
      <c r="T8" s="92" t="s">
        <v>102</v>
      </c>
    </row>
    <row r="9" spans="2:20" ht="27" customHeight="1">
      <c r="B9" s="94" t="s">
        <v>564</v>
      </c>
      <c r="C9" s="94" t="s">
        <v>104</v>
      </c>
      <c r="D9" s="94" t="s">
        <v>105</v>
      </c>
      <c r="E9" s="94" t="s">
        <v>106</v>
      </c>
      <c r="F9" s="95" t="s">
        <v>107</v>
      </c>
      <c r="G9" s="95" t="s">
        <v>108</v>
      </c>
      <c r="H9" s="94" t="s">
        <v>109</v>
      </c>
      <c r="I9" s="95" t="s">
        <v>110</v>
      </c>
      <c r="J9" s="731"/>
      <c r="K9" s="92"/>
      <c r="L9" s="92"/>
      <c r="M9" s="92"/>
      <c r="N9" s="92"/>
      <c r="O9" s="92"/>
      <c r="P9" s="92"/>
      <c r="Q9" s="92"/>
      <c r="R9" s="92" t="s">
        <v>111</v>
      </c>
      <c r="S9" s="92"/>
      <c r="T9" s="92">
        <v>3</v>
      </c>
    </row>
    <row r="10" spans="2:20" ht="18" customHeight="1">
      <c r="B10" s="527" t="s">
        <v>636</v>
      </c>
      <c r="C10" s="526"/>
      <c r="D10" s="521">
        <v>200000</v>
      </c>
      <c r="E10" s="525">
        <v>0</v>
      </c>
      <c r="F10" s="528"/>
      <c r="G10" s="529" t="s">
        <v>81</v>
      </c>
      <c r="H10" s="525" t="s">
        <v>112</v>
      </c>
      <c r="I10" s="525" t="s">
        <v>289</v>
      </c>
      <c r="J10" s="97">
        <f>IF(H10=$R$9,$T$9,IF(H10=$R$10,$T$10,IF(H10=$R$11,$T$11,IF(H10=$R$12,$T$12,IF(H10=$R$13,$T$13,IF(H10=$R$14,0,""))))))</f>
        <v>5</v>
      </c>
      <c r="K10" s="98" t="str">
        <f>IF(H10="Defaulted","Do not Proceed","")</f>
        <v/>
      </c>
      <c r="L10" s="92"/>
      <c r="M10" s="92"/>
      <c r="N10" s="92"/>
      <c r="O10" s="92"/>
      <c r="P10" s="92"/>
      <c r="Q10" s="92"/>
      <c r="R10" s="92" t="s">
        <v>112</v>
      </c>
      <c r="S10" s="92"/>
      <c r="T10" s="92">
        <v>5</v>
      </c>
    </row>
    <row r="11" spans="2:20" ht="14.1" customHeight="1">
      <c r="B11" s="527" t="s">
        <v>636</v>
      </c>
      <c r="C11" s="526"/>
      <c r="D11" s="521">
        <v>300000</v>
      </c>
      <c r="E11" s="530">
        <v>0</v>
      </c>
      <c r="F11" s="526"/>
      <c r="G11" s="529" t="s">
        <v>81</v>
      </c>
      <c r="H11" s="525" t="s">
        <v>112</v>
      </c>
      <c r="I11" s="525" t="s">
        <v>289</v>
      </c>
      <c r="J11" s="97">
        <f>IF(H11=$R$9,$T$9,IF(H11=$R$10,$T$10,IF(H11=$R$11,$T$11,IF(H11=$R$12,$T$12,IF(H11=$R$13,$T$13,IF(H11=$R$14,0,""))))))</f>
        <v>5</v>
      </c>
      <c r="K11" s="92"/>
      <c r="L11" s="92"/>
      <c r="M11" s="92"/>
      <c r="N11" s="92"/>
      <c r="O11" s="92"/>
      <c r="P11" s="92"/>
      <c r="Q11" s="92"/>
      <c r="R11" s="92" t="s">
        <v>113</v>
      </c>
      <c r="S11" s="92"/>
      <c r="T11" s="92">
        <v>0</v>
      </c>
    </row>
    <row r="12" spans="2:20" ht="14.1" customHeight="1">
      <c r="B12" s="82"/>
      <c r="C12" s="82"/>
      <c r="D12" s="82"/>
      <c r="E12" s="82"/>
      <c r="F12" s="82"/>
      <c r="G12" s="82"/>
      <c r="H12" s="97" t="s">
        <v>116</v>
      </c>
      <c r="I12" s="97">
        <v>10</v>
      </c>
      <c r="J12" s="97" t="str">
        <f>IF(H12=$R$9,$T$9,IF(H12=$R$10,$T$10,IF(H12=$R$11,$T$11,IF(H12=$R$12,$T$12,IF(H12=$R$13,$T$13,"")))))</f>
        <v/>
      </c>
      <c r="K12" s="98" t="str">
        <f>IF(H11="Defaulted","Do not Proceed","")</f>
        <v/>
      </c>
      <c r="L12" s="92"/>
      <c r="M12" s="92"/>
      <c r="N12" s="92"/>
      <c r="O12" s="92"/>
      <c r="P12" s="92"/>
      <c r="Q12" s="92"/>
      <c r="R12" s="92" t="s">
        <v>114</v>
      </c>
      <c r="S12" s="92"/>
      <c r="T12" s="92">
        <v>-5</v>
      </c>
    </row>
    <row r="13" spans="2:20" ht="14.1" customHeight="1">
      <c r="B13" s="82"/>
      <c r="C13" s="82"/>
      <c r="D13" s="82"/>
      <c r="E13" s="82"/>
      <c r="F13" s="82"/>
      <c r="G13" s="82"/>
      <c r="H13" s="97" t="s">
        <v>118</v>
      </c>
      <c r="I13" s="97">
        <f>J10+J11</f>
        <v>10</v>
      </c>
      <c r="J13" s="97" t="str">
        <f>IF(H13=$R$9,$T$9,IF(H13=$R$10,$T$10,IF(H13=$R$11,$T$11,IF(H13=$R$12,$T$12,IF(H13=$R$13,$T$13,"")))))</f>
        <v/>
      </c>
      <c r="K13" s="92"/>
      <c r="L13" s="92"/>
      <c r="M13" s="92"/>
      <c r="N13" s="92"/>
      <c r="O13" s="92"/>
      <c r="P13" s="92"/>
      <c r="Q13" s="92"/>
      <c r="R13" s="92" t="s">
        <v>115</v>
      </c>
      <c r="S13" s="92"/>
      <c r="T13" s="92">
        <v>-15</v>
      </c>
    </row>
    <row r="14" spans="2:20" ht="5.45" customHeight="1">
      <c r="B14" s="82"/>
      <c r="C14" s="493"/>
      <c r="D14" s="82"/>
      <c r="E14" s="82"/>
      <c r="F14" s="82"/>
      <c r="G14" s="82"/>
      <c r="H14" s="82"/>
      <c r="I14" s="82"/>
      <c r="J14" s="82"/>
      <c r="K14" s="92"/>
      <c r="L14" s="92"/>
      <c r="M14" s="92"/>
      <c r="N14" s="92"/>
      <c r="O14" s="92"/>
      <c r="P14" s="92"/>
      <c r="Q14" s="92"/>
      <c r="R14" s="92" t="s">
        <v>117</v>
      </c>
      <c r="S14" s="92"/>
      <c r="T14" s="92">
        <v>0</v>
      </c>
    </row>
    <row r="15" spans="2:20">
      <c r="B15" s="531" t="s">
        <v>477</v>
      </c>
      <c r="C15" s="531"/>
      <c r="D15" s="532"/>
      <c r="E15" s="532"/>
      <c r="F15" s="532"/>
      <c r="G15" s="532"/>
      <c r="H15" s="532"/>
      <c r="I15" s="533"/>
      <c r="J15" s="731" t="s">
        <v>102</v>
      </c>
      <c r="L15" s="92"/>
      <c r="M15" s="92"/>
      <c r="N15" s="92"/>
      <c r="O15" s="92"/>
      <c r="P15" s="92"/>
      <c r="Q15" s="92"/>
      <c r="R15" s="92"/>
      <c r="S15" s="92"/>
      <c r="T15" s="92"/>
    </row>
    <row r="16" spans="2:20" ht="12.6" customHeight="1">
      <c r="B16" s="82"/>
      <c r="C16" s="82"/>
      <c r="D16" s="82"/>
      <c r="E16" s="82"/>
      <c r="F16" s="82"/>
      <c r="G16" s="82"/>
      <c r="H16" s="82"/>
      <c r="I16" s="82"/>
      <c r="J16" s="731"/>
      <c r="K16" s="92"/>
    </row>
    <row r="17" spans="1:26" ht="6.6" hidden="1" customHeight="1">
      <c r="A17" s="92"/>
      <c r="B17" s="82"/>
      <c r="C17" s="82"/>
      <c r="D17" s="82"/>
      <c r="E17" s="82"/>
      <c r="F17" s="82"/>
      <c r="G17" s="82"/>
      <c r="H17" s="82"/>
      <c r="I17" s="82"/>
      <c r="J17" s="82"/>
      <c r="K17" s="92"/>
      <c r="L17" s="92"/>
      <c r="M17" s="92"/>
      <c r="N17" s="92"/>
      <c r="O17" s="92"/>
      <c r="P17" s="92"/>
      <c r="Q17" s="92"/>
      <c r="R17" s="92"/>
      <c r="S17" s="92"/>
      <c r="T17" s="92"/>
      <c r="U17" s="92"/>
      <c r="V17" s="92"/>
      <c r="W17" s="92"/>
      <c r="X17" s="92"/>
      <c r="Y17" s="92"/>
      <c r="Z17" s="92"/>
    </row>
    <row r="18" spans="1:26" ht="38.25">
      <c r="A18" s="92"/>
      <c r="B18" s="541" t="s">
        <v>543</v>
      </c>
      <c r="C18" s="534" t="s">
        <v>120</v>
      </c>
      <c r="D18" s="545" t="s">
        <v>468</v>
      </c>
      <c r="E18" s="710" t="s">
        <v>637</v>
      </c>
      <c r="F18" s="710"/>
      <c r="G18" s="710"/>
      <c r="H18" s="710"/>
      <c r="I18" s="710"/>
      <c r="J18" s="97">
        <f>IF(C18=F66,G66,IF(C18=F67,G67,IF(C18=F68,G68,IF(C18=F69,G69,0))))</f>
        <v>10</v>
      </c>
      <c r="K18" s="661" t="str">
        <f>IF(E18&lt;&gt;"","OK", "INVALID")</f>
        <v>OK</v>
      </c>
      <c r="L18" s="92"/>
      <c r="M18" s="92"/>
      <c r="N18" s="92"/>
      <c r="O18" s="92"/>
      <c r="P18" s="92"/>
      <c r="Q18" s="92"/>
      <c r="R18" s="92"/>
      <c r="S18" s="92"/>
      <c r="T18" s="92"/>
      <c r="U18" s="92"/>
      <c r="V18" s="92"/>
      <c r="W18" s="92"/>
      <c r="X18" s="92"/>
      <c r="Y18" s="92"/>
      <c r="Z18" s="92"/>
    </row>
    <row r="19" spans="1:26" ht="42">
      <c r="A19" s="647" t="s">
        <v>121</v>
      </c>
      <c r="B19" s="711" t="s">
        <v>122</v>
      </c>
      <c r="C19" s="711"/>
      <c r="D19" s="709"/>
      <c r="E19" s="710"/>
      <c r="F19" s="710"/>
      <c r="G19" s="710"/>
      <c r="H19" s="710"/>
      <c r="I19" s="710"/>
      <c r="J19" s="82"/>
      <c r="K19" s="92"/>
      <c r="L19" s="92"/>
      <c r="M19" s="92"/>
      <c r="O19" s="92"/>
      <c r="P19" s="92"/>
      <c r="Q19" s="92"/>
      <c r="R19" s="92"/>
      <c r="S19" s="92"/>
      <c r="T19" s="92"/>
      <c r="U19" s="92"/>
      <c r="V19" s="92"/>
      <c r="W19" s="92"/>
      <c r="X19" s="92"/>
      <c r="Y19" s="92"/>
      <c r="Z19" s="92"/>
    </row>
    <row r="20" spans="1:26" ht="17.100000000000001" customHeight="1">
      <c r="A20" s="92"/>
      <c r="B20" s="542"/>
      <c r="C20" s="543"/>
      <c r="D20" s="544"/>
      <c r="E20" s="82"/>
      <c r="F20" s="82"/>
      <c r="G20" s="82"/>
      <c r="H20" s="82"/>
      <c r="I20" s="82"/>
      <c r="J20" s="82"/>
      <c r="K20" s="92"/>
      <c r="L20" s="92"/>
      <c r="M20" s="92"/>
      <c r="N20" s="92"/>
      <c r="O20" s="92"/>
      <c r="P20" s="92"/>
      <c r="Q20" s="92"/>
      <c r="R20" s="92"/>
      <c r="S20" s="92"/>
      <c r="T20" s="92"/>
      <c r="U20" s="92"/>
      <c r="V20" s="92"/>
      <c r="W20" s="92"/>
      <c r="X20" s="92"/>
      <c r="Y20" s="92"/>
      <c r="Z20" s="92"/>
    </row>
    <row r="21" spans="1:26" ht="33.950000000000003" customHeight="1">
      <c r="B21" s="541" t="s">
        <v>544</v>
      </c>
      <c r="C21" s="650" t="s">
        <v>581</v>
      </c>
      <c r="D21" s="545" t="s">
        <v>468</v>
      </c>
      <c r="E21" s="710" t="s">
        <v>638</v>
      </c>
      <c r="F21" s="710"/>
      <c r="G21" s="710"/>
      <c r="H21" s="710"/>
      <c r="I21" s="710"/>
      <c r="J21" s="97">
        <f>IF(C21=C56,D56,IF(C21=C57,D57,IF(C21=C58,D58)))</f>
        <v>15</v>
      </c>
      <c r="K21" s="661" t="str">
        <f>IF(E21&lt;&gt;"","OK", "INVALID")</f>
        <v>OK</v>
      </c>
      <c r="L21" s="92"/>
      <c r="M21" s="92"/>
      <c r="N21" s="92"/>
      <c r="O21" s="92"/>
      <c r="P21" s="92"/>
      <c r="Q21" s="92"/>
      <c r="R21" s="92"/>
      <c r="S21" s="92"/>
      <c r="T21" s="92"/>
      <c r="U21" s="92"/>
      <c r="V21" s="92"/>
      <c r="W21" s="92"/>
      <c r="X21" s="92"/>
      <c r="Y21" s="92"/>
      <c r="Z21" s="92"/>
    </row>
    <row r="22" spans="1:26" ht="36" customHeight="1">
      <c r="A22" s="100" t="s">
        <v>121</v>
      </c>
      <c r="B22" s="711" t="s">
        <v>613</v>
      </c>
      <c r="C22" s="711"/>
      <c r="D22" s="711"/>
      <c r="E22" s="710"/>
      <c r="F22" s="710"/>
      <c r="G22" s="710"/>
      <c r="H22" s="710"/>
      <c r="I22" s="710"/>
      <c r="J22" s="82"/>
      <c r="K22" s="92"/>
      <c r="L22" s="92"/>
      <c r="M22" s="92"/>
      <c r="N22" s="92"/>
      <c r="O22" s="92"/>
      <c r="P22" s="92"/>
      <c r="Q22" s="92"/>
      <c r="R22" s="92"/>
      <c r="S22" s="92"/>
      <c r="T22" s="92"/>
      <c r="U22" s="92"/>
      <c r="V22" s="92"/>
      <c r="W22" s="92"/>
      <c r="X22" s="92"/>
      <c r="Y22" s="92"/>
      <c r="Z22" s="92"/>
    </row>
    <row r="23" spans="1:26" ht="17.100000000000001" customHeight="1">
      <c r="A23" s="92"/>
      <c r="B23" s="711"/>
      <c r="C23" s="711"/>
      <c r="D23" s="711"/>
      <c r="E23" s="82"/>
      <c r="F23" s="82"/>
      <c r="G23" s="82"/>
      <c r="H23" s="82"/>
      <c r="I23" s="82"/>
      <c r="J23" s="82"/>
      <c r="K23" s="92"/>
      <c r="L23" s="92"/>
      <c r="M23" s="92"/>
      <c r="N23" s="92"/>
      <c r="O23" s="92"/>
      <c r="P23" s="92"/>
      <c r="Q23" s="92"/>
      <c r="R23" s="92"/>
      <c r="S23" s="92"/>
      <c r="T23" s="92"/>
      <c r="U23" s="92"/>
      <c r="V23" s="92"/>
      <c r="W23" s="92"/>
      <c r="X23" s="92"/>
      <c r="Y23" s="92"/>
      <c r="Z23" s="92"/>
    </row>
    <row r="24" spans="1:26" ht="33.950000000000003" customHeight="1">
      <c r="B24" s="541" t="s">
        <v>545</v>
      </c>
      <c r="C24" s="649" t="s">
        <v>589</v>
      </c>
      <c r="D24" s="545" t="s">
        <v>468</v>
      </c>
      <c r="E24" s="710" t="s">
        <v>639</v>
      </c>
      <c r="F24" s="710"/>
      <c r="G24" s="710"/>
      <c r="H24" s="710"/>
      <c r="I24" s="710"/>
      <c r="J24" s="97">
        <f>IF(C24=C61,D61,IF(C24=C62,D62,IF(C24=C63,D63)))</f>
        <v>9</v>
      </c>
      <c r="K24" s="661" t="str">
        <f>IF(E24&lt;&gt;"","OK", "INVALID")</f>
        <v>OK</v>
      </c>
      <c r="L24" s="92"/>
      <c r="M24" s="92"/>
      <c r="N24" s="92"/>
      <c r="O24" s="92"/>
      <c r="P24" s="92"/>
      <c r="Q24" s="92"/>
      <c r="R24" s="92"/>
      <c r="S24" s="92"/>
      <c r="T24" s="92"/>
      <c r="U24" s="92"/>
      <c r="V24" s="92"/>
      <c r="W24" s="92"/>
      <c r="X24" s="101" t="s">
        <v>123</v>
      </c>
      <c r="Y24" s="102"/>
      <c r="Z24" s="103"/>
    </row>
    <row r="25" spans="1:26" ht="60" customHeight="1">
      <c r="A25" s="100" t="s">
        <v>121</v>
      </c>
      <c r="B25" s="711" t="s">
        <v>602</v>
      </c>
      <c r="C25" s="711"/>
      <c r="D25" s="709"/>
      <c r="E25" s="710"/>
      <c r="F25" s="710"/>
      <c r="G25" s="710"/>
      <c r="H25" s="710"/>
      <c r="I25" s="710"/>
      <c r="J25" s="82"/>
      <c r="K25" s="92"/>
      <c r="L25" s="92"/>
      <c r="M25" s="92"/>
      <c r="N25" s="92"/>
      <c r="O25" s="92"/>
      <c r="P25" s="92"/>
      <c r="Q25" s="92"/>
      <c r="R25" s="92"/>
      <c r="S25" s="92"/>
      <c r="T25" s="92"/>
      <c r="U25" s="92"/>
      <c r="V25" s="92"/>
      <c r="W25" s="92"/>
      <c r="X25" s="104" t="s">
        <v>124</v>
      </c>
      <c r="Y25" s="105">
        <v>5</v>
      </c>
      <c r="Z25" s="103"/>
    </row>
    <row r="26" spans="1:26" ht="18.95" customHeight="1">
      <c r="A26" s="92"/>
      <c r="B26" s="126"/>
      <c r="C26" s="126"/>
      <c r="D26" s="126"/>
      <c r="E26" s="126"/>
      <c r="F26" s="126"/>
      <c r="G26" s="126"/>
      <c r="H26" s="126"/>
      <c r="I26" s="126"/>
      <c r="J26" s="126"/>
      <c r="K26" s="92"/>
      <c r="L26" s="92"/>
      <c r="M26" s="92"/>
      <c r="N26" s="92"/>
      <c r="O26" s="92"/>
      <c r="P26" s="92"/>
      <c r="Q26" s="92"/>
      <c r="R26" s="92"/>
      <c r="S26" s="92"/>
      <c r="T26" s="92"/>
      <c r="U26" s="92"/>
      <c r="V26" s="92"/>
      <c r="W26" s="92"/>
      <c r="X26" s="104" t="s">
        <v>126</v>
      </c>
      <c r="Y26" s="105">
        <v>3</v>
      </c>
      <c r="Z26" s="103"/>
    </row>
    <row r="27" spans="1:26" ht="27.95" customHeight="1">
      <c r="B27" s="541" t="s">
        <v>546</v>
      </c>
      <c r="C27" s="650" t="s">
        <v>577</v>
      </c>
      <c r="D27" s="545" t="s">
        <v>468</v>
      </c>
      <c r="E27" s="710" t="s">
        <v>640</v>
      </c>
      <c r="F27" s="710"/>
      <c r="G27" s="710"/>
      <c r="H27" s="710"/>
      <c r="I27" s="710"/>
      <c r="J27" s="97">
        <f>IF(C27=C66,D66,IF(C27=C67,D67,IF(C27=C68,D68)))</f>
        <v>15</v>
      </c>
      <c r="K27" s="661" t="str">
        <f>IF(E27&lt;&gt;"","OK", "INVALID")</f>
        <v>OK</v>
      </c>
      <c r="L27" s="92"/>
      <c r="M27" s="92"/>
      <c r="N27" s="106"/>
      <c r="O27" s="106"/>
      <c r="P27" s="107"/>
      <c r="Q27" s="108"/>
      <c r="R27" s="109"/>
      <c r="S27" s="92"/>
      <c r="T27" s="92"/>
      <c r="U27" s="92"/>
      <c r="V27" s="92"/>
      <c r="W27" s="92"/>
      <c r="X27" s="104" t="s">
        <v>67</v>
      </c>
      <c r="Y27" s="105">
        <v>0</v>
      </c>
      <c r="Z27" s="103"/>
    </row>
    <row r="28" spans="1:26" ht="69" customHeight="1">
      <c r="A28" s="100" t="s">
        <v>121</v>
      </c>
      <c r="B28" s="711" t="s">
        <v>603</v>
      </c>
      <c r="C28" s="711"/>
      <c r="D28" s="709"/>
      <c r="E28" s="710"/>
      <c r="F28" s="710"/>
      <c r="G28" s="710"/>
      <c r="H28" s="710"/>
      <c r="I28" s="710"/>
      <c r="J28" s="82"/>
      <c r="K28" s="92"/>
      <c r="L28" s="92"/>
      <c r="M28" s="92"/>
      <c r="N28" s="106"/>
      <c r="O28" s="106"/>
      <c r="P28" s="107"/>
      <c r="Q28" s="108"/>
      <c r="R28" s="109"/>
      <c r="S28" s="92"/>
      <c r="T28" s="92"/>
      <c r="U28" s="92"/>
      <c r="V28" s="92"/>
      <c r="W28" s="92"/>
      <c r="X28" s="110"/>
      <c r="Y28" s="102"/>
      <c r="Z28" s="110"/>
    </row>
    <row r="29" spans="1:26">
      <c r="A29" s="92"/>
      <c r="B29" s="126"/>
      <c r="C29" s="126"/>
      <c r="D29" s="126"/>
      <c r="E29" s="126"/>
      <c r="F29" s="126"/>
      <c r="G29" s="126"/>
      <c r="H29" s="126"/>
      <c r="I29" s="126"/>
      <c r="J29" s="126"/>
      <c r="K29" s="92"/>
      <c r="L29" s="92"/>
      <c r="M29" s="92"/>
      <c r="N29" s="92"/>
      <c r="O29" s="92"/>
      <c r="P29" s="92"/>
      <c r="Q29" s="92"/>
      <c r="R29" s="92"/>
      <c r="S29" s="92"/>
      <c r="T29" s="92"/>
      <c r="U29" s="92"/>
      <c r="V29" s="92"/>
      <c r="W29" s="92"/>
      <c r="X29" s="101" t="s">
        <v>128</v>
      </c>
      <c r="Y29" s="102"/>
      <c r="Z29" s="92"/>
    </row>
    <row r="30" spans="1:26" ht="23.45" customHeight="1">
      <c r="B30" s="541" t="s">
        <v>548</v>
      </c>
      <c r="C30" s="534" t="s">
        <v>130</v>
      </c>
      <c r="D30" s="545" t="s">
        <v>468</v>
      </c>
      <c r="E30" s="710" t="s">
        <v>641</v>
      </c>
      <c r="F30" s="710"/>
      <c r="G30" s="710"/>
      <c r="H30" s="710"/>
      <c r="I30" s="710"/>
      <c r="J30" s="97">
        <f>IF(C30=C71,D71,IF(C30=C72,D72,IF(C30=C73,D73)))</f>
        <v>10</v>
      </c>
      <c r="K30" s="661" t="str">
        <f>IF(E30&lt;&gt;"","OK", "INVALID")</f>
        <v>OK</v>
      </c>
      <c r="L30" s="92"/>
      <c r="M30" s="92"/>
      <c r="N30" s="92"/>
      <c r="O30" s="92"/>
      <c r="P30" s="92"/>
      <c r="Q30" s="92"/>
      <c r="R30" s="92"/>
      <c r="S30" s="92"/>
      <c r="T30" s="92"/>
      <c r="U30" s="92"/>
      <c r="V30" s="92"/>
      <c r="W30" s="92"/>
      <c r="X30" s="104" t="s">
        <v>125</v>
      </c>
      <c r="Y30" s="105">
        <v>5</v>
      </c>
      <c r="Z30" s="92"/>
    </row>
    <row r="31" spans="1:26" ht="67.5" customHeight="1">
      <c r="A31" s="100" t="s">
        <v>121</v>
      </c>
      <c r="B31" s="711" t="s">
        <v>583</v>
      </c>
      <c r="C31" s="711"/>
      <c r="D31" s="709"/>
      <c r="E31" s="710"/>
      <c r="F31" s="710"/>
      <c r="G31" s="710"/>
      <c r="H31" s="710"/>
      <c r="I31" s="710"/>
      <c r="J31" s="82"/>
      <c r="K31" s="92"/>
      <c r="L31" s="92"/>
      <c r="M31" s="92"/>
      <c r="N31" s="92"/>
      <c r="O31" s="92"/>
      <c r="P31" s="92"/>
      <c r="Q31" s="92"/>
      <c r="R31" s="92"/>
      <c r="S31" s="92"/>
      <c r="T31" s="92"/>
      <c r="U31" s="92"/>
      <c r="V31" s="92"/>
      <c r="W31" s="92"/>
      <c r="X31" s="104" t="s">
        <v>129</v>
      </c>
      <c r="Y31" s="105">
        <v>3</v>
      </c>
      <c r="Z31" s="92"/>
    </row>
    <row r="32" spans="1:26">
      <c r="A32" s="92"/>
      <c r="B32" s="538"/>
      <c r="C32" s="538"/>
      <c r="D32" s="539"/>
      <c r="E32" s="540"/>
      <c r="F32" s="540"/>
      <c r="G32" s="540"/>
      <c r="H32" s="540"/>
      <c r="I32" s="540"/>
      <c r="J32" s="126"/>
      <c r="K32" s="92"/>
      <c r="L32" s="92"/>
      <c r="M32" s="92"/>
      <c r="N32" s="92"/>
      <c r="O32" s="92"/>
      <c r="P32" s="92"/>
      <c r="Q32" s="92"/>
      <c r="R32" s="92"/>
      <c r="S32" s="92"/>
      <c r="T32" s="92"/>
      <c r="U32" s="92"/>
      <c r="V32" s="92"/>
      <c r="W32" s="92"/>
      <c r="X32" s="104" t="s">
        <v>131</v>
      </c>
      <c r="Y32" s="105">
        <v>0</v>
      </c>
      <c r="Z32" s="92"/>
    </row>
    <row r="33" spans="1:26" ht="26.1" customHeight="1">
      <c r="B33" s="541" t="s">
        <v>549</v>
      </c>
      <c r="C33" s="650" t="s">
        <v>569</v>
      </c>
      <c r="D33" s="545" t="s">
        <v>468</v>
      </c>
      <c r="E33" s="722" t="s">
        <v>642</v>
      </c>
      <c r="F33" s="723"/>
      <c r="G33" s="723"/>
      <c r="H33" s="723"/>
      <c r="I33" s="724"/>
      <c r="J33" s="97">
        <f>IF(C33=C76,D76,IF(C33=C77,D77,IF(C33=C78,D78)))</f>
        <v>3</v>
      </c>
      <c r="K33" s="661" t="str">
        <f>IF(E33&lt;&gt;"","OK", "INVALID")</f>
        <v>OK</v>
      </c>
      <c r="L33" s="92"/>
      <c r="M33" s="92"/>
      <c r="N33" s="92"/>
      <c r="O33" s="92"/>
      <c r="P33" s="92"/>
      <c r="Q33" s="92"/>
      <c r="R33" s="92"/>
      <c r="S33" s="92"/>
      <c r="T33" s="92"/>
      <c r="U33" s="92"/>
      <c r="V33" s="92"/>
      <c r="W33" s="92"/>
      <c r="X33" s="110"/>
      <c r="Y33" s="102"/>
      <c r="Z33" s="110"/>
    </row>
    <row r="34" spans="1:26" ht="17.100000000000001" customHeight="1">
      <c r="A34" s="92"/>
      <c r="B34" s="708" t="s">
        <v>584</v>
      </c>
      <c r="C34" s="708"/>
      <c r="D34" s="709"/>
      <c r="E34" s="725"/>
      <c r="F34" s="726"/>
      <c r="G34" s="726"/>
      <c r="H34" s="726"/>
      <c r="I34" s="727"/>
      <c r="J34" s="82"/>
      <c r="K34" s="92"/>
      <c r="L34" s="92"/>
      <c r="M34" s="92"/>
      <c r="N34" s="92"/>
      <c r="O34" s="92"/>
      <c r="P34" s="92"/>
      <c r="Q34" s="92"/>
      <c r="R34" s="92"/>
      <c r="S34" s="92"/>
      <c r="T34" s="92"/>
      <c r="U34" s="92"/>
      <c r="V34" s="92"/>
      <c r="W34" s="92"/>
      <c r="X34" s="101" t="s">
        <v>132</v>
      </c>
      <c r="Y34" s="102"/>
      <c r="Z34" s="110"/>
    </row>
    <row r="35" spans="1:26" ht="27.95" customHeight="1">
      <c r="A35" s="100" t="s">
        <v>121</v>
      </c>
      <c r="B35" s="708"/>
      <c r="C35" s="708"/>
      <c r="D35" s="709"/>
      <c r="E35" s="725"/>
      <c r="F35" s="726"/>
      <c r="G35" s="726"/>
      <c r="H35" s="726"/>
      <c r="I35" s="727"/>
      <c r="J35" s="82"/>
      <c r="K35" s="92"/>
      <c r="L35" s="92"/>
      <c r="M35" s="92"/>
      <c r="N35" s="92"/>
      <c r="O35" s="92"/>
      <c r="P35" s="92"/>
      <c r="Q35" s="92"/>
      <c r="R35" s="92"/>
      <c r="S35" s="92"/>
      <c r="T35" s="92"/>
      <c r="U35" s="92"/>
      <c r="V35" s="92"/>
      <c r="W35" s="92"/>
      <c r="X35" s="104" t="s">
        <v>67</v>
      </c>
      <c r="Y35" s="105">
        <v>0</v>
      </c>
      <c r="Z35" s="110"/>
    </row>
    <row r="36" spans="1:26" ht="14.1" customHeight="1">
      <c r="B36" s="708"/>
      <c r="C36" s="708"/>
      <c r="D36" s="709"/>
      <c r="E36" s="725"/>
      <c r="F36" s="726"/>
      <c r="G36" s="726"/>
      <c r="H36" s="726"/>
      <c r="I36" s="727"/>
      <c r="J36" s="82"/>
      <c r="K36" s="92"/>
      <c r="L36" s="92"/>
      <c r="M36" s="92"/>
      <c r="N36" s="92"/>
      <c r="O36" s="92"/>
      <c r="P36" s="92"/>
      <c r="Q36" s="92"/>
      <c r="R36" s="92"/>
      <c r="S36" s="92"/>
      <c r="T36" s="92"/>
      <c r="U36" s="92"/>
      <c r="V36" s="92"/>
      <c r="W36" s="92"/>
      <c r="X36" s="110"/>
      <c r="Y36" s="102"/>
      <c r="Z36" s="110"/>
    </row>
    <row r="37" spans="1:26" ht="14.1" customHeight="1">
      <c r="B37" s="708"/>
      <c r="C37" s="708"/>
      <c r="D37" s="709"/>
      <c r="E37" s="728"/>
      <c r="F37" s="729"/>
      <c r="G37" s="729"/>
      <c r="H37" s="729"/>
      <c r="I37" s="730"/>
      <c r="J37" s="82"/>
      <c r="K37" s="92"/>
      <c r="L37" s="92"/>
      <c r="M37" s="92"/>
      <c r="N37" s="92"/>
      <c r="O37" s="92"/>
      <c r="P37" s="92"/>
      <c r="Q37" s="92"/>
      <c r="R37" s="92"/>
      <c r="S37" s="92"/>
      <c r="T37" s="92"/>
      <c r="U37" s="92"/>
      <c r="V37" s="92"/>
      <c r="W37" s="92"/>
      <c r="X37" s="101" t="s">
        <v>133</v>
      </c>
      <c r="Y37" s="102"/>
      <c r="Z37" s="92"/>
    </row>
    <row r="38" spans="1:26" ht="14.1" customHeight="1">
      <c r="B38" s="537"/>
      <c r="C38" s="537"/>
      <c r="D38" s="170"/>
      <c r="E38" s="170"/>
      <c r="F38" s="170"/>
      <c r="G38" s="170"/>
      <c r="H38" s="170"/>
      <c r="I38" s="170"/>
      <c r="J38" s="126"/>
      <c r="K38" s="92"/>
      <c r="L38" s="92"/>
      <c r="M38" s="92"/>
      <c r="N38" s="92"/>
      <c r="O38" s="92"/>
      <c r="P38" s="92"/>
      <c r="Q38" s="92"/>
      <c r="R38" s="92"/>
      <c r="S38" s="92"/>
      <c r="T38" s="92"/>
      <c r="U38" s="92"/>
      <c r="V38" s="92"/>
      <c r="W38" s="92"/>
      <c r="X38" s="104" t="s">
        <v>130</v>
      </c>
      <c r="Y38" s="105">
        <v>5</v>
      </c>
      <c r="Z38" s="92"/>
    </row>
    <row r="39" spans="1:26" ht="29.45" customHeight="1">
      <c r="B39" s="536" t="str">
        <f>[5]Keys!A67</f>
        <v>Responsiveness</v>
      </c>
      <c r="C39" s="652" t="s">
        <v>571</v>
      </c>
      <c r="D39" s="545" t="s">
        <v>468</v>
      </c>
      <c r="E39" s="710" t="s">
        <v>643</v>
      </c>
      <c r="F39" s="710"/>
      <c r="G39" s="710"/>
      <c r="H39" s="710"/>
      <c r="I39" s="710"/>
      <c r="J39" s="97">
        <f>IF(C39=C79,D79,IF(C39=C80,D80,IF(C39=C81,D81)))</f>
        <v>5</v>
      </c>
      <c r="K39" s="661" t="str">
        <f>IF(E39&lt;&gt;"","OK", "INVALID")</f>
        <v>OK</v>
      </c>
      <c r="L39" s="92"/>
      <c r="M39" s="92"/>
      <c r="N39" s="92"/>
      <c r="O39" s="92"/>
      <c r="P39" s="92"/>
      <c r="Q39" s="92"/>
      <c r="R39" s="92"/>
      <c r="S39" s="92"/>
      <c r="T39" s="92"/>
      <c r="U39" s="92"/>
      <c r="V39" s="92"/>
      <c r="W39" s="92"/>
      <c r="X39" s="104" t="s">
        <v>134</v>
      </c>
      <c r="Y39" s="105">
        <v>3</v>
      </c>
      <c r="Z39" s="92"/>
    </row>
    <row r="40" spans="1:26" ht="58.5" customHeight="1">
      <c r="A40" s="651" t="s">
        <v>121</v>
      </c>
      <c r="B40" s="711" t="s">
        <v>586</v>
      </c>
      <c r="C40" s="711"/>
      <c r="D40" s="709"/>
      <c r="E40" s="710"/>
      <c r="F40" s="710"/>
      <c r="G40" s="710"/>
      <c r="H40" s="710"/>
      <c r="I40" s="710"/>
      <c r="J40" s="82"/>
      <c r="K40" s="92"/>
      <c r="L40" s="92"/>
      <c r="M40" s="92"/>
      <c r="N40" s="92"/>
      <c r="O40" s="92"/>
      <c r="P40" s="92"/>
      <c r="Q40" s="92"/>
      <c r="R40" s="92"/>
      <c r="S40" s="92"/>
      <c r="T40" s="92"/>
      <c r="U40" s="92"/>
      <c r="V40" s="92"/>
      <c r="W40" s="92"/>
      <c r="X40" s="104" t="s">
        <v>135</v>
      </c>
      <c r="Y40" s="105">
        <v>0</v>
      </c>
      <c r="Z40" s="92"/>
    </row>
    <row r="41" spans="1:26">
      <c r="A41" s="92"/>
      <c r="B41" s="126"/>
      <c r="C41" s="126"/>
      <c r="D41" s="126"/>
      <c r="E41" s="126"/>
      <c r="F41" s="126"/>
      <c r="G41" s="126"/>
      <c r="H41" s="126"/>
      <c r="I41" s="126"/>
      <c r="J41" s="126"/>
      <c r="K41" s="92"/>
      <c r="L41" s="92"/>
      <c r="M41" s="92"/>
      <c r="N41" s="92"/>
      <c r="O41" s="92"/>
      <c r="P41" s="92"/>
      <c r="Q41" s="92"/>
      <c r="R41" s="92"/>
      <c r="S41" s="92"/>
      <c r="T41" s="92"/>
      <c r="U41" s="92"/>
      <c r="V41" s="92"/>
      <c r="W41" s="92"/>
      <c r="X41" s="103"/>
      <c r="Y41" s="110"/>
      <c r="Z41" s="111"/>
    </row>
    <row r="42" spans="1:26" ht="36" customHeight="1">
      <c r="A42" s="100" t="s">
        <v>121</v>
      </c>
      <c r="B42" s="541" t="s">
        <v>547</v>
      </c>
      <c r="C42" s="649" t="s">
        <v>459</v>
      </c>
      <c r="D42" s="545" t="s">
        <v>468</v>
      </c>
      <c r="E42" s="716" t="s">
        <v>644</v>
      </c>
      <c r="F42" s="717"/>
      <c r="G42" s="717"/>
      <c r="H42" s="717"/>
      <c r="I42" s="718"/>
      <c r="J42" s="97">
        <f>IF(C42=C82,D82,IF(C42=C83,D83,IF(C42=C84,D84)))</f>
        <v>5</v>
      </c>
      <c r="K42" s="661" t="str">
        <f>IF(E42&lt;&gt;"","OK", "INVALID")</f>
        <v>OK</v>
      </c>
      <c r="L42" s="92"/>
      <c r="M42" s="92"/>
      <c r="N42" s="92"/>
      <c r="O42" s="92"/>
      <c r="P42" s="92"/>
      <c r="Q42" s="92"/>
      <c r="R42" s="92"/>
      <c r="S42" s="92"/>
      <c r="T42" s="92"/>
      <c r="U42" s="92"/>
      <c r="V42" s="92"/>
      <c r="W42" s="92"/>
      <c r="X42" s="112" t="s">
        <v>137</v>
      </c>
      <c r="Y42" s="110"/>
      <c r="Z42" s="111"/>
    </row>
    <row r="43" spans="1:26" ht="45.6" customHeight="1">
      <c r="A43" s="92"/>
      <c r="B43" s="711" t="s">
        <v>587</v>
      </c>
      <c r="C43" s="711"/>
      <c r="D43" s="709"/>
      <c r="E43" s="719"/>
      <c r="F43" s="720"/>
      <c r="G43" s="720"/>
      <c r="H43" s="720"/>
      <c r="I43" s="721"/>
      <c r="J43" s="82"/>
      <c r="K43" s="92"/>
      <c r="L43" s="92"/>
      <c r="M43" s="92"/>
      <c r="N43" s="92"/>
      <c r="O43" s="92"/>
      <c r="P43" s="92"/>
      <c r="Q43" s="92"/>
      <c r="R43" s="92"/>
      <c r="S43" s="92"/>
      <c r="T43" s="92"/>
      <c r="U43" s="92"/>
      <c r="V43" s="92"/>
      <c r="W43" s="92"/>
      <c r="X43" s="104" t="s">
        <v>111</v>
      </c>
      <c r="Y43" s="92"/>
      <c r="Z43" s="111"/>
    </row>
    <row r="44" spans="1:26">
      <c r="A44" s="92"/>
      <c r="B44" s="126"/>
      <c r="C44" s="126"/>
      <c r="D44" s="126"/>
      <c r="E44" s="126"/>
      <c r="F44" s="126"/>
      <c r="G44" s="126"/>
      <c r="H44" s="126"/>
      <c r="I44" s="126"/>
      <c r="J44" s="126"/>
      <c r="K44" s="92"/>
      <c r="L44" s="92"/>
      <c r="M44" s="92"/>
      <c r="N44" s="92"/>
      <c r="O44" s="92"/>
      <c r="P44" s="92"/>
      <c r="Q44" s="92"/>
      <c r="R44" s="92"/>
      <c r="S44" s="92"/>
      <c r="T44" s="92"/>
      <c r="U44" s="92"/>
      <c r="V44" s="92"/>
      <c r="W44" s="92"/>
      <c r="X44" s="104" t="s">
        <v>114</v>
      </c>
      <c r="Y44" s="92"/>
      <c r="Z44" s="111"/>
    </row>
    <row r="45" spans="1:26" ht="21" customHeight="1">
      <c r="A45" s="100" t="s">
        <v>121</v>
      </c>
      <c r="B45" s="536" t="str">
        <f>[5]Keys!A73</f>
        <v>3rd Party Opinion</v>
      </c>
      <c r="C45" s="649" t="s">
        <v>466</v>
      </c>
      <c r="D45" s="545" t="s">
        <v>468</v>
      </c>
      <c r="E45" s="710" t="s">
        <v>645</v>
      </c>
      <c r="F45" s="710"/>
      <c r="G45" s="710"/>
      <c r="H45" s="710"/>
      <c r="I45" s="710"/>
      <c r="J45" s="97">
        <f>IF(C45=C85,D85,IF(C45=C86,D86,IF(C45=C87,D87)))</f>
        <v>5</v>
      </c>
      <c r="K45" s="661" t="str">
        <f>IF(E45&lt;&gt;"","OK", "INVALID")</f>
        <v>OK</v>
      </c>
      <c r="L45" s="92"/>
      <c r="M45" s="92"/>
      <c r="N45" s="92"/>
      <c r="O45" s="92"/>
      <c r="P45" s="92"/>
      <c r="Q45" s="92"/>
      <c r="R45" s="92"/>
      <c r="S45" s="92"/>
      <c r="T45" s="92"/>
      <c r="U45" s="92"/>
      <c r="V45" s="92"/>
      <c r="W45" s="92"/>
      <c r="X45" s="104" t="s">
        <v>117</v>
      </c>
      <c r="Y45" s="92"/>
      <c r="Z45" s="111"/>
    </row>
    <row r="46" spans="1:26" ht="48.6" customHeight="1">
      <c r="A46" s="92"/>
      <c r="B46" s="711" t="s">
        <v>588</v>
      </c>
      <c r="C46" s="711"/>
      <c r="D46" s="709"/>
      <c r="E46" s="710"/>
      <c r="F46" s="710"/>
      <c r="G46" s="710"/>
      <c r="H46" s="710"/>
      <c r="I46" s="710"/>
      <c r="J46" s="82"/>
      <c r="K46" s="92"/>
      <c r="L46" s="92"/>
      <c r="M46" s="92"/>
      <c r="N46" s="92"/>
      <c r="O46" s="92"/>
      <c r="P46" s="92"/>
      <c r="Q46" s="92"/>
      <c r="R46" s="92"/>
      <c r="S46" s="92"/>
      <c r="T46" s="92"/>
      <c r="U46" s="92"/>
      <c r="V46" s="92"/>
      <c r="W46" s="92"/>
      <c r="X46" s="104" t="s">
        <v>136</v>
      </c>
      <c r="Y46" s="105">
        <v>3.5</v>
      </c>
      <c r="Z46" s="111"/>
    </row>
    <row r="47" spans="1:26">
      <c r="A47" s="92"/>
      <c r="B47" s="82"/>
      <c r="C47" s="82"/>
      <c r="D47" s="82"/>
      <c r="E47" s="82"/>
      <c r="F47" s="82"/>
      <c r="G47" s="546" t="s">
        <v>145</v>
      </c>
      <c r="H47" s="546"/>
      <c r="I47" s="546"/>
      <c r="J47" s="546">
        <v>100</v>
      </c>
      <c r="K47" s="92"/>
      <c r="L47" s="92"/>
      <c r="M47" s="92"/>
      <c r="N47" s="92"/>
      <c r="O47" s="92"/>
      <c r="P47" s="92"/>
      <c r="Q47" s="92"/>
      <c r="R47" s="92"/>
      <c r="S47" s="92"/>
      <c r="T47" s="92"/>
      <c r="U47" s="92"/>
      <c r="V47" s="92"/>
      <c r="W47" s="92"/>
      <c r="X47" s="104" t="s">
        <v>140</v>
      </c>
      <c r="Y47" s="105">
        <v>2</v>
      </c>
      <c r="Z47" s="110"/>
    </row>
    <row r="48" spans="1:26" ht="18.95" customHeight="1">
      <c r="A48" s="100"/>
      <c r="B48" s="82"/>
      <c r="C48" s="82"/>
      <c r="D48" s="82"/>
      <c r="E48" s="82"/>
      <c r="F48" s="82"/>
      <c r="G48" s="546" t="s">
        <v>118</v>
      </c>
      <c r="H48" s="546"/>
      <c r="I48" s="546"/>
      <c r="J48" s="546">
        <f>IF(AND(OR(K45="invalid",K42="invalid",K39="invalid",K33="invalid",K30="invalid",K27="invalid",K24="invalid",K21="invalid",K18="invalid")),"INVALID",SUM(I13+J18+J21+J24+J27+J30+J33+J39+J42+J45))</f>
        <v>87</v>
      </c>
      <c r="K48" s="92"/>
      <c r="L48" s="92"/>
      <c r="M48" s="92"/>
      <c r="N48" s="92"/>
      <c r="O48" s="92"/>
      <c r="P48" s="92"/>
      <c r="Q48" s="92"/>
      <c r="R48" s="92"/>
      <c r="S48" s="92"/>
      <c r="T48" s="92"/>
      <c r="U48" s="92"/>
      <c r="V48" s="92"/>
      <c r="W48" s="92"/>
      <c r="X48" s="104" t="s">
        <v>141</v>
      </c>
      <c r="Y48" s="105">
        <v>0</v>
      </c>
      <c r="Z48" s="113" t="s">
        <v>142</v>
      </c>
    </row>
    <row r="49" spans="1:26" ht="33.6" customHeight="1">
      <c r="A49" s="100"/>
      <c r="B49" s="82"/>
      <c r="C49" s="82"/>
      <c r="D49" s="82"/>
      <c r="E49" s="82"/>
      <c r="F49" s="665">
        <f>IF(G49="Borrower failed to pass qualitative assessment:DO NOT PROCEED",1,IF(G49="OK",3,""))</f>
        <v>3</v>
      </c>
      <c r="G49" s="715" t="str">
        <f>IF(AND(J48&gt;75,J48&lt;&gt;"invalid"),"OK",D51)</f>
        <v>OK</v>
      </c>
      <c r="H49" s="715"/>
      <c r="I49" s="715"/>
      <c r="J49" s="715"/>
      <c r="K49" s="92"/>
      <c r="L49" s="92"/>
      <c r="M49" s="92"/>
      <c r="N49" s="92"/>
      <c r="O49" s="92"/>
      <c r="P49" s="92"/>
      <c r="Q49" s="92"/>
      <c r="R49" s="92"/>
      <c r="S49" s="92"/>
      <c r="T49" s="92"/>
      <c r="U49" s="92"/>
      <c r="V49" s="92"/>
      <c r="W49" s="92"/>
      <c r="X49" s="104"/>
      <c r="Y49" s="105"/>
      <c r="Z49" s="113"/>
    </row>
    <row r="50" spans="1:26" hidden="1">
      <c r="A50" s="92"/>
      <c r="B50" s="82"/>
      <c r="C50" s="82"/>
      <c r="D50" s="82"/>
      <c r="E50" s="82"/>
      <c r="F50" s="82"/>
      <c r="G50" s="82"/>
      <c r="H50" s="82"/>
      <c r="I50" s="82"/>
      <c r="J50" s="82"/>
      <c r="K50" s="92"/>
      <c r="L50" s="92"/>
      <c r="M50" s="92"/>
      <c r="N50" s="92"/>
      <c r="O50" s="92"/>
      <c r="P50" s="92"/>
      <c r="Q50" s="92"/>
      <c r="R50" s="92"/>
      <c r="S50" s="92"/>
      <c r="T50" s="92"/>
      <c r="U50" s="92"/>
      <c r="V50" s="92"/>
      <c r="W50" s="92"/>
      <c r="X50" s="104" t="s">
        <v>138</v>
      </c>
      <c r="Y50" s="105">
        <v>4</v>
      </c>
      <c r="Z50" s="92"/>
    </row>
    <row r="51" spans="1:26" ht="23.1" hidden="1" customHeight="1">
      <c r="A51" s="92"/>
      <c r="B51" s="115" t="s">
        <v>148</v>
      </c>
      <c r="C51" s="92"/>
      <c r="D51" s="547" t="s">
        <v>149</v>
      </c>
      <c r="E51" s="92"/>
      <c r="F51" s="92"/>
      <c r="G51" s="92"/>
      <c r="H51" s="92"/>
      <c r="I51" s="92"/>
      <c r="J51" s="92"/>
      <c r="K51" s="92"/>
      <c r="L51" s="92"/>
      <c r="M51" s="92"/>
      <c r="N51" s="92"/>
      <c r="O51" s="92"/>
      <c r="P51" s="92"/>
      <c r="Q51" s="92"/>
      <c r="R51" s="92"/>
      <c r="S51" s="92"/>
      <c r="T51" s="92"/>
      <c r="U51" s="92"/>
      <c r="V51" s="92"/>
      <c r="W51" s="92"/>
      <c r="X51" s="104" t="s">
        <v>143</v>
      </c>
      <c r="Y51" s="105">
        <v>2</v>
      </c>
      <c r="Z51" s="92"/>
    </row>
    <row r="52" spans="1:26" ht="25.5" hidden="1">
      <c r="A52" s="92"/>
      <c r="B52" s="116"/>
      <c r="C52" s="92"/>
      <c r="D52" s="117" t="s">
        <v>150</v>
      </c>
      <c r="E52" s="92"/>
      <c r="F52" s="92"/>
      <c r="G52" s="92"/>
      <c r="H52" s="92"/>
      <c r="I52" s="92"/>
      <c r="J52" s="92"/>
      <c r="K52" s="92"/>
      <c r="L52" s="92"/>
      <c r="M52" s="92"/>
      <c r="N52" s="92"/>
      <c r="O52" s="92"/>
      <c r="P52" s="92"/>
      <c r="Q52" s="92"/>
      <c r="R52" s="92"/>
      <c r="S52" s="92"/>
      <c r="T52" s="92"/>
      <c r="U52" s="92"/>
      <c r="V52" s="92"/>
      <c r="W52" s="92"/>
      <c r="X52" s="104" t="s">
        <v>144</v>
      </c>
      <c r="Y52" s="105">
        <v>0</v>
      </c>
      <c r="Z52" s="92"/>
    </row>
    <row r="53" spans="1:26" ht="74.099999999999994" hidden="1" customHeight="1">
      <c r="A53" s="92"/>
      <c r="B53" s="118" t="s">
        <v>151</v>
      </c>
      <c r="C53" s="92"/>
      <c r="D53" s="92"/>
      <c r="E53" s="92"/>
      <c r="F53" s="92"/>
      <c r="G53" s="92"/>
      <c r="H53" s="92"/>
      <c r="I53" s="92"/>
      <c r="J53" s="92"/>
      <c r="K53" s="92"/>
      <c r="L53" s="92"/>
      <c r="M53" s="92"/>
      <c r="N53" s="92"/>
      <c r="O53" s="92"/>
      <c r="P53" s="92"/>
      <c r="Q53" s="92"/>
      <c r="R53" s="92"/>
      <c r="S53" s="92"/>
      <c r="T53" s="92"/>
      <c r="U53" s="92"/>
      <c r="V53" s="92"/>
      <c r="W53" s="92"/>
      <c r="X53" s="104" t="s">
        <v>139</v>
      </c>
      <c r="Y53" s="105">
        <v>3.5</v>
      </c>
      <c r="Z53" s="104" t="s">
        <v>146</v>
      </c>
    </row>
    <row r="54" spans="1:26" hidden="1">
      <c r="A54" s="92"/>
      <c r="B54" s="116"/>
      <c r="C54" s="92"/>
      <c r="D54" s="92"/>
      <c r="E54" s="92"/>
      <c r="F54" s="92"/>
      <c r="G54" s="92"/>
      <c r="H54" s="92"/>
      <c r="I54" s="92"/>
      <c r="J54" s="92"/>
      <c r="K54" s="92"/>
      <c r="L54" s="92"/>
      <c r="M54" s="92"/>
      <c r="N54" s="92"/>
      <c r="O54" s="92"/>
      <c r="P54" s="92"/>
      <c r="Q54" s="92"/>
      <c r="R54" s="92"/>
      <c r="S54" s="92"/>
      <c r="T54" s="92"/>
      <c r="U54" s="92"/>
      <c r="V54" s="92"/>
      <c r="W54" s="92"/>
      <c r="X54" s="104" t="s">
        <v>147</v>
      </c>
      <c r="Y54" s="105">
        <v>2</v>
      </c>
      <c r="Z54" s="111"/>
    </row>
    <row r="55" spans="1:26" ht="31.5" hidden="1">
      <c r="A55" s="92"/>
      <c r="B55" s="119" t="s">
        <v>152</v>
      </c>
      <c r="C55" s="101" t="s">
        <v>123</v>
      </c>
      <c r="D55" s="102"/>
      <c r="E55" s="103" t="s">
        <v>153</v>
      </c>
      <c r="F55" s="92"/>
      <c r="G55" s="92"/>
      <c r="H55" s="92"/>
      <c r="I55" s="92"/>
      <c r="J55" s="92"/>
      <c r="K55" s="92"/>
      <c r="L55" s="92"/>
      <c r="M55" s="92"/>
      <c r="N55" s="92"/>
      <c r="O55" s="92"/>
      <c r="P55" s="92"/>
      <c r="Q55" s="92"/>
      <c r="R55" s="92"/>
      <c r="S55" s="92"/>
      <c r="T55" s="92"/>
      <c r="U55" s="92"/>
      <c r="V55" s="92"/>
      <c r="W55" s="92"/>
      <c r="X55" s="110"/>
      <c r="Y55" s="102"/>
      <c r="Z55" s="113"/>
    </row>
    <row r="56" spans="1:26" hidden="1">
      <c r="B56" s="92"/>
      <c r="C56" s="104" t="s">
        <v>581</v>
      </c>
      <c r="D56" s="105">
        <v>15</v>
      </c>
      <c r="E56" s="103"/>
      <c r="F56" s="92" t="s">
        <v>154</v>
      </c>
      <c r="G56" s="92">
        <v>10</v>
      </c>
      <c r="H56" s="92"/>
      <c r="I56" s="92"/>
      <c r="J56" s="92"/>
      <c r="K56" s="92"/>
      <c r="L56" s="92"/>
      <c r="M56" s="92"/>
      <c r="N56" s="92"/>
      <c r="O56" s="92"/>
      <c r="P56" s="92"/>
      <c r="Q56" s="92"/>
      <c r="R56" s="92"/>
      <c r="S56" s="92"/>
      <c r="T56" s="92"/>
      <c r="U56" s="92"/>
      <c r="V56" s="92"/>
      <c r="W56" s="92"/>
      <c r="X56" s="110"/>
      <c r="Y56" s="102"/>
      <c r="Z56" s="113"/>
    </row>
    <row r="57" spans="1:26" hidden="1">
      <c r="B57" s="92"/>
      <c r="C57" s="104" t="s">
        <v>574</v>
      </c>
      <c r="D57" s="105">
        <v>7.5</v>
      </c>
      <c r="E57" s="103"/>
      <c r="F57" s="92" t="s">
        <v>155</v>
      </c>
      <c r="G57" s="92">
        <v>10</v>
      </c>
      <c r="H57" s="92"/>
      <c r="I57" s="92"/>
      <c r="J57" s="92"/>
      <c r="K57" s="92"/>
      <c r="L57" s="92"/>
      <c r="M57" s="92"/>
      <c r="N57" s="92"/>
      <c r="O57" s="92"/>
      <c r="P57" s="92"/>
      <c r="Q57" s="92"/>
      <c r="R57" s="92"/>
      <c r="S57" s="92"/>
      <c r="T57" s="92"/>
      <c r="U57" s="92"/>
      <c r="V57" s="92"/>
      <c r="W57" s="92"/>
      <c r="X57" s="110"/>
      <c r="Y57" s="102"/>
      <c r="Z57" s="113"/>
    </row>
    <row r="58" spans="1:26" hidden="1">
      <c r="B58" s="92"/>
      <c r="C58" s="104" t="s">
        <v>573</v>
      </c>
      <c r="D58" s="105">
        <v>3</v>
      </c>
      <c r="E58" s="103"/>
      <c r="F58" s="92" t="s">
        <v>156</v>
      </c>
      <c r="G58" s="92">
        <v>8</v>
      </c>
      <c r="H58" s="92"/>
      <c r="I58" s="92"/>
      <c r="J58" s="92"/>
      <c r="K58" s="92"/>
      <c r="L58" s="92"/>
      <c r="M58" s="92"/>
      <c r="N58" s="92"/>
      <c r="O58" s="92"/>
      <c r="P58" s="92"/>
      <c r="Q58" s="92"/>
      <c r="R58" s="92"/>
      <c r="S58" s="92"/>
      <c r="T58" s="92"/>
      <c r="U58" s="92"/>
      <c r="V58" s="92"/>
      <c r="W58" s="92"/>
      <c r="X58" s="110"/>
      <c r="Y58" s="102"/>
      <c r="Z58" s="113"/>
    </row>
    <row r="59" spans="1:26" hidden="1">
      <c r="B59" s="92"/>
      <c r="C59" s="110"/>
      <c r="D59" s="102"/>
      <c r="E59" s="110"/>
      <c r="F59" s="92" t="s">
        <v>157</v>
      </c>
      <c r="G59" s="92">
        <v>8</v>
      </c>
      <c r="H59" s="92"/>
      <c r="I59" s="92"/>
      <c r="J59" s="92"/>
      <c r="K59" s="92"/>
      <c r="L59" s="92"/>
      <c r="M59" s="92"/>
      <c r="N59" s="92"/>
      <c r="O59" s="92"/>
      <c r="P59" s="92"/>
      <c r="Q59" s="92"/>
      <c r="R59" s="92"/>
      <c r="S59" s="92"/>
      <c r="T59" s="92"/>
      <c r="U59" s="92"/>
      <c r="V59" s="92"/>
      <c r="W59" s="92"/>
      <c r="X59" s="110"/>
      <c r="Y59" s="102"/>
      <c r="Z59" s="113"/>
    </row>
    <row r="60" spans="1:26" hidden="1">
      <c r="C60" s="101" t="s">
        <v>128</v>
      </c>
      <c r="D60" s="102"/>
      <c r="E60" s="92"/>
      <c r="F60" s="92" t="s">
        <v>57</v>
      </c>
      <c r="G60" s="92">
        <v>0</v>
      </c>
      <c r="H60" s="92"/>
      <c r="I60" s="92"/>
      <c r="J60" s="92"/>
      <c r="K60" s="92"/>
      <c r="L60" s="92"/>
      <c r="M60" s="92"/>
      <c r="N60" s="92"/>
      <c r="O60" s="92"/>
      <c r="P60" s="92"/>
      <c r="Q60" s="92"/>
      <c r="R60" s="92"/>
      <c r="S60" s="92"/>
      <c r="T60" s="92"/>
      <c r="U60" s="92"/>
      <c r="V60" s="92"/>
      <c r="W60" s="92"/>
      <c r="X60" s="110"/>
      <c r="Y60" s="102"/>
      <c r="Z60" s="113"/>
    </row>
    <row r="61" spans="1:26" hidden="1">
      <c r="C61" s="104" t="s">
        <v>582</v>
      </c>
      <c r="D61" s="105">
        <v>14</v>
      </c>
      <c r="E61" s="92"/>
      <c r="F61" s="92" t="s">
        <v>158</v>
      </c>
      <c r="G61" s="92">
        <v>0</v>
      </c>
      <c r="H61" s="92"/>
      <c r="I61" s="92"/>
      <c r="J61" s="92"/>
      <c r="K61" s="92"/>
      <c r="L61" s="92"/>
      <c r="M61" s="92"/>
      <c r="N61" s="92"/>
      <c r="O61" s="92"/>
      <c r="P61" s="92"/>
      <c r="Q61" s="92"/>
      <c r="R61" s="92"/>
      <c r="S61" s="92"/>
      <c r="T61" s="92"/>
      <c r="U61" s="92"/>
      <c r="V61" s="92"/>
      <c r="W61" s="92"/>
      <c r="X61" s="110"/>
      <c r="Y61" s="102"/>
      <c r="Z61" s="113"/>
    </row>
    <row r="62" spans="1:26" hidden="1">
      <c r="C62" s="104" t="s">
        <v>589</v>
      </c>
      <c r="D62" s="105">
        <v>9</v>
      </c>
      <c r="E62" s="92"/>
      <c r="F62" s="92" t="s">
        <v>159</v>
      </c>
      <c r="G62" s="92">
        <v>0</v>
      </c>
      <c r="H62" s="92"/>
      <c r="I62" s="92"/>
      <c r="J62" s="92"/>
      <c r="K62" s="92"/>
      <c r="L62" s="92"/>
      <c r="M62" s="92"/>
      <c r="N62" s="92"/>
      <c r="O62" s="92"/>
      <c r="P62" s="92"/>
      <c r="Q62" s="92"/>
      <c r="R62" s="92"/>
      <c r="S62" s="92"/>
      <c r="T62" s="92"/>
      <c r="U62" s="92"/>
      <c r="V62" s="92"/>
      <c r="W62" s="92"/>
      <c r="X62" s="110"/>
      <c r="Y62" s="102"/>
      <c r="Z62" s="113"/>
    </row>
    <row r="63" spans="1:26" hidden="1">
      <c r="C63" s="104" t="s">
        <v>575</v>
      </c>
      <c r="D63" s="105">
        <v>4</v>
      </c>
      <c r="E63" s="92"/>
      <c r="F63" s="92"/>
      <c r="G63" s="92"/>
      <c r="H63" s="92"/>
      <c r="I63" s="92"/>
      <c r="J63" s="92"/>
      <c r="K63" s="92"/>
      <c r="L63" s="92"/>
      <c r="M63" s="92"/>
      <c r="N63" s="92"/>
      <c r="O63" s="92"/>
      <c r="P63" s="92"/>
      <c r="Q63" s="92"/>
      <c r="R63" s="92"/>
      <c r="S63" s="92"/>
      <c r="T63" s="92"/>
      <c r="U63" s="92"/>
      <c r="V63" s="92"/>
      <c r="W63" s="92"/>
      <c r="X63" s="110"/>
      <c r="Y63" s="102"/>
      <c r="Z63" s="113"/>
    </row>
    <row r="64" spans="1:26" ht="42.95" hidden="1" customHeight="1">
      <c r="C64" s="110"/>
      <c r="D64" s="102"/>
      <c r="E64" s="110"/>
      <c r="F64" s="92"/>
      <c r="G64" s="92"/>
      <c r="H64" s="92"/>
      <c r="I64" s="92"/>
      <c r="J64" s="92"/>
      <c r="K64" s="92"/>
      <c r="L64" s="92"/>
      <c r="M64" s="92"/>
      <c r="N64" s="92"/>
      <c r="O64" s="92"/>
      <c r="P64" s="92"/>
      <c r="Q64" s="92"/>
      <c r="R64" s="92"/>
      <c r="S64" s="92"/>
      <c r="T64" s="92"/>
      <c r="U64" s="92"/>
      <c r="V64" s="92"/>
      <c r="W64" s="92"/>
      <c r="X64" s="110"/>
      <c r="Y64" s="102"/>
      <c r="Z64" s="113"/>
    </row>
    <row r="65" spans="2:26" hidden="1">
      <c r="C65" s="101" t="s">
        <v>132</v>
      </c>
      <c r="D65" s="102"/>
      <c r="E65" s="120" t="s">
        <v>119</v>
      </c>
      <c r="F65" s="92"/>
      <c r="G65" s="92"/>
      <c r="H65" s="92"/>
      <c r="I65" s="92"/>
      <c r="J65" s="92"/>
      <c r="K65" s="92"/>
      <c r="L65" s="92"/>
      <c r="M65" s="92"/>
      <c r="N65" s="92"/>
      <c r="O65" s="92"/>
      <c r="P65" s="92"/>
      <c r="Q65" s="92"/>
      <c r="R65" s="92"/>
      <c r="S65" s="92"/>
      <c r="T65" s="92"/>
      <c r="U65" s="92"/>
      <c r="V65" s="92"/>
      <c r="W65" s="92"/>
      <c r="X65" s="110"/>
      <c r="Y65" s="102"/>
      <c r="Z65" s="113"/>
    </row>
    <row r="66" spans="2:26" hidden="1">
      <c r="C66" s="104" t="s">
        <v>577</v>
      </c>
      <c r="D66" s="105">
        <v>15</v>
      </c>
      <c r="E66" s="110"/>
      <c r="F66" s="92" t="s">
        <v>567</v>
      </c>
      <c r="G66" s="92">
        <v>3</v>
      </c>
      <c r="H66" s="92"/>
      <c r="I66" s="92"/>
      <c r="J66" s="92"/>
      <c r="K66" s="92"/>
      <c r="L66" s="92"/>
      <c r="M66" s="92"/>
      <c r="N66" s="92"/>
      <c r="O66" s="92"/>
      <c r="P66" s="92"/>
      <c r="Q66" s="92"/>
      <c r="R66" s="92"/>
      <c r="S66" s="92"/>
      <c r="T66" s="92"/>
      <c r="U66" s="92"/>
      <c r="V66" s="92"/>
      <c r="W66" s="92"/>
      <c r="X66" s="110"/>
      <c r="Y66" s="102"/>
      <c r="Z66" s="113"/>
    </row>
    <row r="67" spans="2:26" hidden="1">
      <c r="C67" s="104" t="s">
        <v>576</v>
      </c>
      <c r="D67" s="105">
        <v>8</v>
      </c>
      <c r="E67" s="110"/>
      <c r="F67" s="92" t="s">
        <v>565</v>
      </c>
      <c r="G67" s="92">
        <v>5</v>
      </c>
      <c r="H67" s="92"/>
      <c r="I67" s="92"/>
      <c r="J67" s="92"/>
      <c r="K67" s="92"/>
      <c r="L67" s="92"/>
      <c r="M67" s="92"/>
      <c r="N67" s="92"/>
      <c r="O67" s="92"/>
      <c r="P67" s="92"/>
      <c r="Q67" s="92"/>
      <c r="R67" s="92"/>
      <c r="S67" s="92"/>
      <c r="T67" s="92"/>
      <c r="U67" s="92"/>
      <c r="V67" s="92"/>
      <c r="W67" s="92"/>
      <c r="X67" s="110"/>
      <c r="Y67" s="102"/>
      <c r="Z67" s="113"/>
    </row>
    <row r="68" spans="2:26" hidden="1">
      <c r="C68" s="104" t="s">
        <v>578</v>
      </c>
      <c r="D68" s="105">
        <v>3</v>
      </c>
      <c r="E68" s="110"/>
      <c r="F68" s="92" t="s">
        <v>566</v>
      </c>
      <c r="G68" s="92">
        <v>7</v>
      </c>
      <c r="H68" s="92"/>
      <c r="I68" s="92"/>
      <c r="J68" s="92"/>
      <c r="K68" s="92"/>
      <c r="L68" s="92"/>
      <c r="M68" s="92"/>
      <c r="N68" s="92"/>
      <c r="O68" s="92"/>
      <c r="P68" s="92"/>
      <c r="Q68" s="92"/>
      <c r="R68" s="92"/>
      <c r="S68" s="92"/>
      <c r="T68" s="92"/>
      <c r="U68" s="92"/>
      <c r="V68" s="92"/>
      <c r="W68" s="92"/>
      <c r="X68" s="110"/>
      <c r="Y68" s="102"/>
      <c r="Z68" s="113"/>
    </row>
    <row r="69" spans="2:26" hidden="1">
      <c r="C69" s="110"/>
      <c r="D69" s="102"/>
      <c r="E69" s="110"/>
      <c r="F69" s="92" t="s">
        <v>120</v>
      </c>
      <c r="G69" s="92">
        <v>10</v>
      </c>
      <c r="H69" s="92"/>
      <c r="I69" s="92"/>
      <c r="J69" s="92"/>
      <c r="K69" s="92"/>
      <c r="L69" s="92"/>
      <c r="M69" s="92"/>
      <c r="N69" s="92"/>
      <c r="O69" s="92"/>
      <c r="P69" s="92"/>
      <c r="Q69" s="92"/>
      <c r="R69" s="92"/>
      <c r="S69" s="92"/>
      <c r="T69" s="92"/>
      <c r="U69" s="92"/>
      <c r="V69" s="92"/>
      <c r="W69" s="92"/>
      <c r="X69" s="110"/>
      <c r="Y69" s="102"/>
      <c r="Z69" s="113"/>
    </row>
    <row r="70" spans="2:26" hidden="1">
      <c r="C70" s="101" t="s">
        <v>161</v>
      </c>
      <c r="D70" s="102"/>
      <c r="E70" s="92"/>
      <c r="F70" s="92"/>
      <c r="G70" s="92"/>
      <c r="H70" s="92"/>
      <c r="I70" s="92"/>
      <c r="J70" s="92"/>
      <c r="K70" s="92"/>
      <c r="L70" s="92"/>
      <c r="M70" s="92"/>
      <c r="N70" s="92"/>
      <c r="O70" s="92"/>
      <c r="P70" s="92"/>
      <c r="Q70" s="92"/>
      <c r="R70" s="92"/>
      <c r="S70" s="92"/>
      <c r="T70" s="92"/>
      <c r="U70" s="92"/>
      <c r="V70" s="92"/>
      <c r="W70" s="92"/>
      <c r="X70" s="110"/>
      <c r="Y70" s="102"/>
      <c r="Z70" s="113"/>
    </row>
    <row r="71" spans="2:26" hidden="1">
      <c r="C71" s="104" t="s">
        <v>130</v>
      </c>
      <c r="D71" s="105">
        <v>10</v>
      </c>
      <c r="E71" s="121" t="s">
        <v>162</v>
      </c>
      <c r="F71" s="92"/>
      <c r="G71" s="92"/>
      <c r="H71" s="92"/>
      <c r="I71" s="92"/>
      <c r="J71" s="92"/>
      <c r="K71" s="92"/>
      <c r="L71" s="92"/>
      <c r="M71" s="92"/>
      <c r="N71" s="92"/>
      <c r="O71" s="92"/>
      <c r="P71" s="92"/>
      <c r="Q71" s="92"/>
      <c r="R71" s="92"/>
      <c r="S71" s="92"/>
      <c r="T71" s="92"/>
      <c r="U71" s="92"/>
      <c r="V71" s="92"/>
      <c r="W71" s="92"/>
      <c r="X71" s="110"/>
      <c r="Y71" s="102"/>
      <c r="Z71" s="113"/>
    </row>
    <row r="72" spans="2:26" hidden="1">
      <c r="C72" s="104" t="s">
        <v>163</v>
      </c>
      <c r="D72" s="105">
        <v>5</v>
      </c>
      <c r="E72" s="92"/>
      <c r="F72" s="92"/>
      <c r="G72" s="92"/>
      <c r="H72" s="92"/>
      <c r="I72" s="92"/>
      <c r="J72" s="92"/>
      <c r="K72" s="92"/>
      <c r="L72" s="92"/>
      <c r="M72" s="92"/>
      <c r="N72" s="92"/>
      <c r="O72" s="92"/>
      <c r="P72" s="92"/>
      <c r="Q72" s="92"/>
      <c r="R72" s="92"/>
      <c r="S72" s="92"/>
      <c r="T72" s="92"/>
      <c r="U72" s="92"/>
      <c r="V72" s="92"/>
      <c r="W72" s="92"/>
      <c r="X72" s="110"/>
      <c r="Y72" s="102"/>
      <c r="Z72" s="113"/>
    </row>
    <row r="73" spans="2:26" hidden="1">
      <c r="C73" s="104" t="s">
        <v>164</v>
      </c>
      <c r="D73" s="105">
        <v>2</v>
      </c>
      <c r="E73" s="92"/>
      <c r="F73" s="92"/>
      <c r="G73" s="92"/>
      <c r="H73" s="92"/>
      <c r="I73" s="92"/>
      <c r="J73" s="92"/>
      <c r="K73" s="92"/>
      <c r="L73" s="92"/>
      <c r="M73" s="92"/>
      <c r="N73" s="92"/>
      <c r="O73" s="92"/>
      <c r="P73" s="92"/>
      <c r="Q73" s="92"/>
      <c r="R73" s="92"/>
      <c r="S73" s="92"/>
      <c r="T73" s="92"/>
      <c r="U73" s="92"/>
      <c r="V73" s="92"/>
      <c r="W73" s="92"/>
      <c r="X73" s="110"/>
      <c r="Y73" s="102"/>
      <c r="Z73" s="113"/>
    </row>
    <row r="74" spans="2:26" hidden="1">
      <c r="C74" s="103"/>
      <c r="D74" s="110"/>
      <c r="E74" s="111"/>
      <c r="F74" s="92"/>
      <c r="G74" s="92"/>
      <c r="H74" s="92"/>
      <c r="I74" s="92"/>
      <c r="J74" s="92"/>
      <c r="K74" s="92"/>
      <c r="L74" s="92"/>
      <c r="M74" s="92"/>
      <c r="N74" s="92"/>
      <c r="O74" s="92"/>
      <c r="P74" s="92"/>
      <c r="Q74" s="92"/>
      <c r="R74" s="92"/>
      <c r="S74" s="92"/>
      <c r="T74" s="92"/>
      <c r="U74" s="92"/>
      <c r="V74" s="92"/>
      <c r="W74" s="92"/>
      <c r="X74" s="110"/>
      <c r="Y74" s="102"/>
      <c r="Z74" s="113"/>
    </row>
    <row r="75" spans="2:26" hidden="1">
      <c r="C75" s="112" t="s">
        <v>137</v>
      </c>
      <c r="D75" s="110"/>
      <c r="E75" s="111"/>
      <c r="F75" s="92"/>
      <c r="G75" s="92"/>
      <c r="H75" s="92"/>
      <c r="I75" s="92"/>
      <c r="J75" s="92"/>
      <c r="K75" s="92"/>
      <c r="L75" s="92"/>
      <c r="M75" s="92"/>
      <c r="N75" s="92"/>
      <c r="O75" s="92"/>
      <c r="P75" s="92"/>
      <c r="Q75" s="92"/>
      <c r="R75" s="92"/>
      <c r="S75" s="92"/>
      <c r="T75" s="92"/>
      <c r="U75" s="92"/>
      <c r="V75" s="92"/>
      <c r="W75" s="92"/>
      <c r="X75" s="110"/>
      <c r="Y75" s="102"/>
      <c r="Z75" s="113"/>
    </row>
    <row r="76" spans="2:26" hidden="1">
      <c r="B76" s="712" t="s">
        <v>165</v>
      </c>
      <c r="C76" s="104" t="s">
        <v>568</v>
      </c>
      <c r="D76" s="102">
        <v>6</v>
      </c>
      <c r="E76" s="111"/>
      <c r="F76" s="92"/>
      <c r="G76" s="92"/>
      <c r="H76" s="92"/>
      <c r="I76" s="92"/>
      <c r="J76" s="92"/>
      <c r="K76" s="92"/>
      <c r="L76" s="92"/>
      <c r="M76" s="92"/>
      <c r="N76" s="92"/>
      <c r="O76" s="92"/>
      <c r="P76" s="92"/>
      <c r="Q76" s="92"/>
      <c r="R76" s="92"/>
      <c r="S76" s="92"/>
      <c r="T76" s="92"/>
      <c r="U76" s="92"/>
      <c r="V76" s="92"/>
      <c r="W76" s="92"/>
      <c r="X76" s="110"/>
      <c r="Y76" s="102"/>
      <c r="Z76" s="113"/>
    </row>
    <row r="77" spans="2:26" hidden="1">
      <c r="B77" s="713"/>
      <c r="C77" s="104" t="s">
        <v>569</v>
      </c>
      <c r="D77" s="102">
        <v>3</v>
      </c>
      <c r="E77" s="111"/>
      <c r="F77" s="92"/>
      <c r="G77" s="92"/>
      <c r="H77" s="92"/>
      <c r="I77" s="92"/>
      <c r="J77" s="92"/>
      <c r="K77" s="92"/>
      <c r="L77" s="92"/>
      <c r="M77" s="92"/>
      <c r="N77" s="92"/>
      <c r="O77" s="92"/>
      <c r="P77" s="92"/>
      <c r="Q77" s="92"/>
      <c r="R77" s="92"/>
      <c r="S77" s="92"/>
      <c r="T77" s="92"/>
      <c r="U77" s="92"/>
      <c r="V77" s="92"/>
      <c r="W77" s="92"/>
      <c r="X77" s="110"/>
      <c r="Y77" s="102"/>
      <c r="Z77" s="113"/>
    </row>
    <row r="78" spans="2:26" hidden="1">
      <c r="B78" s="714"/>
      <c r="C78" s="104" t="s">
        <v>570</v>
      </c>
      <c r="D78" s="102">
        <v>0</v>
      </c>
      <c r="E78" s="111"/>
      <c r="F78" s="92"/>
      <c r="G78" s="92"/>
      <c r="H78" s="92"/>
      <c r="I78" s="92"/>
      <c r="J78" s="92"/>
      <c r="K78" s="92"/>
      <c r="L78" s="92"/>
      <c r="M78" s="92"/>
      <c r="N78" s="92"/>
      <c r="O78" s="92"/>
      <c r="P78" s="92"/>
      <c r="Q78" s="92"/>
      <c r="R78" s="92"/>
      <c r="S78" s="92"/>
      <c r="T78" s="92"/>
      <c r="U78" s="92"/>
      <c r="V78" s="92"/>
      <c r="W78" s="92"/>
      <c r="X78" s="110"/>
      <c r="Y78" s="102"/>
      <c r="Z78" s="113"/>
    </row>
    <row r="79" spans="2:26" hidden="1">
      <c r="B79" s="712" t="s">
        <v>166</v>
      </c>
      <c r="C79" s="104" t="s">
        <v>571</v>
      </c>
      <c r="D79" s="105">
        <v>5</v>
      </c>
      <c r="E79" s="111"/>
      <c r="F79" s="92"/>
      <c r="G79" s="92"/>
      <c r="H79" s="92"/>
      <c r="I79" s="92"/>
      <c r="J79" s="92"/>
      <c r="K79" s="92"/>
      <c r="L79" s="92"/>
      <c r="M79" s="92"/>
      <c r="N79" s="92"/>
      <c r="O79" s="92"/>
      <c r="P79" s="92"/>
      <c r="Q79" s="92"/>
      <c r="R79" s="92"/>
      <c r="S79" s="92"/>
      <c r="T79" s="92"/>
      <c r="U79" s="92"/>
      <c r="V79" s="92"/>
      <c r="W79" s="92"/>
      <c r="X79" s="110"/>
      <c r="Y79" s="102"/>
      <c r="Z79" s="113"/>
    </row>
    <row r="80" spans="2:26" hidden="1">
      <c r="B80" s="713"/>
      <c r="C80" s="104" t="s">
        <v>585</v>
      </c>
      <c r="D80" s="105">
        <v>3</v>
      </c>
      <c r="E80" s="110"/>
      <c r="F80" s="92"/>
      <c r="G80" s="92"/>
      <c r="H80" s="92"/>
      <c r="I80" s="92"/>
      <c r="J80" s="92"/>
      <c r="K80" s="92"/>
      <c r="L80" s="92"/>
      <c r="M80" s="92"/>
      <c r="N80" s="92"/>
      <c r="O80" s="92"/>
      <c r="P80" s="92"/>
      <c r="Q80" s="92"/>
      <c r="R80" s="92"/>
      <c r="S80" s="92"/>
      <c r="T80" s="92"/>
      <c r="U80" s="92"/>
      <c r="V80" s="92"/>
      <c r="W80" s="92"/>
      <c r="X80" s="110"/>
      <c r="Y80" s="102"/>
      <c r="Z80" s="113"/>
    </row>
    <row r="81" spans="2:26" hidden="1">
      <c r="B81" s="714"/>
      <c r="C81" s="104" t="s">
        <v>572</v>
      </c>
      <c r="D81" s="105">
        <v>0</v>
      </c>
      <c r="E81" s="113" t="s">
        <v>142</v>
      </c>
      <c r="F81" s="92"/>
      <c r="G81" s="92"/>
      <c r="H81" s="92"/>
      <c r="I81" s="92"/>
      <c r="J81" s="92"/>
      <c r="K81" s="92"/>
      <c r="L81" s="92"/>
      <c r="M81" s="92"/>
      <c r="N81" s="92"/>
      <c r="O81" s="92"/>
      <c r="P81" s="92"/>
      <c r="Q81" s="92"/>
      <c r="R81" s="92"/>
      <c r="S81" s="92"/>
      <c r="T81" s="92"/>
      <c r="U81" s="92"/>
      <c r="V81" s="92"/>
      <c r="W81" s="92"/>
      <c r="X81" s="110"/>
      <c r="Y81" s="102"/>
      <c r="Z81" s="113"/>
    </row>
    <row r="82" spans="2:26" hidden="1">
      <c r="B82" s="712" t="s">
        <v>457</v>
      </c>
      <c r="C82" s="104" t="s">
        <v>458</v>
      </c>
      <c r="D82" s="105">
        <v>10</v>
      </c>
      <c r="E82" s="92"/>
      <c r="F82" s="92"/>
      <c r="G82" s="92"/>
      <c r="H82" s="92"/>
      <c r="I82" s="92"/>
      <c r="J82" s="92"/>
      <c r="K82" s="92"/>
      <c r="L82" s="92"/>
      <c r="M82" s="92"/>
      <c r="N82" s="92"/>
      <c r="O82" s="92"/>
      <c r="P82" s="92"/>
      <c r="Q82" s="92"/>
      <c r="R82" s="92"/>
      <c r="S82" s="92"/>
      <c r="T82" s="92"/>
      <c r="U82" s="92"/>
      <c r="V82" s="92"/>
      <c r="W82" s="92"/>
      <c r="X82" s="110"/>
      <c r="Y82" s="102"/>
      <c r="Z82" s="113"/>
    </row>
    <row r="83" spans="2:26" hidden="1">
      <c r="B83" s="713"/>
      <c r="C83" s="104" t="s">
        <v>459</v>
      </c>
      <c r="D83" s="105">
        <v>5</v>
      </c>
      <c r="E83" s="92"/>
      <c r="F83" s="92"/>
      <c r="G83" s="92"/>
      <c r="H83" s="92"/>
      <c r="I83" s="92"/>
      <c r="J83" s="92"/>
      <c r="K83" s="92"/>
      <c r="L83" s="92"/>
      <c r="M83" s="92"/>
      <c r="N83" s="92"/>
      <c r="O83" s="92"/>
      <c r="P83" s="92"/>
      <c r="Q83" s="92"/>
      <c r="R83" s="92"/>
      <c r="S83" s="92"/>
      <c r="T83" s="92"/>
      <c r="U83" s="92"/>
      <c r="V83" s="92"/>
      <c r="W83" s="92"/>
      <c r="X83" s="110"/>
      <c r="Y83" s="102"/>
      <c r="Z83" s="113"/>
    </row>
    <row r="84" spans="2:26" hidden="1">
      <c r="B84" s="714"/>
      <c r="C84" s="104" t="s">
        <v>579</v>
      </c>
      <c r="D84" s="105">
        <v>2</v>
      </c>
      <c r="E84" s="92"/>
      <c r="F84" s="92"/>
      <c r="G84" s="92"/>
      <c r="H84" s="92"/>
      <c r="I84" s="92"/>
      <c r="J84" s="92"/>
      <c r="K84" s="92"/>
      <c r="L84" s="92"/>
      <c r="M84" s="92"/>
      <c r="N84" s="92"/>
      <c r="O84" s="92"/>
      <c r="P84" s="92"/>
      <c r="Q84" s="92"/>
      <c r="R84" s="92"/>
      <c r="S84" s="92"/>
      <c r="T84" s="92"/>
      <c r="U84" s="92"/>
      <c r="V84" s="92"/>
      <c r="W84" s="92"/>
      <c r="X84" s="110"/>
      <c r="Y84" s="102"/>
      <c r="Z84" s="113"/>
    </row>
    <row r="85" spans="2:26" hidden="1">
      <c r="B85" s="712" t="s">
        <v>168</v>
      </c>
      <c r="C85" s="104" t="s">
        <v>466</v>
      </c>
      <c r="D85" s="105">
        <v>5</v>
      </c>
      <c r="E85" s="104" t="s">
        <v>146</v>
      </c>
      <c r="F85" s="92"/>
      <c r="G85" s="92"/>
      <c r="H85" s="92"/>
      <c r="I85" s="92"/>
      <c r="J85" s="92"/>
      <c r="K85" s="92"/>
      <c r="L85" s="92"/>
      <c r="M85" s="92"/>
      <c r="N85" s="92"/>
      <c r="O85" s="92"/>
      <c r="P85" s="92"/>
      <c r="Q85" s="92"/>
      <c r="R85" s="92"/>
      <c r="S85" s="92"/>
      <c r="T85" s="92"/>
      <c r="U85" s="92"/>
      <c r="V85" s="92"/>
      <c r="W85" s="92"/>
      <c r="X85" s="110"/>
      <c r="Y85" s="102"/>
      <c r="Z85" s="113"/>
    </row>
    <row r="86" spans="2:26" hidden="1">
      <c r="B86" s="713"/>
      <c r="C86" s="104" t="s">
        <v>169</v>
      </c>
      <c r="D86" s="105">
        <v>3</v>
      </c>
      <c r="E86" s="111"/>
      <c r="F86" s="92"/>
      <c r="G86" s="92"/>
      <c r="H86" s="92"/>
      <c r="I86" s="92"/>
      <c r="J86" s="92"/>
      <c r="K86" s="92"/>
      <c r="L86" s="92"/>
      <c r="M86" s="92"/>
      <c r="N86" s="92"/>
      <c r="O86" s="92"/>
      <c r="P86" s="92"/>
      <c r="Q86" s="92"/>
      <c r="R86" s="92"/>
      <c r="S86" s="92"/>
      <c r="T86" s="92"/>
      <c r="U86" s="92"/>
      <c r="V86" s="92"/>
      <c r="W86" s="92"/>
      <c r="X86" s="110"/>
      <c r="Y86" s="102"/>
      <c r="Z86" s="113"/>
    </row>
    <row r="87" spans="2:26" hidden="1">
      <c r="B87" s="714"/>
      <c r="C87" s="104" t="s">
        <v>580</v>
      </c>
      <c r="D87" s="105">
        <v>0</v>
      </c>
      <c r="E87" s="113" t="s">
        <v>170</v>
      </c>
      <c r="F87" s="92"/>
      <c r="G87" s="92"/>
      <c r="H87" s="92"/>
      <c r="I87" s="92"/>
      <c r="J87" s="92"/>
      <c r="K87" s="92"/>
      <c r="L87" s="92"/>
      <c r="M87" s="92"/>
      <c r="N87" s="92"/>
      <c r="O87" s="92"/>
      <c r="P87" s="92"/>
      <c r="Q87" s="92"/>
      <c r="R87" s="92"/>
      <c r="S87" s="92"/>
      <c r="T87" s="92"/>
      <c r="U87" s="92"/>
      <c r="V87" s="92"/>
      <c r="W87" s="92"/>
      <c r="X87" s="110"/>
      <c r="Y87" s="102"/>
      <c r="Z87" s="113"/>
    </row>
    <row r="88" spans="2:26" hidden="1">
      <c r="B88" s="92"/>
      <c r="C88" s="110"/>
      <c r="D88" s="102"/>
      <c r="E88" s="104" t="s">
        <v>127</v>
      </c>
      <c r="F88" s="92"/>
      <c r="G88" s="92"/>
      <c r="H88" s="92"/>
      <c r="I88" s="92"/>
      <c r="J88" s="92"/>
      <c r="K88" s="92"/>
      <c r="L88" s="92"/>
      <c r="M88" s="92"/>
      <c r="N88" s="92"/>
      <c r="O88" s="92"/>
      <c r="P88" s="92"/>
      <c r="Q88" s="92"/>
      <c r="R88" s="92"/>
      <c r="S88" s="92"/>
      <c r="T88" s="92"/>
      <c r="U88" s="92"/>
      <c r="V88" s="92"/>
      <c r="W88" s="92"/>
      <c r="X88" s="110"/>
      <c r="Y88" s="102"/>
      <c r="Z88" s="113"/>
    </row>
    <row r="89" spans="2:26" hidden="1">
      <c r="B89" s="92"/>
      <c r="C89" s="103"/>
      <c r="D89" s="103"/>
      <c r="E89" s="104" t="s">
        <v>160</v>
      </c>
      <c r="F89" s="92"/>
      <c r="G89" s="92"/>
      <c r="H89" s="92"/>
      <c r="I89" s="92"/>
      <c r="J89" s="92"/>
      <c r="K89" s="92"/>
      <c r="L89" s="92"/>
      <c r="M89" s="92"/>
      <c r="N89" s="92"/>
      <c r="O89" s="92"/>
      <c r="P89" s="92"/>
      <c r="Q89" s="92"/>
      <c r="R89" s="92"/>
      <c r="S89" s="92"/>
      <c r="T89" s="92"/>
      <c r="U89" s="92"/>
      <c r="V89" s="92"/>
      <c r="W89" s="92"/>
      <c r="X89" s="110"/>
      <c r="Y89" s="102"/>
      <c r="Z89" s="113"/>
    </row>
    <row r="90" spans="2:26" hidden="1">
      <c r="B90" s="92"/>
      <c r="C90" s="113"/>
      <c r="D90" s="111"/>
      <c r="E90" s="104" t="s">
        <v>167</v>
      </c>
      <c r="F90" s="92"/>
      <c r="G90" s="92"/>
      <c r="H90" s="92"/>
      <c r="I90" s="92"/>
      <c r="J90" s="92"/>
      <c r="K90" s="92"/>
      <c r="L90" s="92"/>
      <c r="M90" s="92"/>
      <c r="N90" s="92"/>
      <c r="O90" s="92"/>
      <c r="P90" s="92"/>
      <c r="Q90" s="92"/>
      <c r="R90" s="92"/>
      <c r="S90" s="92"/>
      <c r="T90" s="92"/>
      <c r="U90" s="92"/>
      <c r="V90" s="92"/>
      <c r="W90" s="92"/>
      <c r="X90" s="110"/>
      <c r="Y90" s="102"/>
      <c r="Z90" s="113"/>
    </row>
    <row r="91" spans="2:26" hidden="1">
      <c r="B91" s="92"/>
      <c r="C91" s="111"/>
      <c r="D91" s="122"/>
      <c r="E91" s="104" t="s">
        <v>67</v>
      </c>
      <c r="F91" s="92"/>
      <c r="G91" s="92"/>
      <c r="H91" s="92"/>
      <c r="I91" s="92"/>
      <c r="J91" s="92"/>
      <c r="K91" s="92"/>
      <c r="L91" s="92"/>
      <c r="M91" s="92"/>
      <c r="N91" s="92"/>
      <c r="O91" s="92"/>
      <c r="P91" s="92"/>
      <c r="Q91" s="92"/>
      <c r="R91" s="92"/>
      <c r="S91" s="92"/>
      <c r="T91" s="92"/>
      <c r="U91" s="92"/>
      <c r="V91" s="92"/>
      <c r="W91" s="92"/>
      <c r="X91" s="110"/>
      <c r="Y91" s="102"/>
      <c r="Z91" s="104" t="s">
        <v>127</v>
      </c>
    </row>
    <row r="92" spans="2:26" hidden="1">
      <c r="K92" s="92"/>
      <c r="L92" s="92"/>
      <c r="M92" s="92"/>
      <c r="N92" s="92"/>
      <c r="O92" s="92"/>
      <c r="P92" s="92"/>
      <c r="Q92" s="92"/>
      <c r="R92" s="92"/>
      <c r="S92" s="92"/>
      <c r="T92" s="92"/>
      <c r="U92" s="92"/>
      <c r="V92" s="92"/>
      <c r="W92" s="92"/>
      <c r="X92" s="103"/>
      <c r="Y92" s="103"/>
      <c r="Z92" s="104" t="s">
        <v>160</v>
      </c>
    </row>
    <row r="93" spans="2:26" hidden="1">
      <c r="K93" s="92"/>
      <c r="L93" s="92"/>
      <c r="M93" s="92"/>
      <c r="N93" s="92"/>
      <c r="O93" s="92"/>
      <c r="P93" s="92"/>
      <c r="Q93" s="92"/>
      <c r="R93" s="92"/>
      <c r="S93" s="92"/>
      <c r="T93" s="92"/>
      <c r="U93" s="92"/>
      <c r="V93" s="92"/>
      <c r="W93" s="92"/>
      <c r="X93" s="113"/>
      <c r="Y93" s="111"/>
      <c r="Z93" s="104" t="s">
        <v>167</v>
      </c>
    </row>
    <row r="94" spans="2:26" hidden="1">
      <c r="K94" s="92"/>
      <c r="L94" s="92"/>
      <c r="M94" s="92"/>
      <c r="N94" s="92"/>
      <c r="O94" s="92"/>
      <c r="P94" s="92"/>
      <c r="Q94" s="92"/>
      <c r="R94" s="92"/>
      <c r="S94" s="92"/>
      <c r="T94" s="92"/>
      <c r="U94" s="92"/>
      <c r="V94" s="92"/>
      <c r="W94" s="92"/>
      <c r="X94" s="111"/>
      <c r="Y94" s="122"/>
      <c r="Z94" s="104" t="s">
        <v>67</v>
      </c>
    </row>
    <row r="95" spans="2:26" hidden="1">
      <c r="K95" s="92"/>
      <c r="L95" s="92"/>
      <c r="M95" s="92"/>
      <c r="N95" s="92"/>
      <c r="O95" s="92"/>
      <c r="P95" s="92"/>
      <c r="Q95" s="92"/>
      <c r="R95" s="92"/>
      <c r="S95" s="92"/>
      <c r="T95" s="92"/>
      <c r="U95" s="92"/>
      <c r="V95" s="92"/>
      <c r="W95" s="92"/>
      <c r="X95" s="92"/>
      <c r="Y95" s="92"/>
      <c r="Z95" s="92"/>
    </row>
    <row r="96" spans="2:26" hidden="1">
      <c r="K96" s="92"/>
      <c r="L96" s="92"/>
      <c r="M96" s="92"/>
      <c r="N96" s="92"/>
      <c r="O96" s="92"/>
      <c r="P96" s="92"/>
      <c r="Q96" s="92"/>
      <c r="R96" s="92"/>
      <c r="S96" s="92"/>
      <c r="T96" s="92"/>
      <c r="U96" s="92"/>
      <c r="V96" s="92"/>
      <c r="W96" s="92"/>
      <c r="X96" s="92"/>
      <c r="Y96" s="92"/>
      <c r="Z96" s="92"/>
    </row>
    <row r="97" spans="12:26" hidden="1">
      <c r="L97" s="92"/>
      <c r="M97" s="92"/>
      <c r="N97" s="92"/>
      <c r="O97" s="92"/>
      <c r="P97" s="92"/>
      <c r="Q97" s="92"/>
      <c r="R97" s="92"/>
      <c r="S97" s="92"/>
      <c r="T97" s="92"/>
      <c r="U97" s="92"/>
      <c r="V97" s="92"/>
      <c r="W97" s="92"/>
      <c r="X97" s="92"/>
      <c r="Y97" s="92"/>
      <c r="Z97" s="92"/>
    </row>
    <row r="98" spans="12:26" hidden="1">
      <c r="L98" s="92"/>
      <c r="M98" s="92"/>
      <c r="N98" s="92"/>
      <c r="O98" s="92"/>
      <c r="P98" s="92"/>
      <c r="Q98" s="92"/>
      <c r="R98" s="92"/>
      <c r="S98" s="92"/>
      <c r="T98" s="92"/>
      <c r="U98" s="92"/>
      <c r="V98" s="92"/>
      <c r="W98" s="92"/>
      <c r="X98" s="92"/>
      <c r="Y98" s="92"/>
      <c r="Z98" s="92"/>
    </row>
    <row r="99" spans="12:26" hidden="1">
      <c r="L99" s="92"/>
      <c r="M99" s="92"/>
      <c r="N99" s="92"/>
      <c r="O99" s="92"/>
      <c r="P99" s="92"/>
      <c r="Q99" s="92"/>
      <c r="R99" s="92"/>
      <c r="S99" s="92"/>
      <c r="T99" s="92"/>
      <c r="U99" s="92"/>
      <c r="V99" s="92"/>
      <c r="W99" s="92"/>
      <c r="X99" s="92"/>
      <c r="Y99" s="92"/>
      <c r="Z99" s="92"/>
    </row>
    <row r="100" spans="12:26" hidden="1">
      <c r="L100" s="92"/>
      <c r="M100" s="92"/>
      <c r="N100" s="92"/>
      <c r="O100" s="92"/>
      <c r="P100" s="92"/>
      <c r="Q100" s="92"/>
      <c r="R100" s="92"/>
      <c r="S100" s="92"/>
      <c r="T100" s="92"/>
      <c r="U100" s="92"/>
      <c r="V100" s="92"/>
      <c r="W100" s="92"/>
      <c r="X100" s="92"/>
      <c r="Y100" s="92"/>
      <c r="Z100" s="92"/>
    </row>
    <row r="101" spans="12:26" hidden="1">
      <c r="L101" s="92"/>
      <c r="M101" s="92"/>
      <c r="N101" s="92"/>
      <c r="O101" s="92"/>
      <c r="P101" s="92"/>
      <c r="Q101" s="92"/>
      <c r="R101" s="92"/>
      <c r="S101" s="92"/>
      <c r="T101" s="92"/>
      <c r="U101" s="92"/>
      <c r="V101" s="92"/>
      <c r="W101" s="92"/>
      <c r="X101" s="92"/>
      <c r="Y101" s="92"/>
      <c r="Z101" s="92"/>
    </row>
    <row r="102" spans="12:26" hidden="1">
      <c r="L102" s="92"/>
      <c r="M102" s="92"/>
      <c r="N102" s="92"/>
      <c r="O102" s="92"/>
      <c r="P102" s="92"/>
      <c r="Q102" s="92"/>
      <c r="R102" s="92"/>
      <c r="S102" s="92"/>
      <c r="T102" s="92"/>
      <c r="U102" s="92"/>
      <c r="V102" s="92"/>
      <c r="W102" s="92"/>
      <c r="X102" s="92"/>
      <c r="Y102" s="92"/>
      <c r="Z102" s="92"/>
    </row>
    <row r="103" spans="12:26" hidden="1">
      <c r="L103" s="92"/>
      <c r="M103" s="92"/>
      <c r="N103" s="92"/>
      <c r="O103" s="92"/>
      <c r="P103" s="92"/>
      <c r="Q103" s="92"/>
      <c r="R103" s="92"/>
      <c r="S103" s="92"/>
      <c r="T103" s="92"/>
      <c r="U103" s="92"/>
      <c r="V103" s="92"/>
      <c r="W103" s="92"/>
      <c r="X103" s="92"/>
      <c r="Y103" s="92"/>
      <c r="Z103" s="92"/>
    </row>
    <row r="104" spans="12:26" hidden="1"/>
    <row r="105" spans="12:26" hidden="1"/>
  </sheetData>
  <sheetProtection password="CA61" sheet="1" objects="1" scenarios="1"/>
  <protectedRanges>
    <protectedRange sqref="E33 C21 C24 C27 C30 C33 E34:G36 C39 C42 C45 E45 E42 E39 E30 E27 E24 E21 B10:I11 C18 E18 C5:C6" name="Range1"/>
  </protectedRanges>
  <mergeCells count="26">
    <mergeCell ref="E21:I22"/>
    <mergeCell ref="B1:I1"/>
    <mergeCell ref="J8:J9"/>
    <mergeCell ref="J15:J16"/>
    <mergeCell ref="E18:I19"/>
    <mergeCell ref="B19:D19"/>
    <mergeCell ref="B22:D23"/>
    <mergeCell ref="E24:I25"/>
    <mergeCell ref="B25:D25"/>
    <mergeCell ref="E27:I28"/>
    <mergeCell ref="B28:D28"/>
    <mergeCell ref="E30:I31"/>
    <mergeCell ref="B31:D31"/>
    <mergeCell ref="B34:D37"/>
    <mergeCell ref="E39:I40"/>
    <mergeCell ref="B40:D40"/>
    <mergeCell ref="B85:B87"/>
    <mergeCell ref="E45:I46"/>
    <mergeCell ref="B46:D46"/>
    <mergeCell ref="B76:B78"/>
    <mergeCell ref="B79:B81"/>
    <mergeCell ref="B82:B84"/>
    <mergeCell ref="G49:J49"/>
    <mergeCell ref="E42:I43"/>
    <mergeCell ref="B43:D43"/>
    <mergeCell ref="E33:I37"/>
  </mergeCells>
  <conditionalFormatting sqref="F49">
    <cfRule type="iconSet" priority="1">
      <iconSet iconSet="3Symbols" showValue="0">
        <cfvo type="percent" val="0"/>
        <cfvo type="num" val="2"/>
        <cfvo type="num" val="3"/>
      </iconSet>
    </cfRule>
  </conditionalFormatting>
  <dataValidations count="17">
    <dataValidation allowBlank="1" showInputMessage="1" showErrorMessage="1" promptTitle="Attention:" prompt="Do not leave comment section  blank, otherwise your rating will be invalid" sqref="E14:I46 JA16:JE48 SW16:TA48 ACS16:ACW48 AMO16:AMS48 AWK16:AWO48 BGG16:BGK48 BQC16:BQG48 BZY16:CAC48 CJU16:CJY48 CTQ16:CTU48 DDM16:DDQ48 DNI16:DNM48 DXE16:DXI48 EHA16:EHE48 EQW16:ERA48 FAS16:FAW48 FKO16:FKS48 FUK16:FUO48 GEG16:GEK48 GOC16:GOG48 GXY16:GYC48 HHU16:HHY48 HRQ16:HRU48 IBM16:IBQ48 ILI16:ILM48 IVE16:IVI48 JFA16:JFE48 JOW16:JPA48 JYS16:JYW48 KIO16:KIS48 KSK16:KSO48 LCG16:LCK48 LMC16:LMG48 LVY16:LWC48 MFU16:MFY48 MPQ16:MPU48 MZM16:MZQ48 NJI16:NJM48 NTE16:NTI48 ODA16:ODE48 OMW16:ONA48 OWS16:OWW48 PGO16:PGS48 PQK16:PQO48 QAG16:QAK48 QKC16:QKG48 QTY16:QUC48 RDU16:RDY48 RNQ16:RNU48 RXM16:RXQ48 SHI16:SHM48 SRE16:SRI48 TBA16:TBE48 TKW16:TLA48 TUS16:TUW48 UEO16:UES48 UOK16:UOO48 UYG16:UYK48 VIC16:VIG48 VRY16:VSC48 WBU16:WBY48 WLQ16:WLU48 WVM16:WVQ48 E65531:I65563 JA65543:JE65575 SW65543:TA65575 ACS65543:ACW65575 AMO65543:AMS65575 AWK65543:AWO65575 BGG65543:BGK65575 BQC65543:BQG65575 BZY65543:CAC65575 CJU65543:CJY65575 CTQ65543:CTU65575 DDM65543:DDQ65575 DNI65543:DNM65575 DXE65543:DXI65575 EHA65543:EHE65575 EQW65543:ERA65575 FAS65543:FAW65575 FKO65543:FKS65575 FUK65543:FUO65575 GEG65543:GEK65575 GOC65543:GOG65575 GXY65543:GYC65575 HHU65543:HHY65575 HRQ65543:HRU65575 IBM65543:IBQ65575 ILI65543:ILM65575 IVE65543:IVI65575 JFA65543:JFE65575 JOW65543:JPA65575 JYS65543:JYW65575 KIO65543:KIS65575 KSK65543:KSO65575 LCG65543:LCK65575 LMC65543:LMG65575 LVY65543:LWC65575 MFU65543:MFY65575 MPQ65543:MPU65575 MZM65543:MZQ65575 NJI65543:NJM65575 NTE65543:NTI65575 ODA65543:ODE65575 OMW65543:ONA65575 OWS65543:OWW65575 PGO65543:PGS65575 PQK65543:PQO65575 QAG65543:QAK65575 QKC65543:QKG65575 QTY65543:QUC65575 RDU65543:RDY65575 RNQ65543:RNU65575 RXM65543:RXQ65575 SHI65543:SHM65575 SRE65543:SRI65575 TBA65543:TBE65575 TKW65543:TLA65575 TUS65543:TUW65575 UEO65543:UES65575 UOK65543:UOO65575 UYG65543:UYK65575 VIC65543:VIG65575 VRY65543:VSC65575 WBU65543:WBY65575 WLQ65543:WLU65575 WVM65543:WVQ65575 E131067:I131099 JA131079:JE131111 SW131079:TA131111 ACS131079:ACW131111 AMO131079:AMS131111 AWK131079:AWO131111 BGG131079:BGK131111 BQC131079:BQG131111 BZY131079:CAC131111 CJU131079:CJY131111 CTQ131079:CTU131111 DDM131079:DDQ131111 DNI131079:DNM131111 DXE131079:DXI131111 EHA131079:EHE131111 EQW131079:ERA131111 FAS131079:FAW131111 FKO131079:FKS131111 FUK131079:FUO131111 GEG131079:GEK131111 GOC131079:GOG131111 GXY131079:GYC131111 HHU131079:HHY131111 HRQ131079:HRU131111 IBM131079:IBQ131111 ILI131079:ILM131111 IVE131079:IVI131111 JFA131079:JFE131111 JOW131079:JPA131111 JYS131079:JYW131111 KIO131079:KIS131111 KSK131079:KSO131111 LCG131079:LCK131111 LMC131079:LMG131111 LVY131079:LWC131111 MFU131079:MFY131111 MPQ131079:MPU131111 MZM131079:MZQ131111 NJI131079:NJM131111 NTE131079:NTI131111 ODA131079:ODE131111 OMW131079:ONA131111 OWS131079:OWW131111 PGO131079:PGS131111 PQK131079:PQO131111 QAG131079:QAK131111 QKC131079:QKG131111 QTY131079:QUC131111 RDU131079:RDY131111 RNQ131079:RNU131111 RXM131079:RXQ131111 SHI131079:SHM131111 SRE131079:SRI131111 TBA131079:TBE131111 TKW131079:TLA131111 TUS131079:TUW131111 UEO131079:UES131111 UOK131079:UOO131111 UYG131079:UYK131111 VIC131079:VIG131111 VRY131079:VSC131111 WBU131079:WBY131111 WLQ131079:WLU131111 WVM131079:WVQ131111 E196603:I196635 JA196615:JE196647 SW196615:TA196647 ACS196615:ACW196647 AMO196615:AMS196647 AWK196615:AWO196647 BGG196615:BGK196647 BQC196615:BQG196647 BZY196615:CAC196647 CJU196615:CJY196647 CTQ196615:CTU196647 DDM196615:DDQ196647 DNI196615:DNM196647 DXE196615:DXI196647 EHA196615:EHE196647 EQW196615:ERA196647 FAS196615:FAW196647 FKO196615:FKS196647 FUK196615:FUO196647 GEG196615:GEK196647 GOC196615:GOG196647 GXY196615:GYC196647 HHU196615:HHY196647 HRQ196615:HRU196647 IBM196615:IBQ196647 ILI196615:ILM196647 IVE196615:IVI196647 JFA196615:JFE196647 JOW196615:JPA196647 JYS196615:JYW196647 KIO196615:KIS196647 KSK196615:KSO196647 LCG196615:LCK196647 LMC196615:LMG196647 LVY196615:LWC196647 MFU196615:MFY196647 MPQ196615:MPU196647 MZM196615:MZQ196647 NJI196615:NJM196647 NTE196615:NTI196647 ODA196615:ODE196647 OMW196615:ONA196647 OWS196615:OWW196647 PGO196615:PGS196647 PQK196615:PQO196647 QAG196615:QAK196647 QKC196615:QKG196647 QTY196615:QUC196647 RDU196615:RDY196647 RNQ196615:RNU196647 RXM196615:RXQ196647 SHI196615:SHM196647 SRE196615:SRI196647 TBA196615:TBE196647 TKW196615:TLA196647 TUS196615:TUW196647 UEO196615:UES196647 UOK196615:UOO196647 UYG196615:UYK196647 VIC196615:VIG196647 VRY196615:VSC196647 WBU196615:WBY196647 WLQ196615:WLU196647 WVM196615:WVQ196647 E262139:I262171 JA262151:JE262183 SW262151:TA262183 ACS262151:ACW262183 AMO262151:AMS262183 AWK262151:AWO262183 BGG262151:BGK262183 BQC262151:BQG262183 BZY262151:CAC262183 CJU262151:CJY262183 CTQ262151:CTU262183 DDM262151:DDQ262183 DNI262151:DNM262183 DXE262151:DXI262183 EHA262151:EHE262183 EQW262151:ERA262183 FAS262151:FAW262183 FKO262151:FKS262183 FUK262151:FUO262183 GEG262151:GEK262183 GOC262151:GOG262183 GXY262151:GYC262183 HHU262151:HHY262183 HRQ262151:HRU262183 IBM262151:IBQ262183 ILI262151:ILM262183 IVE262151:IVI262183 JFA262151:JFE262183 JOW262151:JPA262183 JYS262151:JYW262183 KIO262151:KIS262183 KSK262151:KSO262183 LCG262151:LCK262183 LMC262151:LMG262183 LVY262151:LWC262183 MFU262151:MFY262183 MPQ262151:MPU262183 MZM262151:MZQ262183 NJI262151:NJM262183 NTE262151:NTI262183 ODA262151:ODE262183 OMW262151:ONA262183 OWS262151:OWW262183 PGO262151:PGS262183 PQK262151:PQO262183 QAG262151:QAK262183 QKC262151:QKG262183 QTY262151:QUC262183 RDU262151:RDY262183 RNQ262151:RNU262183 RXM262151:RXQ262183 SHI262151:SHM262183 SRE262151:SRI262183 TBA262151:TBE262183 TKW262151:TLA262183 TUS262151:TUW262183 UEO262151:UES262183 UOK262151:UOO262183 UYG262151:UYK262183 VIC262151:VIG262183 VRY262151:VSC262183 WBU262151:WBY262183 WLQ262151:WLU262183 WVM262151:WVQ262183 E327675:I327707 JA327687:JE327719 SW327687:TA327719 ACS327687:ACW327719 AMO327687:AMS327719 AWK327687:AWO327719 BGG327687:BGK327719 BQC327687:BQG327719 BZY327687:CAC327719 CJU327687:CJY327719 CTQ327687:CTU327719 DDM327687:DDQ327719 DNI327687:DNM327719 DXE327687:DXI327719 EHA327687:EHE327719 EQW327687:ERA327719 FAS327687:FAW327719 FKO327687:FKS327719 FUK327687:FUO327719 GEG327687:GEK327719 GOC327687:GOG327719 GXY327687:GYC327719 HHU327687:HHY327719 HRQ327687:HRU327719 IBM327687:IBQ327719 ILI327687:ILM327719 IVE327687:IVI327719 JFA327687:JFE327719 JOW327687:JPA327719 JYS327687:JYW327719 KIO327687:KIS327719 KSK327687:KSO327719 LCG327687:LCK327719 LMC327687:LMG327719 LVY327687:LWC327719 MFU327687:MFY327719 MPQ327687:MPU327719 MZM327687:MZQ327719 NJI327687:NJM327719 NTE327687:NTI327719 ODA327687:ODE327719 OMW327687:ONA327719 OWS327687:OWW327719 PGO327687:PGS327719 PQK327687:PQO327719 QAG327687:QAK327719 QKC327687:QKG327719 QTY327687:QUC327719 RDU327687:RDY327719 RNQ327687:RNU327719 RXM327687:RXQ327719 SHI327687:SHM327719 SRE327687:SRI327719 TBA327687:TBE327719 TKW327687:TLA327719 TUS327687:TUW327719 UEO327687:UES327719 UOK327687:UOO327719 UYG327687:UYK327719 VIC327687:VIG327719 VRY327687:VSC327719 WBU327687:WBY327719 WLQ327687:WLU327719 WVM327687:WVQ327719 E393211:I393243 JA393223:JE393255 SW393223:TA393255 ACS393223:ACW393255 AMO393223:AMS393255 AWK393223:AWO393255 BGG393223:BGK393255 BQC393223:BQG393255 BZY393223:CAC393255 CJU393223:CJY393255 CTQ393223:CTU393255 DDM393223:DDQ393255 DNI393223:DNM393255 DXE393223:DXI393255 EHA393223:EHE393255 EQW393223:ERA393255 FAS393223:FAW393255 FKO393223:FKS393255 FUK393223:FUO393255 GEG393223:GEK393255 GOC393223:GOG393255 GXY393223:GYC393255 HHU393223:HHY393255 HRQ393223:HRU393255 IBM393223:IBQ393255 ILI393223:ILM393255 IVE393223:IVI393255 JFA393223:JFE393255 JOW393223:JPA393255 JYS393223:JYW393255 KIO393223:KIS393255 KSK393223:KSO393255 LCG393223:LCK393255 LMC393223:LMG393255 LVY393223:LWC393255 MFU393223:MFY393255 MPQ393223:MPU393255 MZM393223:MZQ393255 NJI393223:NJM393255 NTE393223:NTI393255 ODA393223:ODE393255 OMW393223:ONA393255 OWS393223:OWW393255 PGO393223:PGS393255 PQK393223:PQO393255 QAG393223:QAK393255 QKC393223:QKG393255 QTY393223:QUC393255 RDU393223:RDY393255 RNQ393223:RNU393255 RXM393223:RXQ393255 SHI393223:SHM393255 SRE393223:SRI393255 TBA393223:TBE393255 TKW393223:TLA393255 TUS393223:TUW393255 UEO393223:UES393255 UOK393223:UOO393255 UYG393223:UYK393255 VIC393223:VIG393255 VRY393223:VSC393255 WBU393223:WBY393255 WLQ393223:WLU393255 WVM393223:WVQ393255 E458747:I458779 JA458759:JE458791 SW458759:TA458791 ACS458759:ACW458791 AMO458759:AMS458791 AWK458759:AWO458791 BGG458759:BGK458791 BQC458759:BQG458791 BZY458759:CAC458791 CJU458759:CJY458791 CTQ458759:CTU458791 DDM458759:DDQ458791 DNI458759:DNM458791 DXE458759:DXI458791 EHA458759:EHE458791 EQW458759:ERA458791 FAS458759:FAW458791 FKO458759:FKS458791 FUK458759:FUO458791 GEG458759:GEK458791 GOC458759:GOG458791 GXY458759:GYC458791 HHU458759:HHY458791 HRQ458759:HRU458791 IBM458759:IBQ458791 ILI458759:ILM458791 IVE458759:IVI458791 JFA458759:JFE458791 JOW458759:JPA458791 JYS458759:JYW458791 KIO458759:KIS458791 KSK458759:KSO458791 LCG458759:LCK458791 LMC458759:LMG458791 LVY458759:LWC458791 MFU458759:MFY458791 MPQ458759:MPU458791 MZM458759:MZQ458791 NJI458759:NJM458791 NTE458759:NTI458791 ODA458759:ODE458791 OMW458759:ONA458791 OWS458759:OWW458791 PGO458759:PGS458791 PQK458759:PQO458791 QAG458759:QAK458791 QKC458759:QKG458791 QTY458759:QUC458791 RDU458759:RDY458791 RNQ458759:RNU458791 RXM458759:RXQ458791 SHI458759:SHM458791 SRE458759:SRI458791 TBA458759:TBE458791 TKW458759:TLA458791 TUS458759:TUW458791 UEO458759:UES458791 UOK458759:UOO458791 UYG458759:UYK458791 VIC458759:VIG458791 VRY458759:VSC458791 WBU458759:WBY458791 WLQ458759:WLU458791 WVM458759:WVQ458791 E524283:I524315 JA524295:JE524327 SW524295:TA524327 ACS524295:ACW524327 AMO524295:AMS524327 AWK524295:AWO524327 BGG524295:BGK524327 BQC524295:BQG524327 BZY524295:CAC524327 CJU524295:CJY524327 CTQ524295:CTU524327 DDM524295:DDQ524327 DNI524295:DNM524327 DXE524295:DXI524327 EHA524295:EHE524327 EQW524295:ERA524327 FAS524295:FAW524327 FKO524295:FKS524327 FUK524295:FUO524327 GEG524295:GEK524327 GOC524295:GOG524327 GXY524295:GYC524327 HHU524295:HHY524327 HRQ524295:HRU524327 IBM524295:IBQ524327 ILI524295:ILM524327 IVE524295:IVI524327 JFA524295:JFE524327 JOW524295:JPA524327 JYS524295:JYW524327 KIO524295:KIS524327 KSK524295:KSO524327 LCG524295:LCK524327 LMC524295:LMG524327 LVY524295:LWC524327 MFU524295:MFY524327 MPQ524295:MPU524327 MZM524295:MZQ524327 NJI524295:NJM524327 NTE524295:NTI524327 ODA524295:ODE524327 OMW524295:ONA524327 OWS524295:OWW524327 PGO524295:PGS524327 PQK524295:PQO524327 QAG524295:QAK524327 QKC524295:QKG524327 QTY524295:QUC524327 RDU524295:RDY524327 RNQ524295:RNU524327 RXM524295:RXQ524327 SHI524295:SHM524327 SRE524295:SRI524327 TBA524295:TBE524327 TKW524295:TLA524327 TUS524295:TUW524327 UEO524295:UES524327 UOK524295:UOO524327 UYG524295:UYK524327 VIC524295:VIG524327 VRY524295:VSC524327 WBU524295:WBY524327 WLQ524295:WLU524327 WVM524295:WVQ524327 E589819:I589851 JA589831:JE589863 SW589831:TA589863 ACS589831:ACW589863 AMO589831:AMS589863 AWK589831:AWO589863 BGG589831:BGK589863 BQC589831:BQG589863 BZY589831:CAC589863 CJU589831:CJY589863 CTQ589831:CTU589863 DDM589831:DDQ589863 DNI589831:DNM589863 DXE589831:DXI589863 EHA589831:EHE589863 EQW589831:ERA589863 FAS589831:FAW589863 FKO589831:FKS589863 FUK589831:FUO589863 GEG589831:GEK589863 GOC589831:GOG589863 GXY589831:GYC589863 HHU589831:HHY589863 HRQ589831:HRU589863 IBM589831:IBQ589863 ILI589831:ILM589863 IVE589831:IVI589863 JFA589831:JFE589863 JOW589831:JPA589863 JYS589831:JYW589863 KIO589831:KIS589863 KSK589831:KSO589863 LCG589831:LCK589863 LMC589831:LMG589863 LVY589831:LWC589863 MFU589831:MFY589863 MPQ589831:MPU589863 MZM589831:MZQ589863 NJI589831:NJM589863 NTE589831:NTI589863 ODA589831:ODE589863 OMW589831:ONA589863 OWS589831:OWW589863 PGO589831:PGS589863 PQK589831:PQO589863 QAG589831:QAK589863 QKC589831:QKG589863 QTY589831:QUC589863 RDU589831:RDY589863 RNQ589831:RNU589863 RXM589831:RXQ589863 SHI589831:SHM589863 SRE589831:SRI589863 TBA589831:TBE589863 TKW589831:TLA589863 TUS589831:TUW589863 UEO589831:UES589863 UOK589831:UOO589863 UYG589831:UYK589863 VIC589831:VIG589863 VRY589831:VSC589863 WBU589831:WBY589863 WLQ589831:WLU589863 WVM589831:WVQ589863 E655355:I655387 JA655367:JE655399 SW655367:TA655399 ACS655367:ACW655399 AMO655367:AMS655399 AWK655367:AWO655399 BGG655367:BGK655399 BQC655367:BQG655399 BZY655367:CAC655399 CJU655367:CJY655399 CTQ655367:CTU655399 DDM655367:DDQ655399 DNI655367:DNM655399 DXE655367:DXI655399 EHA655367:EHE655399 EQW655367:ERA655399 FAS655367:FAW655399 FKO655367:FKS655399 FUK655367:FUO655399 GEG655367:GEK655399 GOC655367:GOG655399 GXY655367:GYC655399 HHU655367:HHY655399 HRQ655367:HRU655399 IBM655367:IBQ655399 ILI655367:ILM655399 IVE655367:IVI655399 JFA655367:JFE655399 JOW655367:JPA655399 JYS655367:JYW655399 KIO655367:KIS655399 KSK655367:KSO655399 LCG655367:LCK655399 LMC655367:LMG655399 LVY655367:LWC655399 MFU655367:MFY655399 MPQ655367:MPU655399 MZM655367:MZQ655399 NJI655367:NJM655399 NTE655367:NTI655399 ODA655367:ODE655399 OMW655367:ONA655399 OWS655367:OWW655399 PGO655367:PGS655399 PQK655367:PQO655399 QAG655367:QAK655399 QKC655367:QKG655399 QTY655367:QUC655399 RDU655367:RDY655399 RNQ655367:RNU655399 RXM655367:RXQ655399 SHI655367:SHM655399 SRE655367:SRI655399 TBA655367:TBE655399 TKW655367:TLA655399 TUS655367:TUW655399 UEO655367:UES655399 UOK655367:UOO655399 UYG655367:UYK655399 VIC655367:VIG655399 VRY655367:VSC655399 WBU655367:WBY655399 WLQ655367:WLU655399 WVM655367:WVQ655399 E720891:I720923 JA720903:JE720935 SW720903:TA720935 ACS720903:ACW720935 AMO720903:AMS720935 AWK720903:AWO720935 BGG720903:BGK720935 BQC720903:BQG720935 BZY720903:CAC720935 CJU720903:CJY720935 CTQ720903:CTU720935 DDM720903:DDQ720935 DNI720903:DNM720935 DXE720903:DXI720935 EHA720903:EHE720935 EQW720903:ERA720935 FAS720903:FAW720935 FKO720903:FKS720935 FUK720903:FUO720935 GEG720903:GEK720935 GOC720903:GOG720935 GXY720903:GYC720935 HHU720903:HHY720935 HRQ720903:HRU720935 IBM720903:IBQ720935 ILI720903:ILM720935 IVE720903:IVI720935 JFA720903:JFE720935 JOW720903:JPA720935 JYS720903:JYW720935 KIO720903:KIS720935 KSK720903:KSO720935 LCG720903:LCK720935 LMC720903:LMG720935 LVY720903:LWC720935 MFU720903:MFY720935 MPQ720903:MPU720935 MZM720903:MZQ720935 NJI720903:NJM720935 NTE720903:NTI720935 ODA720903:ODE720935 OMW720903:ONA720935 OWS720903:OWW720935 PGO720903:PGS720935 PQK720903:PQO720935 QAG720903:QAK720935 QKC720903:QKG720935 QTY720903:QUC720935 RDU720903:RDY720935 RNQ720903:RNU720935 RXM720903:RXQ720935 SHI720903:SHM720935 SRE720903:SRI720935 TBA720903:TBE720935 TKW720903:TLA720935 TUS720903:TUW720935 UEO720903:UES720935 UOK720903:UOO720935 UYG720903:UYK720935 VIC720903:VIG720935 VRY720903:VSC720935 WBU720903:WBY720935 WLQ720903:WLU720935 WVM720903:WVQ720935 E786427:I786459 JA786439:JE786471 SW786439:TA786471 ACS786439:ACW786471 AMO786439:AMS786471 AWK786439:AWO786471 BGG786439:BGK786471 BQC786439:BQG786471 BZY786439:CAC786471 CJU786439:CJY786471 CTQ786439:CTU786471 DDM786439:DDQ786471 DNI786439:DNM786471 DXE786439:DXI786471 EHA786439:EHE786471 EQW786439:ERA786471 FAS786439:FAW786471 FKO786439:FKS786471 FUK786439:FUO786471 GEG786439:GEK786471 GOC786439:GOG786471 GXY786439:GYC786471 HHU786439:HHY786471 HRQ786439:HRU786471 IBM786439:IBQ786471 ILI786439:ILM786471 IVE786439:IVI786471 JFA786439:JFE786471 JOW786439:JPA786471 JYS786439:JYW786471 KIO786439:KIS786471 KSK786439:KSO786471 LCG786439:LCK786471 LMC786439:LMG786471 LVY786439:LWC786471 MFU786439:MFY786471 MPQ786439:MPU786471 MZM786439:MZQ786471 NJI786439:NJM786471 NTE786439:NTI786471 ODA786439:ODE786471 OMW786439:ONA786471 OWS786439:OWW786471 PGO786439:PGS786471 PQK786439:PQO786471 QAG786439:QAK786471 QKC786439:QKG786471 QTY786439:QUC786471 RDU786439:RDY786471 RNQ786439:RNU786471 RXM786439:RXQ786471 SHI786439:SHM786471 SRE786439:SRI786471 TBA786439:TBE786471 TKW786439:TLA786471 TUS786439:TUW786471 UEO786439:UES786471 UOK786439:UOO786471 UYG786439:UYK786471 VIC786439:VIG786471 VRY786439:VSC786471 WBU786439:WBY786471 WLQ786439:WLU786471 WVM786439:WVQ786471 E851963:I851995 JA851975:JE852007 SW851975:TA852007 ACS851975:ACW852007 AMO851975:AMS852007 AWK851975:AWO852007 BGG851975:BGK852007 BQC851975:BQG852007 BZY851975:CAC852007 CJU851975:CJY852007 CTQ851975:CTU852007 DDM851975:DDQ852007 DNI851975:DNM852007 DXE851975:DXI852007 EHA851975:EHE852007 EQW851975:ERA852007 FAS851975:FAW852007 FKO851975:FKS852007 FUK851975:FUO852007 GEG851975:GEK852007 GOC851975:GOG852007 GXY851975:GYC852007 HHU851975:HHY852007 HRQ851975:HRU852007 IBM851975:IBQ852007 ILI851975:ILM852007 IVE851975:IVI852007 JFA851975:JFE852007 JOW851975:JPA852007 JYS851975:JYW852007 KIO851975:KIS852007 KSK851975:KSO852007 LCG851975:LCK852007 LMC851975:LMG852007 LVY851975:LWC852007 MFU851975:MFY852007 MPQ851975:MPU852007 MZM851975:MZQ852007 NJI851975:NJM852007 NTE851975:NTI852007 ODA851975:ODE852007 OMW851975:ONA852007 OWS851975:OWW852007 PGO851975:PGS852007 PQK851975:PQO852007 QAG851975:QAK852007 QKC851975:QKG852007 QTY851975:QUC852007 RDU851975:RDY852007 RNQ851975:RNU852007 RXM851975:RXQ852007 SHI851975:SHM852007 SRE851975:SRI852007 TBA851975:TBE852007 TKW851975:TLA852007 TUS851975:TUW852007 UEO851975:UES852007 UOK851975:UOO852007 UYG851975:UYK852007 VIC851975:VIG852007 VRY851975:VSC852007 WBU851975:WBY852007 WLQ851975:WLU852007 WVM851975:WVQ852007 E917499:I917531 JA917511:JE917543 SW917511:TA917543 ACS917511:ACW917543 AMO917511:AMS917543 AWK917511:AWO917543 BGG917511:BGK917543 BQC917511:BQG917543 BZY917511:CAC917543 CJU917511:CJY917543 CTQ917511:CTU917543 DDM917511:DDQ917543 DNI917511:DNM917543 DXE917511:DXI917543 EHA917511:EHE917543 EQW917511:ERA917543 FAS917511:FAW917543 FKO917511:FKS917543 FUK917511:FUO917543 GEG917511:GEK917543 GOC917511:GOG917543 GXY917511:GYC917543 HHU917511:HHY917543 HRQ917511:HRU917543 IBM917511:IBQ917543 ILI917511:ILM917543 IVE917511:IVI917543 JFA917511:JFE917543 JOW917511:JPA917543 JYS917511:JYW917543 KIO917511:KIS917543 KSK917511:KSO917543 LCG917511:LCK917543 LMC917511:LMG917543 LVY917511:LWC917543 MFU917511:MFY917543 MPQ917511:MPU917543 MZM917511:MZQ917543 NJI917511:NJM917543 NTE917511:NTI917543 ODA917511:ODE917543 OMW917511:ONA917543 OWS917511:OWW917543 PGO917511:PGS917543 PQK917511:PQO917543 QAG917511:QAK917543 QKC917511:QKG917543 QTY917511:QUC917543 RDU917511:RDY917543 RNQ917511:RNU917543 RXM917511:RXQ917543 SHI917511:SHM917543 SRE917511:SRI917543 TBA917511:TBE917543 TKW917511:TLA917543 TUS917511:TUW917543 UEO917511:UES917543 UOK917511:UOO917543 UYG917511:UYK917543 VIC917511:VIG917543 VRY917511:VSC917543 WBU917511:WBY917543 WLQ917511:WLU917543 WVM917511:WVQ917543 E983035:I983067 JA983047:JE983079 SW983047:TA983079 ACS983047:ACW983079 AMO983047:AMS983079 AWK983047:AWO983079 BGG983047:BGK983079 BQC983047:BQG983079 BZY983047:CAC983079 CJU983047:CJY983079 CTQ983047:CTU983079 DDM983047:DDQ983079 DNI983047:DNM983079 DXE983047:DXI983079 EHA983047:EHE983079 EQW983047:ERA983079 FAS983047:FAW983079 FKO983047:FKS983079 FUK983047:FUO983079 GEG983047:GEK983079 GOC983047:GOG983079 GXY983047:GYC983079 HHU983047:HHY983079 HRQ983047:HRU983079 IBM983047:IBQ983079 ILI983047:ILM983079 IVE983047:IVI983079 JFA983047:JFE983079 JOW983047:JPA983079 JYS983047:JYW983079 KIO983047:KIS983079 KSK983047:KSO983079 LCG983047:LCK983079 LMC983047:LMG983079 LVY983047:LWC983079 MFU983047:MFY983079 MPQ983047:MPU983079 MZM983047:MZQ983079 NJI983047:NJM983079 NTE983047:NTI983079 ODA983047:ODE983079 OMW983047:ONA983079 OWS983047:OWW983079 PGO983047:PGS983079 PQK983047:PQO983079 QAG983047:QAK983079 QKC983047:QKG983079 QTY983047:QUC983079 RDU983047:RDY983079 RNQ983047:RNU983079 RXM983047:RXQ983079 SHI983047:SHM983079 SRE983047:SRI983079 TBA983047:TBE983079 TKW983047:TLA983079 TUS983047:TUW983079 UEO983047:UES983079 UOK983047:UOO983079 UYG983047:UYK983079 VIC983047:VIG983079 VRY983047:VSC983079 WBU983047:WBY983079 WLQ983047:WLU983079 WVM983047:WVQ983079"/>
    <dataValidation type="list" allowBlank="1" showInputMessage="1" showErrorMessage="1" error="Borrower has bad credit history: DO NOT PROCEED" sqref="JD10 SZ10 ACV10 AMR10 AWN10 BGJ10 BQF10 CAB10 CJX10 CTT10 DDP10 DNL10 DXH10 EHD10 EQZ10 FAV10 FKR10 FUN10 GEJ10 GOF10 GYB10 HHX10 HRT10 IBP10 ILL10 IVH10 JFD10 JOZ10 JYV10 KIR10 KSN10 LCJ10 LMF10 LWB10 MFX10 MPT10 MZP10 NJL10 NTH10 ODD10 OMZ10 OWV10 PGR10 PQN10 QAJ10 QKF10 QUB10 RDX10 RNT10 RXP10 SHL10 SRH10 TBD10 TKZ10 TUV10 UER10 UON10 UYJ10 VIF10 VSB10 WBX10 WLT10 WVP10 H65525 JD65537 SZ65537 ACV65537 AMR65537 AWN65537 BGJ65537 BQF65537 CAB65537 CJX65537 CTT65537 DDP65537 DNL65537 DXH65537 EHD65537 EQZ65537 FAV65537 FKR65537 FUN65537 GEJ65537 GOF65537 GYB65537 HHX65537 HRT65537 IBP65537 ILL65537 IVH65537 JFD65537 JOZ65537 JYV65537 KIR65537 KSN65537 LCJ65537 LMF65537 LWB65537 MFX65537 MPT65537 MZP65537 NJL65537 NTH65537 ODD65537 OMZ65537 OWV65537 PGR65537 PQN65537 QAJ65537 QKF65537 QUB65537 RDX65537 RNT65537 RXP65537 SHL65537 SRH65537 TBD65537 TKZ65537 TUV65537 UER65537 UON65537 UYJ65537 VIF65537 VSB65537 WBX65537 WLT65537 WVP65537 H131061 JD131073 SZ131073 ACV131073 AMR131073 AWN131073 BGJ131073 BQF131073 CAB131073 CJX131073 CTT131073 DDP131073 DNL131073 DXH131073 EHD131073 EQZ131073 FAV131073 FKR131073 FUN131073 GEJ131073 GOF131073 GYB131073 HHX131073 HRT131073 IBP131073 ILL131073 IVH131073 JFD131073 JOZ131073 JYV131073 KIR131073 KSN131073 LCJ131073 LMF131073 LWB131073 MFX131073 MPT131073 MZP131073 NJL131073 NTH131073 ODD131073 OMZ131073 OWV131073 PGR131073 PQN131073 QAJ131073 QKF131073 QUB131073 RDX131073 RNT131073 RXP131073 SHL131073 SRH131073 TBD131073 TKZ131073 TUV131073 UER131073 UON131073 UYJ131073 VIF131073 VSB131073 WBX131073 WLT131073 WVP131073 H196597 JD196609 SZ196609 ACV196609 AMR196609 AWN196609 BGJ196609 BQF196609 CAB196609 CJX196609 CTT196609 DDP196609 DNL196609 DXH196609 EHD196609 EQZ196609 FAV196609 FKR196609 FUN196609 GEJ196609 GOF196609 GYB196609 HHX196609 HRT196609 IBP196609 ILL196609 IVH196609 JFD196609 JOZ196609 JYV196609 KIR196609 KSN196609 LCJ196609 LMF196609 LWB196609 MFX196609 MPT196609 MZP196609 NJL196609 NTH196609 ODD196609 OMZ196609 OWV196609 PGR196609 PQN196609 QAJ196609 QKF196609 QUB196609 RDX196609 RNT196609 RXP196609 SHL196609 SRH196609 TBD196609 TKZ196609 TUV196609 UER196609 UON196609 UYJ196609 VIF196609 VSB196609 WBX196609 WLT196609 WVP196609 H262133 JD262145 SZ262145 ACV262145 AMR262145 AWN262145 BGJ262145 BQF262145 CAB262145 CJX262145 CTT262145 DDP262145 DNL262145 DXH262145 EHD262145 EQZ262145 FAV262145 FKR262145 FUN262145 GEJ262145 GOF262145 GYB262145 HHX262145 HRT262145 IBP262145 ILL262145 IVH262145 JFD262145 JOZ262145 JYV262145 KIR262145 KSN262145 LCJ262145 LMF262145 LWB262145 MFX262145 MPT262145 MZP262145 NJL262145 NTH262145 ODD262145 OMZ262145 OWV262145 PGR262145 PQN262145 QAJ262145 QKF262145 QUB262145 RDX262145 RNT262145 RXP262145 SHL262145 SRH262145 TBD262145 TKZ262145 TUV262145 UER262145 UON262145 UYJ262145 VIF262145 VSB262145 WBX262145 WLT262145 WVP262145 H327669 JD327681 SZ327681 ACV327681 AMR327681 AWN327681 BGJ327681 BQF327681 CAB327681 CJX327681 CTT327681 DDP327681 DNL327681 DXH327681 EHD327681 EQZ327681 FAV327681 FKR327681 FUN327681 GEJ327681 GOF327681 GYB327681 HHX327681 HRT327681 IBP327681 ILL327681 IVH327681 JFD327681 JOZ327681 JYV327681 KIR327681 KSN327681 LCJ327681 LMF327681 LWB327681 MFX327681 MPT327681 MZP327681 NJL327681 NTH327681 ODD327681 OMZ327681 OWV327681 PGR327681 PQN327681 QAJ327681 QKF327681 QUB327681 RDX327681 RNT327681 RXP327681 SHL327681 SRH327681 TBD327681 TKZ327681 TUV327681 UER327681 UON327681 UYJ327681 VIF327681 VSB327681 WBX327681 WLT327681 WVP327681 H393205 JD393217 SZ393217 ACV393217 AMR393217 AWN393217 BGJ393217 BQF393217 CAB393217 CJX393217 CTT393217 DDP393217 DNL393217 DXH393217 EHD393217 EQZ393217 FAV393217 FKR393217 FUN393217 GEJ393217 GOF393217 GYB393217 HHX393217 HRT393217 IBP393217 ILL393217 IVH393217 JFD393217 JOZ393217 JYV393217 KIR393217 KSN393217 LCJ393217 LMF393217 LWB393217 MFX393217 MPT393217 MZP393217 NJL393217 NTH393217 ODD393217 OMZ393217 OWV393217 PGR393217 PQN393217 QAJ393217 QKF393217 QUB393217 RDX393217 RNT393217 RXP393217 SHL393217 SRH393217 TBD393217 TKZ393217 TUV393217 UER393217 UON393217 UYJ393217 VIF393217 VSB393217 WBX393217 WLT393217 WVP393217 H458741 JD458753 SZ458753 ACV458753 AMR458753 AWN458753 BGJ458753 BQF458753 CAB458753 CJX458753 CTT458753 DDP458753 DNL458753 DXH458753 EHD458753 EQZ458753 FAV458753 FKR458753 FUN458753 GEJ458753 GOF458753 GYB458753 HHX458753 HRT458753 IBP458753 ILL458753 IVH458753 JFD458753 JOZ458753 JYV458753 KIR458753 KSN458753 LCJ458753 LMF458753 LWB458753 MFX458753 MPT458753 MZP458753 NJL458753 NTH458753 ODD458753 OMZ458753 OWV458753 PGR458753 PQN458753 QAJ458753 QKF458753 QUB458753 RDX458753 RNT458753 RXP458753 SHL458753 SRH458753 TBD458753 TKZ458753 TUV458753 UER458753 UON458753 UYJ458753 VIF458753 VSB458753 WBX458753 WLT458753 WVP458753 H524277 JD524289 SZ524289 ACV524289 AMR524289 AWN524289 BGJ524289 BQF524289 CAB524289 CJX524289 CTT524289 DDP524289 DNL524289 DXH524289 EHD524289 EQZ524289 FAV524289 FKR524289 FUN524289 GEJ524289 GOF524289 GYB524289 HHX524289 HRT524289 IBP524289 ILL524289 IVH524289 JFD524289 JOZ524289 JYV524289 KIR524289 KSN524289 LCJ524289 LMF524289 LWB524289 MFX524289 MPT524289 MZP524289 NJL524289 NTH524289 ODD524289 OMZ524289 OWV524289 PGR524289 PQN524289 QAJ524289 QKF524289 QUB524289 RDX524289 RNT524289 RXP524289 SHL524289 SRH524289 TBD524289 TKZ524289 TUV524289 UER524289 UON524289 UYJ524289 VIF524289 VSB524289 WBX524289 WLT524289 WVP524289 H589813 JD589825 SZ589825 ACV589825 AMR589825 AWN589825 BGJ589825 BQF589825 CAB589825 CJX589825 CTT589825 DDP589825 DNL589825 DXH589825 EHD589825 EQZ589825 FAV589825 FKR589825 FUN589825 GEJ589825 GOF589825 GYB589825 HHX589825 HRT589825 IBP589825 ILL589825 IVH589825 JFD589825 JOZ589825 JYV589825 KIR589825 KSN589825 LCJ589825 LMF589825 LWB589825 MFX589825 MPT589825 MZP589825 NJL589825 NTH589825 ODD589825 OMZ589825 OWV589825 PGR589825 PQN589825 QAJ589825 QKF589825 QUB589825 RDX589825 RNT589825 RXP589825 SHL589825 SRH589825 TBD589825 TKZ589825 TUV589825 UER589825 UON589825 UYJ589825 VIF589825 VSB589825 WBX589825 WLT589825 WVP589825 H655349 JD655361 SZ655361 ACV655361 AMR655361 AWN655361 BGJ655361 BQF655361 CAB655361 CJX655361 CTT655361 DDP655361 DNL655361 DXH655361 EHD655361 EQZ655361 FAV655361 FKR655361 FUN655361 GEJ655361 GOF655361 GYB655361 HHX655361 HRT655361 IBP655361 ILL655361 IVH655361 JFD655361 JOZ655361 JYV655361 KIR655361 KSN655361 LCJ655361 LMF655361 LWB655361 MFX655361 MPT655361 MZP655361 NJL655361 NTH655361 ODD655361 OMZ655361 OWV655361 PGR655361 PQN655361 QAJ655361 QKF655361 QUB655361 RDX655361 RNT655361 RXP655361 SHL655361 SRH655361 TBD655361 TKZ655361 TUV655361 UER655361 UON655361 UYJ655361 VIF655361 VSB655361 WBX655361 WLT655361 WVP655361 H720885 JD720897 SZ720897 ACV720897 AMR720897 AWN720897 BGJ720897 BQF720897 CAB720897 CJX720897 CTT720897 DDP720897 DNL720897 DXH720897 EHD720897 EQZ720897 FAV720897 FKR720897 FUN720897 GEJ720897 GOF720897 GYB720897 HHX720897 HRT720897 IBP720897 ILL720897 IVH720897 JFD720897 JOZ720897 JYV720897 KIR720897 KSN720897 LCJ720897 LMF720897 LWB720897 MFX720897 MPT720897 MZP720897 NJL720897 NTH720897 ODD720897 OMZ720897 OWV720897 PGR720897 PQN720897 QAJ720897 QKF720897 QUB720897 RDX720897 RNT720897 RXP720897 SHL720897 SRH720897 TBD720897 TKZ720897 TUV720897 UER720897 UON720897 UYJ720897 VIF720897 VSB720897 WBX720897 WLT720897 WVP720897 H786421 JD786433 SZ786433 ACV786433 AMR786433 AWN786433 BGJ786433 BQF786433 CAB786433 CJX786433 CTT786433 DDP786433 DNL786433 DXH786433 EHD786433 EQZ786433 FAV786433 FKR786433 FUN786433 GEJ786433 GOF786433 GYB786433 HHX786433 HRT786433 IBP786433 ILL786433 IVH786433 JFD786433 JOZ786433 JYV786433 KIR786433 KSN786433 LCJ786433 LMF786433 LWB786433 MFX786433 MPT786433 MZP786433 NJL786433 NTH786433 ODD786433 OMZ786433 OWV786433 PGR786433 PQN786433 QAJ786433 QKF786433 QUB786433 RDX786433 RNT786433 RXP786433 SHL786433 SRH786433 TBD786433 TKZ786433 TUV786433 UER786433 UON786433 UYJ786433 VIF786433 VSB786433 WBX786433 WLT786433 WVP786433 H851957 JD851969 SZ851969 ACV851969 AMR851969 AWN851969 BGJ851969 BQF851969 CAB851969 CJX851969 CTT851969 DDP851969 DNL851969 DXH851969 EHD851969 EQZ851969 FAV851969 FKR851969 FUN851969 GEJ851969 GOF851969 GYB851969 HHX851969 HRT851969 IBP851969 ILL851969 IVH851969 JFD851969 JOZ851969 JYV851969 KIR851969 KSN851969 LCJ851969 LMF851969 LWB851969 MFX851969 MPT851969 MZP851969 NJL851969 NTH851969 ODD851969 OMZ851969 OWV851969 PGR851969 PQN851969 QAJ851969 QKF851969 QUB851969 RDX851969 RNT851969 RXP851969 SHL851969 SRH851969 TBD851969 TKZ851969 TUV851969 UER851969 UON851969 UYJ851969 VIF851969 VSB851969 WBX851969 WLT851969 WVP851969 H917493 JD917505 SZ917505 ACV917505 AMR917505 AWN917505 BGJ917505 BQF917505 CAB917505 CJX917505 CTT917505 DDP917505 DNL917505 DXH917505 EHD917505 EQZ917505 FAV917505 FKR917505 FUN917505 GEJ917505 GOF917505 GYB917505 HHX917505 HRT917505 IBP917505 ILL917505 IVH917505 JFD917505 JOZ917505 JYV917505 KIR917505 KSN917505 LCJ917505 LMF917505 LWB917505 MFX917505 MPT917505 MZP917505 NJL917505 NTH917505 ODD917505 OMZ917505 OWV917505 PGR917505 PQN917505 QAJ917505 QKF917505 QUB917505 RDX917505 RNT917505 RXP917505 SHL917505 SRH917505 TBD917505 TKZ917505 TUV917505 UER917505 UON917505 UYJ917505 VIF917505 VSB917505 WBX917505 WLT917505 WVP917505 H983029 JD983041 SZ983041 ACV983041 AMR983041 AWN983041 BGJ983041 BQF983041 CAB983041 CJX983041 CTT983041 DDP983041 DNL983041 DXH983041 EHD983041 EQZ983041 FAV983041 FKR983041 FUN983041 GEJ983041 GOF983041 GYB983041 HHX983041 HRT983041 IBP983041 ILL983041 IVH983041 JFD983041 JOZ983041 JYV983041 KIR983041 KSN983041 LCJ983041 LMF983041 LWB983041 MFX983041 MPT983041 MZP983041 NJL983041 NTH983041 ODD983041 OMZ983041 OWV983041 PGR983041 PQN983041 QAJ983041 QKF983041 QUB983041 RDX983041 RNT983041 RXP983041 SHL983041 SRH983041 TBD983041 TKZ983041 TUV983041 UER983041 UON983041 UYJ983041 VIF983041 VSB983041 WBX983041 WLT983041 WVP983041">
      <formula1>$R$9:$R$14</formula1>
    </dataValidation>
    <dataValidation type="list" allowBlank="1" showInputMessage="1" showErrorMessage="1" sqref="JD11:JD13 SZ11:SZ13 ACV11:ACV13 AMR11:AMR13 AWN11:AWN13 BGJ11:BGJ13 BQF11:BQF13 CAB11:CAB13 CJX11:CJX13 CTT11:CTT13 DDP11:DDP13 DNL11:DNL13 DXH11:DXH13 EHD11:EHD13 EQZ11:EQZ13 FAV11:FAV13 FKR11:FKR13 FUN11:FUN13 GEJ11:GEJ13 GOF11:GOF13 GYB11:GYB13 HHX11:HHX13 HRT11:HRT13 IBP11:IBP13 ILL11:ILL13 IVH11:IVH13 JFD11:JFD13 JOZ11:JOZ13 JYV11:JYV13 KIR11:KIR13 KSN11:KSN13 LCJ11:LCJ13 LMF11:LMF13 LWB11:LWB13 MFX11:MFX13 MPT11:MPT13 MZP11:MZP13 NJL11:NJL13 NTH11:NTH13 ODD11:ODD13 OMZ11:OMZ13 OWV11:OWV13 PGR11:PGR13 PQN11:PQN13 QAJ11:QAJ13 QKF11:QKF13 QUB11:QUB13 RDX11:RDX13 RNT11:RNT13 RXP11:RXP13 SHL11:SHL13 SRH11:SRH13 TBD11:TBD13 TKZ11:TKZ13 TUV11:TUV13 UER11:UER13 UON11:UON13 UYJ11:UYJ13 VIF11:VIF13 VSB11:VSB13 WBX11:WBX13 WLT11:WLT13 WVP11:WVP13 H65526:H65528 JD65538:JD65540 SZ65538:SZ65540 ACV65538:ACV65540 AMR65538:AMR65540 AWN65538:AWN65540 BGJ65538:BGJ65540 BQF65538:BQF65540 CAB65538:CAB65540 CJX65538:CJX65540 CTT65538:CTT65540 DDP65538:DDP65540 DNL65538:DNL65540 DXH65538:DXH65540 EHD65538:EHD65540 EQZ65538:EQZ65540 FAV65538:FAV65540 FKR65538:FKR65540 FUN65538:FUN65540 GEJ65538:GEJ65540 GOF65538:GOF65540 GYB65538:GYB65540 HHX65538:HHX65540 HRT65538:HRT65540 IBP65538:IBP65540 ILL65538:ILL65540 IVH65538:IVH65540 JFD65538:JFD65540 JOZ65538:JOZ65540 JYV65538:JYV65540 KIR65538:KIR65540 KSN65538:KSN65540 LCJ65538:LCJ65540 LMF65538:LMF65540 LWB65538:LWB65540 MFX65538:MFX65540 MPT65538:MPT65540 MZP65538:MZP65540 NJL65538:NJL65540 NTH65538:NTH65540 ODD65538:ODD65540 OMZ65538:OMZ65540 OWV65538:OWV65540 PGR65538:PGR65540 PQN65538:PQN65540 QAJ65538:QAJ65540 QKF65538:QKF65540 QUB65538:QUB65540 RDX65538:RDX65540 RNT65538:RNT65540 RXP65538:RXP65540 SHL65538:SHL65540 SRH65538:SRH65540 TBD65538:TBD65540 TKZ65538:TKZ65540 TUV65538:TUV65540 UER65538:UER65540 UON65538:UON65540 UYJ65538:UYJ65540 VIF65538:VIF65540 VSB65538:VSB65540 WBX65538:WBX65540 WLT65538:WLT65540 WVP65538:WVP65540 H131062:H131064 JD131074:JD131076 SZ131074:SZ131076 ACV131074:ACV131076 AMR131074:AMR131076 AWN131074:AWN131076 BGJ131074:BGJ131076 BQF131074:BQF131076 CAB131074:CAB131076 CJX131074:CJX131076 CTT131074:CTT131076 DDP131074:DDP131076 DNL131074:DNL131076 DXH131074:DXH131076 EHD131074:EHD131076 EQZ131074:EQZ131076 FAV131074:FAV131076 FKR131074:FKR131076 FUN131074:FUN131076 GEJ131074:GEJ131076 GOF131074:GOF131076 GYB131074:GYB131076 HHX131074:HHX131076 HRT131074:HRT131076 IBP131074:IBP131076 ILL131074:ILL131076 IVH131074:IVH131076 JFD131074:JFD131076 JOZ131074:JOZ131076 JYV131074:JYV131076 KIR131074:KIR131076 KSN131074:KSN131076 LCJ131074:LCJ131076 LMF131074:LMF131076 LWB131074:LWB131076 MFX131074:MFX131076 MPT131074:MPT131076 MZP131074:MZP131076 NJL131074:NJL131076 NTH131074:NTH131076 ODD131074:ODD131076 OMZ131074:OMZ131076 OWV131074:OWV131076 PGR131074:PGR131076 PQN131074:PQN131076 QAJ131074:QAJ131076 QKF131074:QKF131076 QUB131074:QUB131076 RDX131074:RDX131076 RNT131074:RNT131076 RXP131074:RXP131076 SHL131074:SHL131076 SRH131074:SRH131076 TBD131074:TBD131076 TKZ131074:TKZ131076 TUV131074:TUV131076 UER131074:UER131076 UON131074:UON131076 UYJ131074:UYJ131076 VIF131074:VIF131076 VSB131074:VSB131076 WBX131074:WBX131076 WLT131074:WLT131076 WVP131074:WVP131076 H196598:H196600 JD196610:JD196612 SZ196610:SZ196612 ACV196610:ACV196612 AMR196610:AMR196612 AWN196610:AWN196612 BGJ196610:BGJ196612 BQF196610:BQF196612 CAB196610:CAB196612 CJX196610:CJX196612 CTT196610:CTT196612 DDP196610:DDP196612 DNL196610:DNL196612 DXH196610:DXH196612 EHD196610:EHD196612 EQZ196610:EQZ196612 FAV196610:FAV196612 FKR196610:FKR196612 FUN196610:FUN196612 GEJ196610:GEJ196612 GOF196610:GOF196612 GYB196610:GYB196612 HHX196610:HHX196612 HRT196610:HRT196612 IBP196610:IBP196612 ILL196610:ILL196612 IVH196610:IVH196612 JFD196610:JFD196612 JOZ196610:JOZ196612 JYV196610:JYV196612 KIR196610:KIR196612 KSN196610:KSN196612 LCJ196610:LCJ196612 LMF196610:LMF196612 LWB196610:LWB196612 MFX196610:MFX196612 MPT196610:MPT196612 MZP196610:MZP196612 NJL196610:NJL196612 NTH196610:NTH196612 ODD196610:ODD196612 OMZ196610:OMZ196612 OWV196610:OWV196612 PGR196610:PGR196612 PQN196610:PQN196612 QAJ196610:QAJ196612 QKF196610:QKF196612 QUB196610:QUB196612 RDX196610:RDX196612 RNT196610:RNT196612 RXP196610:RXP196612 SHL196610:SHL196612 SRH196610:SRH196612 TBD196610:TBD196612 TKZ196610:TKZ196612 TUV196610:TUV196612 UER196610:UER196612 UON196610:UON196612 UYJ196610:UYJ196612 VIF196610:VIF196612 VSB196610:VSB196612 WBX196610:WBX196612 WLT196610:WLT196612 WVP196610:WVP196612 H262134:H262136 JD262146:JD262148 SZ262146:SZ262148 ACV262146:ACV262148 AMR262146:AMR262148 AWN262146:AWN262148 BGJ262146:BGJ262148 BQF262146:BQF262148 CAB262146:CAB262148 CJX262146:CJX262148 CTT262146:CTT262148 DDP262146:DDP262148 DNL262146:DNL262148 DXH262146:DXH262148 EHD262146:EHD262148 EQZ262146:EQZ262148 FAV262146:FAV262148 FKR262146:FKR262148 FUN262146:FUN262148 GEJ262146:GEJ262148 GOF262146:GOF262148 GYB262146:GYB262148 HHX262146:HHX262148 HRT262146:HRT262148 IBP262146:IBP262148 ILL262146:ILL262148 IVH262146:IVH262148 JFD262146:JFD262148 JOZ262146:JOZ262148 JYV262146:JYV262148 KIR262146:KIR262148 KSN262146:KSN262148 LCJ262146:LCJ262148 LMF262146:LMF262148 LWB262146:LWB262148 MFX262146:MFX262148 MPT262146:MPT262148 MZP262146:MZP262148 NJL262146:NJL262148 NTH262146:NTH262148 ODD262146:ODD262148 OMZ262146:OMZ262148 OWV262146:OWV262148 PGR262146:PGR262148 PQN262146:PQN262148 QAJ262146:QAJ262148 QKF262146:QKF262148 QUB262146:QUB262148 RDX262146:RDX262148 RNT262146:RNT262148 RXP262146:RXP262148 SHL262146:SHL262148 SRH262146:SRH262148 TBD262146:TBD262148 TKZ262146:TKZ262148 TUV262146:TUV262148 UER262146:UER262148 UON262146:UON262148 UYJ262146:UYJ262148 VIF262146:VIF262148 VSB262146:VSB262148 WBX262146:WBX262148 WLT262146:WLT262148 WVP262146:WVP262148 H327670:H327672 JD327682:JD327684 SZ327682:SZ327684 ACV327682:ACV327684 AMR327682:AMR327684 AWN327682:AWN327684 BGJ327682:BGJ327684 BQF327682:BQF327684 CAB327682:CAB327684 CJX327682:CJX327684 CTT327682:CTT327684 DDP327682:DDP327684 DNL327682:DNL327684 DXH327682:DXH327684 EHD327682:EHD327684 EQZ327682:EQZ327684 FAV327682:FAV327684 FKR327682:FKR327684 FUN327682:FUN327684 GEJ327682:GEJ327684 GOF327682:GOF327684 GYB327682:GYB327684 HHX327682:HHX327684 HRT327682:HRT327684 IBP327682:IBP327684 ILL327682:ILL327684 IVH327682:IVH327684 JFD327682:JFD327684 JOZ327682:JOZ327684 JYV327682:JYV327684 KIR327682:KIR327684 KSN327682:KSN327684 LCJ327682:LCJ327684 LMF327682:LMF327684 LWB327682:LWB327684 MFX327682:MFX327684 MPT327682:MPT327684 MZP327682:MZP327684 NJL327682:NJL327684 NTH327682:NTH327684 ODD327682:ODD327684 OMZ327682:OMZ327684 OWV327682:OWV327684 PGR327682:PGR327684 PQN327682:PQN327684 QAJ327682:QAJ327684 QKF327682:QKF327684 QUB327682:QUB327684 RDX327682:RDX327684 RNT327682:RNT327684 RXP327682:RXP327684 SHL327682:SHL327684 SRH327682:SRH327684 TBD327682:TBD327684 TKZ327682:TKZ327684 TUV327682:TUV327684 UER327682:UER327684 UON327682:UON327684 UYJ327682:UYJ327684 VIF327682:VIF327684 VSB327682:VSB327684 WBX327682:WBX327684 WLT327682:WLT327684 WVP327682:WVP327684 H393206:H393208 JD393218:JD393220 SZ393218:SZ393220 ACV393218:ACV393220 AMR393218:AMR393220 AWN393218:AWN393220 BGJ393218:BGJ393220 BQF393218:BQF393220 CAB393218:CAB393220 CJX393218:CJX393220 CTT393218:CTT393220 DDP393218:DDP393220 DNL393218:DNL393220 DXH393218:DXH393220 EHD393218:EHD393220 EQZ393218:EQZ393220 FAV393218:FAV393220 FKR393218:FKR393220 FUN393218:FUN393220 GEJ393218:GEJ393220 GOF393218:GOF393220 GYB393218:GYB393220 HHX393218:HHX393220 HRT393218:HRT393220 IBP393218:IBP393220 ILL393218:ILL393220 IVH393218:IVH393220 JFD393218:JFD393220 JOZ393218:JOZ393220 JYV393218:JYV393220 KIR393218:KIR393220 KSN393218:KSN393220 LCJ393218:LCJ393220 LMF393218:LMF393220 LWB393218:LWB393220 MFX393218:MFX393220 MPT393218:MPT393220 MZP393218:MZP393220 NJL393218:NJL393220 NTH393218:NTH393220 ODD393218:ODD393220 OMZ393218:OMZ393220 OWV393218:OWV393220 PGR393218:PGR393220 PQN393218:PQN393220 QAJ393218:QAJ393220 QKF393218:QKF393220 QUB393218:QUB393220 RDX393218:RDX393220 RNT393218:RNT393220 RXP393218:RXP393220 SHL393218:SHL393220 SRH393218:SRH393220 TBD393218:TBD393220 TKZ393218:TKZ393220 TUV393218:TUV393220 UER393218:UER393220 UON393218:UON393220 UYJ393218:UYJ393220 VIF393218:VIF393220 VSB393218:VSB393220 WBX393218:WBX393220 WLT393218:WLT393220 WVP393218:WVP393220 H458742:H458744 JD458754:JD458756 SZ458754:SZ458756 ACV458754:ACV458756 AMR458754:AMR458756 AWN458754:AWN458756 BGJ458754:BGJ458756 BQF458754:BQF458756 CAB458754:CAB458756 CJX458754:CJX458756 CTT458754:CTT458756 DDP458754:DDP458756 DNL458754:DNL458756 DXH458754:DXH458756 EHD458754:EHD458756 EQZ458754:EQZ458756 FAV458754:FAV458756 FKR458754:FKR458756 FUN458754:FUN458756 GEJ458754:GEJ458756 GOF458754:GOF458756 GYB458754:GYB458756 HHX458754:HHX458756 HRT458754:HRT458756 IBP458754:IBP458756 ILL458754:ILL458756 IVH458754:IVH458756 JFD458754:JFD458756 JOZ458754:JOZ458756 JYV458754:JYV458756 KIR458754:KIR458756 KSN458754:KSN458756 LCJ458754:LCJ458756 LMF458754:LMF458756 LWB458754:LWB458756 MFX458754:MFX458756 MPT458754:MPT458756 MZP458754:MZP458756 NJL458754:NJL458756 NTH458754:NTH458756 ODD458754:ODD458756 OMZ458754:OMZ458756 OWV458754:OWV458756 PGR458754:PGR458756 PQN458754:PQN458756 QAJ458754:QAJ458756 QKF458754:QKF458756 QUB458754:QUB458756 RDX458754:RDX458756 RNT458754:RNT458756 RXP458754:RXP458756 SHL458754:SHL458756 SRH458754:SRH458756 TBD458754:TBD458756 TKZ458754:TKZ458756 TUV458754:TUV458756 UER458754:UER458756 UON458754:UON458756 UYJ458754:UYJ458756 VIF458754:VIF458756 VSB458754:VSB458756 WBX458754:WBX458756 WLT458754:WLT458756 WVP458754:WVP458756 H524278:H524280 JD524290:JD524292 SZ524290:SZ524292 ACV524290:ACV524292 AMR524290:AMR524292 AWN524290:AWN524292 BGJ524290:BGJ524292 BQF524290:BQF524292 CAB524290:CAB524292 CJX524290:CJX524292 CTT524290:CTT524292 DDP524290:DDP524292 DNL524290:DNL524292 DXH524290:DXH524292 EHD524290:EHD524292 EQZ524290:EQZ524292 FAV524290:FAV524292 FKR524290:FKR524292 FUN524290:FUN524292 GEJ524290:GEJ524292 GOF524290:GOF524292 GYB524290:GYB524292 HHX524290:HHX524292 HRT524290:HRT524292 IBP524290:IBP524292 ILL524290:ILL524292 IVH524290:IVH524292 JFD524290:JFD524292 JOZ524290:JOZ524292 JYV524290:JYV524292 KIR524290:KIR524292 KSN524290:KSN524292 LCJ524290:LCJ524292 LMF524290:LMF524292 LWB524290:LWB524292 MFX524290:MFX524292 MPT524290:MPT524292 MZP524290:MZP524292 NJL524290:NJL524292 NTH524290:NTH524292 ODD524290:ODD524292 OMZ524290:OMZ524292 OWV524290:OWV524292 PGR524290:PGR524292 PQN524290:PQN524292 QAJ524290:QAJ524292 QKF524290:QKF524292 QUB524290:QUB524292 RDX524290:RDX524292 RNT524290:RNT524292 RXP524290:RXP524292 SHL524290:SHL524292 SRH524290:SRH524292 TBD524290:TBD524292 TKZ524290:TKZ524292 TUV524290:TUV524292 UER524290:UER524292 UON524290:UON524292 UYJ524290:UYJ524292 VIF524290:VIF524292 VSB524290:VSB524292 WBX524290:WBX524292 WLT524290:WLT524292 WVP524290:WVP524292 H589814:H589816 JD589826:JD589828 SZ589826:SZ589828 ACV589826:ACV589828 AMR589826:AMR589828 AWN589826:AWN589828 BGJ589826:BGJ589828 BQF589826:BQF589828 CAB589826:CAB589828 CJX589826:CJX589828 CTT589826:CTT589828 DDP589826:DDP589828 DNL589826:DNL589828 DXH589826:DXH589828 EHD589826:EHD589828 EQZ589826:EQZ589828 FAV589826:FAV589828 FKR589826:FKR589828 FUN589826:FUN589828 GEJ589826:GEJ589828 GOF589826:GOF589828 GYB589826:GYB589828 HHX589826:HHX589828 HRT589826:HRT589828 IBP589826:IBP589828 ILL589826:ILL589828 IVH589826:IVH589828 JFD589826:JFD589828 JOZ589826:JOZ589828 JYV589826:JYV589828 KIR589826:KIR589828 KSN589826:KSN589828 LCJ589826:LCJ589828 LMF589826:LMF589828 LWB589826:LWB589828 MFX589826:MFX589828 MPT589826:MPT589828 MZP589826:MZP589828 NJL589826:NJL589828 NTH589826:NTH589828 ODD589826:ODD589828 OMZ589826:OMZ589828 OWV589826:OWV589828 PGR589826:PGR589828 PQN589826:PQN589828 QAJ589826:QAJ589828 QKF589826:QKF589828 QUB589826:QUB589828 RDX589826:RDX589828 RNT589826:RNT589828 RXP589826:RXP589828 SHL589826:SHL589828 SRH589826:SRH589828 TBD589826:TBD589828 TKZ589826:TKZ589828 TUV589826:TUV589828 UER589826:UER589828 UON589826:UON589828 UYJ589826:UYJ589828 VIF589826:VIF589828 VSB589826:VSB589828 WBX589826:WBX589828 WLT589826:WLT589828 WVP589826:WVP589828 H655350:H655352 JD655362:JD655364 SZ655362:SZ655364 ACV655362:ACV655364 AMR655362:AMR655364 AWN655362:AWN655364 BGJ655362:BGJ655364 BQF655362:BQF655364 CAB655362:CAB655364 CJX655362:CJX655364 CTT655362:CTT655364 DDP655362:DDP655364 DNL655362:DNL655364 DXH655362:DXH655364 EHD655362:EHD655364 EQZ655362:EQZ655364 FAV655362:FAV655364 FKR655362:FKR655364 FUN655362:FUN655364 GEJ655362:GEJ655364 GOF655362:GOF655364 GYB655362:GYB655364 HHX655362:HHX655364 HRT655362:HRT655364 IBP655362:IBP655364 ILL655362:ILL655364 IVH655362:IVH655364 JFD655362:JFD655364 JOZ655362:JOZ655364 JYV655362:JYV655364 KIR655362:KIR655364 KSN655362:KSN655364 LCJ655362:LCJ655364 LMF655362:LMF655364 LWB655362:LWB655364 MFX655362:MFX655364 MPT655362:MPT655364 MZP655362:MZP655364 NJL655362:NJL655364 NTH655362:NTH655364 ODD655362:ODD655364 OMZ655362:OMZ655364 OWV655362:OWV655364 PGR655362:PGR655364 PQN655362:PQN655364 QAJ655362:QAJ655364 QKF655362:QKF655364 QUB655362:QUB655364 RDX655362:RDX655364 RNT655362:RNT655364 RXP655362:RXP655364 SHL655362:SHL655364 SRH655362:SRH655364 TBD655362:TBD655364 TKZ655362:TKZ655364 TUV655362:TUV655364 UER655362:UER655364 UON655362:UON655364 UYJ655362:UYJ655364 VIF655362:VIF655364 VSB655362:VSB655364 WBX655362:WBX655364 WLT655362:WLT655364 WVP655362:WVP655364 H720886:H720888 JD720898:JD720900 SZ720898:SZ720900 ACV720898:ACV720900 AMR720898:AMR720900 AWN720898:AWN720900 BGJ720898:BGJ720900 BQF720898:BQF720900 CAB720898:CAB720900 CJX720898:CJX720900 CTT720898:CTT720900 DDP720898:DDP720900 DNL720898:DNL720900 DXH720898:DXH720900 EHD720898:EHD720900 EQZ720898:EQZ720900 FAV720898:FAV720900 FKR720898:FKR720900 FUN720898:FUN720900 GEJ720898:GEJ720900 GOF720898:GOF720900 GYB720898:GYB720900 HHX720898:HHX720900 HRT720898:HRT720900 IBP720898:IBP720900 ILL720898:ILL720900 IVH720898:IVH720900 JFD720898:JFD720900 JOZ720898:JOZ720900 JYV720898:JYV720900 KIR720898:KIR720900 KSN720898:KSN720900 LCJ720898:LCJ720900 LMF720898:LMF720900 LWB720898:LWB720900 MFX720898:MFX720900 MPT720898:MPT720900 MZP720898:MZP720900 NJL720898:NJL720900 NTH720898:NTH720900 ODD720898:ODD720900 OMZ720898:OMZ720900 OWV720898:OWV720900 PGR720898:PGR720900 PQN720898:PQN720900 QAJ720898:QAJ720900 QKF720898:QKF720900 QUB720898:QUB720900 RDX720898:RDX720900 RNT720898:RNT720900 RXP720898:RXP720900 SHL720898:SHL720900 SRH720898:SRH720900 TBD720898:TBD720900 TKZ720898:TKZ720900 TUV720898:TUV720900 UER720898:UER720900 UON720898:UON720900 UYJ720898:UYJ720900 VIF720898:VIF720900 VSB720898:VSB720900 WBX720898:WBX720900 WLT720898:WLT720900 WVP720898:WVP720900 H786422:H786424 JD786434:JD786436 SZ786434:SZ786436 ACV786434:ACV786436 AMR786434:AMR786436 AWN786434:AWN786436 BGJ786434:BGJ786436 BQF786434:BQF786436 CAB786434:CAB786436 CJX786434:CJX786436 CTT786434:CTT786436 DDP786434:DDP786436 DNL786434:DNL786436 DXH786434:DXH786436 EHD786434:EHD786436 EQZ786434:EQZ786436 FAV786434:FAV786436 FKR786434:FKR786436 FUN786434:FUN786436 GEJ786434:GEJ786436 GOF786434:GOF786436 GYB786434:GYB786436 HHX786434:HHX786436 HRT786434:HRT786436 IBP786434:IBP786436 ILL786434:ILL786436 IVH786434:IVH786436 JFD786434:JFD786436 JOZ786434:JOZ786436 JYV786434:JYV786436 KIR786434:KIR786436 KSN786434:KSN786436 LCJ786434:LCJ786436 LMF786434:LMF786436 LWB786434:LWB786436 MFX786434:MFX786436 MPT786434:MPT786436 MZP786434:MZP786436 NJL786434:NJL786436 NTH786434:NTH786436 ODD786434:ODD786436 OMZ786434:OMZ786436 OWV786434:OWV786436 PGR786434:PGR786436 PQN786434:PQN786436 QAJ786434:QAJ786436 QKF786434:QKF786436 QUB786434:QUB786436 RDX786434:RDX786436 RNT786434:RNT786436 RXP786434:RXP786436 SHL786434:SHL786436 SRH786434:SRH786436 TBD786434:TBD786436 TKZ786434:TKZ786436 TUV786434:TUV786436 UER786434:UER786436 UON786434:UON786436 UYJ786434:UYJ786436 VIF786434:VIF786436 VSB786434:VSB786436 WBX786434:WBX786436 WLT786434:WLT786436 WVP786434:WVP786436 H851958:H851960 JD851970:JD851972 SZ851970:SZ851972 ACV851970:ACV851972 AMR851970:AMR851972 AWN851970:AWN851972 BGJ851970:BGJ851972 BQF851970:BQF851972 CAB851970:CAB851972 CJX851970:CJX851972 CTT851970:CTT851972 DDP851970:DDP851972 DNL851970:DNL851972 DXH851970:DXH851972 EHD851970:EHD851972 EQZ851970:EQZ851972 FAV851970:FAV851972 FKR851970:FKR851972 FUN851970:FUN851972 GEJ851970:GEJ851972 GOF851970:GOF851972 GYB851970:GYB851972 HHX851970:HHX851972 HRT851970:HRT851972 IBP851970:IBP851972 ILL851970:ILL851972 IVH851970:IVH851972 JFD851970:JFD851972 JOZ851970:JOZ851972 JYV851970:JYV851972 KIR851970:KIR851972 KSN851970:KSN851972 LCJ851970:LCJ851972 LMF851970:LMF851972 LWB851970:LWB851972 MFX851970:MFX851972 MPT851970:MPT851972 MZP851970:MZP851972 NJL851970:NJL851972 NTH851970:NTH851972 ODD851970:ODD851972 OMZ851970:OMZ851972 OWV851970:OWV851972 PGR851970:PGR851972 PQN851970:PQN851972 QAJ851970:QAJ851972 QKF851970:QKF851972 QUB851970:QUB851972 RDX851970:RDX851972 RNT851970:RNT851972 RXP851970:RXP851972 SHL851970:SHL851972 SRH851970:SRH851972 TBD851970:TBD851972 TKZ851970:TKZ851972 TUV851970:TUV851972 UER851970:UER851972 UON851970:UON851972 UYJ851970:UYJ851972 VIF851970:VIF851972 VSB851970:VSB851972 WBX851970:WBX851972 WLT851970:WLT851972 WVP851970:WVP851972 H917494:H917496 JD917506:JD917508 SZ917506:SZ917508 ACV917506:ACV917508 AMR917506:AMR917508 AWN917506:AWN917508 BGJ917506:BGJ917508 BQF917506:BQF917508 CAB917506:CAB917508 CJX917506:CJX917508 CTT917506:CTT917508 DDP917506:DDP917508 DNL917506:DNL917508 DXH917506:DXH917508 EHD917506:EHD917508 EQZ917506:EQZ917508 FAV917506:FAV917508 FKR917506:FKR917508 FUN917506:FUN917508 GEJ917506:GEJ917508 GOF917506:GOF917508 GYB917506:GYB917508 HHX917506:HHX917508 HRT917506:HRT917508 IBP917506:IBP917508 ILL917506:ILL917508 IVH917506:IVH917508 JFD917506:JFD917508 JOZ917506:JOZ917508 JYV917506:JYV917508 KIR917506:KIR917508 KSN917506:KSN917508 LCJ917506:LCJ917508 LMF917506:LMF917508 LWB917506:LWB917508 MFX917506:MFX917508 MPT917506:MPT917508 MZP917506:MZP917508 NJL917506:NJL917508 NTH917506:NTH917508 ODD917506:ODD917508 OMZ917506:OMZ917508 OWV917506:OWV917508 PGR917506:PGR917508 PQN917506:PQN917508 QAJ917506:QAJ917508 QKF917506:QKF917508 QUB917506:QUB917508 RDX917506:RDX917508 RNT917506:RNT917508 RXP917506:RXP917508 SHL917506:SHL917508 SRH917506:SRH917508 TBD917506:TBD917508 TKZ917506:TKZ917508 TUV917506:TUV917508 UER917506:UER917508 UON917506:UON917508 UYJ917506:UYJ917508 VIF917506:VIF917508 VSB917506:VSB917508 WBX917506:WBX917508 WLT917506:WLT917508 WVP917506:WVP917508 H983030:H983032 JD983042:JD983044 SZ983042:SZ983044 ACV983042:ACV983044 AMR983042:AMR983044 AWN983042:AWN983044 BGJ983042:BGJ983044 BQF983042:BQF983044 CAB983042:CAB983044 CJX983042:CJX983044 CTT983042:CTT983044 DDP983042:DDP983044 DNL983042:DNL983044 DXH983042:DXH983044 EHD983042:EHD983044 EQZ983042:EQZ983044 FAV983042:FAV983044 FKR983042:FKR983044 FUN983042:FUN983044 GEJ983042:GEJ983044 GOF983042:GOF983044 GYB983042:GYB983044 HHX983042:HHX983044 HRT983042:HRT983044 IBP983042:IBP983044 ILL983042:ILL983044 IVH983042:IVH983044 JFD983042:JFD983044 JOZ983042:JOZ983044 JYV983042:JYV983044 KIR983042:KIR983044 KSN983042:KSN983044 LCJ983042:LCJ983044 LMF983042:LMF983044 LWB983042:LWB983044 MFX983042:MFX983044 MPT983042:MPT983044 MZP983042:MZP983044 NJL983042:NJL983044 NTH983042:NTH983044 ODD983042:ODD983044 OMZ983042:OMZ983044 OWV983042:OWV983044 PGR983042:PGR983044 PQN983042:PQN983044 QAJ983042:QAJ983044 QKF983042:QKF983044 QUB983042:QUB983044 RDX983042:RDX983044 RNT983042:RNT983044 RXP983042:RXP983044 SHL983042:SHL983044 SRH983042:SRH983044 TBD983042:TBD983044 TKZ983042:TKZ983044 TUV983042:TUV983044 UER983042:UER983044 UON983042:UON983044 UYJ983042:UYJ983044 VIF983042:VIF983044 VSB983042:VSB983044 WBX983042:WBX983044 WLT983042:WLT983044 WVP983042:WVP983044 H10:H11">
      <formula1>$R$9:$R$14</formula1>
    </dataValidation>
    <dataValidation type="custom" errorStyle="warning" allowBlank="1" showInputMessage="1" showErrorMessage="1" error="Borrower has failed qualitative assessment" sqref="J65569 JF65581 TB65581 ACX65581 AMT65581 AWP65581 BGL65581 BQH65581 CAD65581 CJZ65581 CTV65581 DDR65581 DNN65581 DXJ65581 EHF65581 ERB65581 FAX65581 FKT65581 FUP65581 GEL65581 GOH65581 GYD65581 HHZ65581 HRV65581 IBR65581 ILN65581 IVJ65581 JFF65581 JPB65581 JYX65581 KIT65581 KSP65581 LCL65581 LMH65581 LWD65581 MFZ65581 MPV65581 MZR65581 NJN65581 NTJ65581 ODF65581 ONB65581 OWX65581 PGT65581 PQP65581 QAL65581 QKH65581 QUD65581 RDZ65581 RNV65581 RXR65581 SHN65581 SRJ65581 TBF65581 TLB65581 TUX65581 UET65581 UOP65581 UYL65581 VIH65581 VSD65581 WBZ65581 WLV65581 WVR65581 J131105 JF131117 TB131117 ACX131117 AMT131117 AWP131117 BGL131117 BQH131117 CAD131117 CJZ131117 CTV131117 DDR131117 DNN131117 DXJ131117 EHF131117 ERB131117 FAX131117 FKT131117 FUP131117 GEL131117 GOH131117 GYD131117 HHZ131117 HRV131117 IBR131117 ILN131117 IVJ131117 JFF131117 JPB131117 JYX131117 KIT131117 KSP131117 LCL131117 LMH131117 LWD131117 MFZ131117 MPV131117 MZR131117 NJN131117 NTJ131117 ODF131117 ONB131117 OWX131117 PGT131117 PQP131117 QAL131117 QKH131117 QUD131117 RDZ131117 RNV131117 RXR131117 SHN131117 SRJ131117 TBF131117 TLB131117 TUX131117 UET131117 UOP131117 UYL131117 VIH131117 VSD131117 WBZ131117 WLV131117 WVR131117 J196641 JF196653 TB196653 ACX196653 AMT196653 AWP196653 BGL196653 BQH196653 CAD196653 CJZ196653 CTV196653 DDR196653 DNN196653 DXJ196653 EHF196653 ERB196653 FAX196653 FKT196653 FUP196653 GEL196653 GOH196653 GYD196653 HHZ196653 HRV196653 IBR196653 ILN196653 IVJ196653 JFF196653 JPB196653 JYX196653 KIT196653 KSP196653 LCL196653 LMH196653 LWD196653 MFZ196653 MPV196653 MZR196653 NJN196653 NTJ196653 ODF196653 ONB196653 OWX196653 PGT196653 PQP196653 QAL196653 QKH196653 QUD196653 RDZ196653 RNV196653 RXR196653 SHN196653 SRJ196653 TBF196653 TLB196653 TUX196653 UET196653 UOP196653 UYL196653 VIH196653 VSD196653 WBZ196653 WLV196653 WVR196653 J262177 JF262189 TB262189 ACX262189 AMT262189 AWP262189 BGL262189 BQH262189 CAD262189 CJZ262189 CTV262189 DDR262189 DNN262189 DXJ262189 EHF262189 ERB262189 FAX262189 FKT262189 FUP262189 GEL262189 GOH262189 GYD262189 HHZ262189 HRV262189 IBR262189 ILN262189 IVJ262189 JFF262189 JPB262189 JYX262189 KIT262189 KSP262189 LCL262189 LMH262189 LWD262189 MFZ262189 MPV262189 MZR262189 NJN262189 NTJ262189 ODF262189 ONB262189 OWX262189 PGT262189 PQP262189 QAL262189 QKH262189 QUD262189 RDZ262189 RNV262189 RXR262189 SHN262189 SRJ262189 TBF262189 TLB262189 TUX262189 UET262189 UOP262189 UYL262189 VIH262189 VSD262189 WBZ262189 WLV262189 WVR262189 J327713 JF327725 TB327725 ACX327725 AMT327725 AWP327725 BGL327725 BQH327725 CAD327725 CJZ327725 CTV327725 DDR327725 DNN327725 DXJ327725 EHF327725 ERB327725 FAX327725 FKT327725 FUP327725 GEL327725 GOH327725 GYD327725 HHZ327725 HRV327725 IBR327725 ILN327725 IVJ327725 JFF327725 JPB327725 JYX327725 KIT327725 KSP327725 LCL327725 LMH327725 LWD327725 MFZ327725 MPV327725 MZR327725 NJN327725 NTJ327725 ODF327725 ONB327725 OWX327725 PGT327725 PQP327725 QAL327725 QKH327725 QUD327725 RDZ327725 RNV327725 RXR327725 SHN327725 SRJ327725 TBF327725 TLB327725 TUX327725 UET327725 UOP327725 UYL327725 VIH327725 VSD327725 WBZ327725 WLV327725 WVR327725 J393249 JF393261 TB393261 ACX393261 AMT393261 AWP393261 BGL393261 BQH393261 CAD393261 CJZ393261 CTV393261 DDR393261 DNN393261 DXJ393261 EHF393261 ERB393261 FAX393261 FKT393261 FUP393261 GEL393261 GOH393261 GYD393261 HHZ393261 HRV393261 IBR393261 ILN393261 IVJ393261 JFF393261 JPB393261 JYX393261 KIT393261 KSP393261 LCL393261 LMH393261 LWD393261 MFZ393261 MPV393261 MZR393261 NJN393261 NTJ393261 ODF393261 ONB393261 OWX393261 PGT393261 PQP393261 QAL393261 QKH393261 QUD393261 RDZ393261 RNV393261 RXR393261 SHN393261 SRJ393261 TBF393261 TLB393261 TUX393261 UET393261 UOP393261 UYL393261 VIH393261 VSD393261 WBZ393261 WLV393261 WVR393261 J458785 JF458797 TB458797 ACX458797 AMT458797 AWP458797 BGL458797 BQH458797 CAD458797 CJZ458797 CTV458797 DDR458797 DNN458797 DXJ458797 EHF458797 ERB458797 FAX458797 FKT458797 FUP458797 GEL458797 GOH458797 GYD458797 HHZ458797 HRV458797 IBR458797 ILN458797 IVJ458797 JFF458797 JPB458797 JYX458797 KIT458797 KSP458797 LCL458797 LMH458797 LWD458797 MFZ458797 MPV458797 MZR458797 NJN458797 NTJ458797 ODF458797 ONB458797 OWX458797 PGT458797 PQP458797 QAL458797 QKH458797 QUD458797 RDZ458797 RNV458797 RXR458797 SHN458797 SRJ458797 TBF458797 TLB458797 TUX458797 UET458797 UOP458797 UYL458797 VIH458797 VSD458797 WBZ458797 WLV458797 WVR458797 J524321 JF524333 TB524333 ACX524333 AMT524333 AWP524333 BGL524333 BQH524333 CAD524333 CJZ524333 CTV524333 DDR524333 DNN524333 DXJ524333 EHF524333 ERB524333 FAX524333 FKT524333 FUP524333 GEL524333 GOH524333 GYD524333 HHZ524333 HRV524333 IBR524333 ILN524333 IVJ524333 JFF524333 JPB524333 JYX524333 KIT524333 KSP524333 LCL524333 LMH524333 LWD524333 MFZ524333 MPV524333 MZR524333 NJN524333 NTJ524333 ODF524333 ONB524333 OWX524333 PGT524333 PQP524333 QAL524333 QKH524333 QUD524333 RDZ524333 RNV524333 RXR524333 SHN524333 SRJ524333 TBF524333 TLB524333 TUX524333 UET524333 UOP524333 UYL524333 VIH524333 VSD524333 WBZ524333 WLV524333 WVR524333 J589857 JF589869 TB589869 ACX589869 AMT589869 AWP589869 BGL589869 BQH589869 CAD589869 CJZ589869 CTV589869 DDR589869 DNN589869 DXJ589869 EHF589869 ERB589869 FAX589869 FKT589869 FUP589869 GEL589869 GOH589869 GYD589869 HHZ589869 HRV589869 IBR589869 ILN589869 IVJ589869 JFF589869 JPB589869 JYX589869 KIT589869 KSP589869 LCL589869 LMH589869 LWD589869 MFZ589869 MPV589869 MZR589869 NJN589869 NTJ589869 ODF589869 ONB589869 OWX589869 PGT589869 PQP589869 QAL589869 QKH589869 QUD589869 RDZ589869 RNV589869 RXR589869 SHN589869 SRJ589869 TBF589869 TLB589869 TUX589869 UET589869 UOP589869 UYL589869 VIH589869 VSD589869 WBZ589869 WLV589869 WVR589869 J655393 JF655405 TB655405 ACX655405 AMT655405 AWP655405 BGL655405 BQH655405 CAD655405 CJZ655405 CTV655405 DDR655405 DNN655405 DXJ655405 EHF655405 ERB655405 FAX655405 FKT655405 FUP655405 GEL655405 GOH655405 GYD655405 HHZ655405 HRV655405 IBR655405 ILN655405 IVJ655405 JFF655405 JPB655405 JYX655405 KIT655405 KSP655405 LCL655405 LMH655405 LWD655405 MFZ655405 MPV655405 MZR655405 NJN655405 NTJ655405 ODF655405 ONB655405 OWX655405 PGT655405 PQP655405 QAL655405 QKH655405 QUD655405 RDZ655405 RNV655405 RXR655405 SHN655405 SRJ655405 TBF655405 TLB655405 TUX655405 UET655405 UOP655405 UYL655405 VIH655405 VSD655405 WBZ655405 WLV655405 WVR655405 J720929 JF720941 TB720941 ACX720941 AMT720941 AWP720941 BGL720941 BQH720941 CAD720941 CJZ720941 CTV720941 DDR720941 DNN720941 DXJ720941 EHF720941 ERB720941 FAX720941 FKT720941 FUP720941 GEL720941 GOH720941 GYD720941 HHZ720941 HRV720941 IBR720941 ILN720941 IVJ720941 JFF720941 JPB720941 JYX720941 KIT720941 KSP720941 LCL720941 LMH720941 LWD720941 MFZ720941 MPV720941 MZR720941 NJN720941 NTJ720941 ODF720941 ONB720941 OWX720941 PGT720941 PQP720941 QAL720941 QKH720941 QUD720941 RDZ720941 RNV720941 RXR720941 SHN720941 SRJ720941 TBF720941 TLB720941 TUX720941 UET720941 UOP720941 UYL720941 VIH720941 VSD720941 WBZ720941 WLV720941 WVR720941 J786465 JF786477 TB786477 ACX786477 AMT786477 AWP786477 BGL786477 BQH786477 CAD786477 CJZ786477 CTV786477 DDR786477 DNN786477 DXJ786477 EHF786477 ERB786477 FAX786477 FKT786477 FUP786477 GEL786477 GOH786477 GYD786477 HHZ786477 HRV786477 IBR786477 ILN786477 IVJ786477 JFF786477 JPB786477 JYX786477 KIT786477 KSP786477 LCL786477 LMH786477 LWD786477 MFZ786477 MPV786477 MZR786477 NJN786477 NTJ786477 ODF786477 ONB786477 OWX786477 PGT786477 PQP786477 QAL786477 QKH786477 QUD786477 RDZ786477 RNV786477 RXR786477 SHN786477 SRJ786477 TBF786477 TLB786477 TUX786477 UET786477 UOP786477 UYL786477 VIH786477 VSD786477 WBZ786477 WLV786477 WVR786477 J852001 JF852013 TB852013 ACX852013 AMT852013 AWP852013 BGL852013 BQH852013 CAD852013 CJZ852013 CTV852013 DDR852013 DNN852013 DXJ852013 EHF852013 ERB852013 FAX852013 FKT852013 FUP852013 GEL852013 GOH852013 GYD852013 HHZ852013 HRV852013 IBR852013 ILN852013 IVJ852013 JFF852013 JPB852013 JYX852013 KIT852013 KSP852013 LCL852013 LMH852013 LWD852013 MFZ852013 MPV852013 MZR852013 NJN852013 NTJ852013 ODF852013 ONB852013 OWX852013 PGT852013 PQP852013 QAL852013 QKH852013 QUD852013 RDZ852013 RNV852013 RXR852013 SHN852013 SRJ852013 TBF852013 TLB852013 TUX852013 UET852013 UOP852013 UYL852013 VIH852013 VSD852013 WBZ852013 WLV852013 WVR852013 J917537 JF917549 TB917549 ACX917549 AMT917549 AWP917549 BGL917549 BQH917549 CAD917549 CJZ917549 CTV917549 DDR917549 DNN917549 DXJ917549 EHF917549 ERB917549 FAX917549 FKT917549 FUP917549 GEL917549 GOH917549 GYD917549 HHZ917549 HRV917549 IBR917549 ILN917549 IVJ917549 JFF917549 JPB917549 JYX917549 KIT917549 KSP917549 LCL917549 LMH917549 LWD917549 MFZ917549 MPV917549 MZR917549 NJN917549 NTJ917549 ODF917549 ONB917549 OWX917549 PGT917549 PQP917549 QAL917549 QKH917549 QUD917549 RDZ917549 RNV917549 RXR917549 SHN917549 SRJ917549 TBF917549 TLB917549 TUX917549 UET917549 UOP917549 UYL917549 VIH917549 VSD917549 WBZ917549 WLV917549 WVR917549 J983073 JF983085 TB983085 ACX983085 AMT983085 AWP983085 BGL983085 BQH983085 CAD983085 CJZ983085 CTV983085 DDR983085 DNN983085 DXJ983085 EHF983085 ERB983085 FAX983085 FKT983085 FUP983085 GEL983085 GOH983085 GYD983085 HHZ983085 HRV983085 IBR983085 ILN983085 IVJ983085 JFF983085 JPB983085 JYX983085 KIT983085 KSP983085 LCL983085 LMH983085 LWD983085 MFZ983085 MPV983085 MZR983085 NJN983085 NTJ983085 ODF983085 ONB983085 OWX983085 PGT983085 PQP983085 QAL983085 QKH983085 QUD983085 RDZ983085 RNV983085 RXR983085 SHN983085 SRJ983085 TBF983085 TLB983085 TUX983085 UET983085 UOP983085 UYL983085 VIH983085 VSD983085 WBZ983085 WLV983085 WVR983085">
      <formula1>D65570</formula1>
    </dataValidation>
    <dataValidation type="list" allowBlank="1" showInputMessage="1" showErrorMessage="1" sqref="C18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35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71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07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43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79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15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51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87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23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59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895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31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67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03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39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WVK983051">
      <formula1>$F$66:$F$69</formula1>
    </dataValidation>
    <dataValidation type="list" allowBlank="1" showInputMessage="1" showErrorMessage="1" sqref="JE10:JE13 TA10:TA13 ACW10:ACW13 AMS10:AMS13 AWO10:AWO13 BGK10:BGK13 BQG10:BQG13 CAC10:CAC13 CJY10:CJY13 CTU10:CTU13 DDQ10:DDQ13 DNM10:DNM13 DXI10:DXI13 EHE10:EHE13 ERA10:ERA13 FAW10:FAW13 FKS10:FKS13 FUO10:FUO13 GEK10:GEK13 GOG10:GOG13 GYC10:GYC13 HHY10:HHY13 HRU10:HRU13 IBQ10:IBQ13 ILM10:ILM13 IVI10:IVI13 JFE10:JFE13 JPA10:JPA13 JYW10:JYW13 KIS10:KIS13 KSO10:KSO13 LCK10:LCK13 LMG10:LMG13 LWC10:LWC13 MFY10:MFY13 MPU10:MPU13 MZQ10:MZQ13 NJM10:NJM13 NTI10:NTI13 ODE10:ODE13 ONA10:ONA13 OWW10:OWW13 PGS10:PGS13 PQO10:PQO13 QAK10:QAK13 QKG10:QKG13 QUC10:QUC13 RDY10:RDY13 RNU10:RNU13 RXQ10:RXQ13 SHM10:SHM13 SRI10:SRI13 TBE10:TBE13 TLA10:TLA13 TUW10:TUW13 UES10:UES13 UOO10:UOO13 UYK10:UYK13 VIG10:VIG13 VSC10:VSC13 WBY10:WBY13 WLU10:WLU13 WVQ10:WVQ13 I65525:I65528 JE65537:JE65540 TA65537:TA65540 ACW65537:ACW65540 AMS65537:AMS65540 AWO65537:AWO65540 BGK65537:BGK65540 BQG65537:BQG65540 CAC65537:CAC65540 CJY65537:CJY65540 CTU65537:CTU65540 DDQ65537:DDQ65540 DNM65537:DNM65540 DXI65537:DXI65540 EHE65537:EHE65540 ERA65537:ERA65540 FAW65537:FAW65540 FKS65537:FKS65540 FUO65537:FUO65540 GEK65537:GEK65540 GOG65537:GOG65540 GYC65537:GYC65540 HHY65537:HHY65540 HRU65537:HRU65540 IBQ65537:IBQ65540 ILM65537:ILM65540 IVI65537:IVI65540 JFE65537:JFE65540 JPA65537:JPA65540 JYW65537:JYW65540 KIS65537:KIS65540 KSO65537:KSO65540 LCK65537:LCK65540 LMG65537:LMG65540 LWC65537:LWC65540 MFY65537:MFY65540 MPU65537:MPU65540 MZQ65537:MZQ65540 NJM65537:NJM65540 NTI65537:NTI65540 ODE65537:ODE65540 ONA65537:ONA65540 OWW65537:OWW65540 PGS65537:PGS65540 PQO65537:PQO65540 QAK65537:QAK65540 QKG65537:QKG65540 QUC65537:QUC65540 RDY65537:RDY65540 RNU65537:RNU65540 RXQ65537:RXQ65540 SHM65537:SHM65540 SRI65537:SRI65540 TBE65537:TBE65540 TLA65537:TLA65540 TUW65537:TUW65540 UES65537:UES65540 UOO65537:UOO65540 UYK65537:UYK65540 VIG65537:VIG65540 VSC65537:VSC65540 WBY65537:WBY65540 WLU65537:WLU65540 WVQ65537:WVQ65540 I131061:I131064 JE131073:JE131076 TA131073:TA131076 ACW131073:ACW131076 AMS131073:AMS131076 AWO131073:AWO131076 BGK131073:BGK131076 BQG131073:BQG131076 CAC131073:CAC131076 CJY131073:CJY131076 CTU131073:CTU131076 DDQ131073:DDQ131076 DNM131073:DNM131076 DXI131073:DXI131076 EHE131073:EHE131076 ERA131073:ERA131076 FAW131073:FAW131076 FKS131073:FKS131076 FUO131073:FUO131076 GEK131073:GEK131076 GOG131073:GOG131076 GYC131073:GYC131076 HHY131073:HHY131076 HRU131073:HRU131076 IBQ131073:IBQ131076 ILM131073:ILM131076 IVI131073:IVI131076 JFE131073:JFE131076 JPA131073:JPA131076 JYW131073:JYW131076 KIS131073:KIS131076 KSO131073:KSO131076 LCK131073:LCK131076 LMG131073:LMG131076 LWC131073:LWC131076 MFY131073:MFY131076 MPU131073:MPU131076 MZQ131073:MZQ131076 NJM131073:NJM131076 NTI131073:NTI131076 ODE131073:ODE131076 ONA131073:ONA131076 OWW131073:OWW131076 PGS131073:PGS131076 PQO131073:PQO131076 QAK131073:QAK131076 QKG131073:QKG131076 QUC131073:QUC131076 RDY131073:RDY131076 RNU131073:RNU131076 RXQ131073:RXQ131076 SHM131073:SHM131076 SRI131073:SRI131076 TBE131073:TBE131076 TLA131073:TLA131076 TUW131073:TUW131076 UES131073:UES131076 UOO131073:UOO131076 UYK131073:UYK131076 VIG131073:VIG131076 VSC131073:VSC131076 WBY131073:WBY131076 WLU131073:WLU131076 WVQ131073:WVQ131076 I196597:I196600 JE196609:JE196612 TA196609:TA196612 ACW196609:ACW196612 AMS196609:AMS196612 AWO196609:AWO196612 BGK196609:BGK196612 BQG196609:BQG196612 CAC196609:CAC196612 CJY196609:CJY196612 CTU196609:CTU196612 DDQ196609:DDQ196612 DNM196609:DNM196612 DXI196609:DXI196612 EHE196609:EHE196612 ERA196609:ERA196612 FAW196609:FAW196612 FKS196609:FKS196612 FUO196609:FUO196612 GEK196609:GEK196612 GOG196609:GOG196612 GYC196609:GYC196612 HHY196609:HHY196612 HRU196609:HRU196612 IBQ196609:IBQ196612 ILM196609:ILM196612 IVI196609:IVI196612 JFE196609:JFE196612 JPA196609:JPA196612 JYW196609:JYW196612 KIS196609:KIS196612 KSO196609:KSO196612 LCK196609:LCK196612 LMG196609:LMG196612 LWC196609:LWC196612 MFY196609:MFY196612 MPU196609:MPU196612 MZQ196609:MZQ196612 NJM196609:NJM196612 NTI196609:NTI196612 ODE196609:ODE196612 ONA196609:ONA196612 OWW196609:OWW196612 PGS196609:PGS196612 PQO196609:PQO196612 QAK196609:QAK196612 QKG196609:QKG196612 QUC196609:QUC196612 RDY196609:RDY196612 RNU196609:RNU196612 RXQ196609:RXQ196612 SHM196609:SHM196612 SRI196609:SRI196612 TBE196609:TBE196612 TLA196609:TLA196612 TUW196609:TUW196612 UES196609:UES196612 UOO196609:UOO196612 UYK196609:UYK196612 VIG196609:VIG196612 VSC196609:VSC196612 WBY196609:WBY196612 WLU196609:WLU196612 WVQ196609:WVQ196612 I262133:I262136 JE262145:JE262148 TA262145:TA262148 ACW262145:ACW262148 AMS262145:AMS262148 AWO262145:AWO262148 BGK262145:BGK262148 BQG262145:BQG262148 CAC262145:CAC262148 CJY262145:CJY262148 CTU262145:CTU262148 DDQ262145:DDQ262148 DNM262145:DNM262148 DXI262145:DXI262148 EHE262145:EHE262148 ERA262145:ERA262148 FAW262145:FAW262148 FKS262145:FKS262148 FUO262145:FUO262148 GEK262145:GEK262148 GOG262145:GOG262148 GYC262145:GYC262148 HHY262145:HHY262148 HRU262145:HRU262148 IBQ262145:IBQ262148 ILM262145:ILM262148 IVI262145:IVI262148 JFE262145:JFE262148 JPA262145:JPA262148 JYW262145:JYW262148 KIS262145:KIS262148 KSO262145:KSO262148 LCK262145:LCK262148 LMG262145:LMG262148 LWC262145:LWC262148 MFY262145:MFY262148 MPU262145:MPU262148 MZQ262145:MZQ262148 NJM262145:NJM262148 NTI262145:NTI262148 ODE262145:ODE262148 ONA262145:ONA262148 OWW262145:OWW262148 PGS262145:PGS262148 PQO262145:PQO262148 QAK262145:QAK262148 QKG262145:QKG262148 QUC262145:QUC262148 RDY262145:RDY262148 RNU262145:RNU262148 RXQ262145:RXQ262148 SHM262145:SHM262148 SRI262145:SRI262148 TBE262145:TBE262148 TLA262145:TLA262148 TUW262145:TUW262148 UES262145:UES262148 UOO262145:UOO262148 UYK262145:UYK262148 VIG262145:VIG262148 VSC262145:VSC262148 WBY262145:WBY262148 WLU262145:WLU262148 WVQ262145:WVQ262148 I327669:I327672 JE327681:JE327684 TA327681:TA327684 ACW327681:ACW327684 AMS327681:AMS327684 AWO327681:AWO327684 BGK327681:BGK327684 BQG327681:BQG327684 CAC327681:CAC327684 CJY327681:CJY327684 CTU327681:CTU327684 DDQ327681:DDQ327684 DNM327681:DNM327684 DXI327681:DXI327684 EHE327681:EHE327684 ERA327681:ERA327684 FAW327681:FAW327684 FKS327681:FKS327684 FUO327681:FUO327684 GEK327681:GEK327684 GOG327681:GOG327684 GYC327681:GYC327684 HHY327681:HHY327684 HRU327681:HRU327684 IBQ327681:IBQ327684 ILM327681:ILM327684 IVI327681:IVI327684 JFE327681:JFE327684 JPA327681:JPA327684 JYW327681:JYW327684 KIS327681:KIS327684 KSO327681:KSO327684 LCK327681:LCK327684 LMG327681:LMG327684 LWC327681:LWC327684 MFY327681:MFY327684 MPU327681:MPU327684 MZQ327681:MZQ327684 NJM327681:NJM327684 NTI327681:NTI327684 ODE327681:ODE327684 ONA327681:ONA327684 OWW327681:OWW327684 PGS327681:PGS327684 PQO327681:PQO327684 QAK327681:QAK327684 QKG327681:QKG327684 QUC327681:QUC327684 RDY327681:RDY327684 RNU327681:RNU327684 RXQ327681:RXQ327684 SHM327681:SHM327684 SRI327681:SRI327684 TBE327681:TBE327684 TLA327681:TLA327684 TUW327681:TUW327684 UES327681:UES327684 UOO327681:UOO327684 UYK327681:UYK327684 VIG327681:VIG327684 VSC327681:VSC327684 WBY327681:WBY327684 WLU327681:WLU327684 WVQ327681:WVQ327684 I393205:I393208 JE393217:JE393220 TA393217:TA393220 ACW393217:ACW393220 AMS393217:AMS393220 AWO393217:AWO393220 BGK393217:BGK393220 BQG393217:BQG393220 CAC393217:CAC393220 CJY393217:CJY393220 CTU393217:CTU393220 DDQ393217:DDQ393220 DNM393217:DNM393220 DXI393217:DXI393220 EHE393217:EHE393220 ERA393217:ERA393220 FAW393217:FAW393220 FKS393217:FKS393220 FUO393217:FUO393220 GEK393217:GEK393220 GOG393217:GOG393220 GYC393217:GYC393220 HHY393217:HHY393220 HRU393217:HRU393220 IBQ393217:IBQ393220 ILM393217:ILM393220 IVI393217:IVI393220 JFE393217:JFE393220 JPA393217:JPA393220 JYW393217:JYW393220 KIS393217:KIS393220 KSO393217:KSO393220 LCK393217:LCK393220 LMG393217:LMG393220 LWC393217:LWC393220 MFY393217:MFY393220 MPU393217:MPU393220 MZQ393217:MZQ393220 NJM393217:NJM393220 NTI393217:NTI393220 ODE393217:ODE393220 ONA393217:ONA393220 OWW393217:OWW393220 PGS393217:PGS393220 PQO393217:PQO393220 QAK393217:QAK393220 QKG393217:QKG393220 QUC393217:QUC393220 RDY393217:RDY393220 RNU393217:RNU393220 RXQ393217:RXQ393220 SHM393217:SHM393220 SRI393217:SRI393220 TBE393217:TBE393220 TLA393217:TLA393220 TUW393217:TUW393220 UES393217:UES393220 UOO393217:UOO393220 UYK393217:UYK393220 VIG393217:VIG393220 VSC393217:VSC393220 WBY393217:WBY393220 WLU393217:WLU393220 WVQ393217:WVQ393220 I458741:I458744 JE458753:JE458756 TA458753:TA458756 ACW458753:ACW458756 AMS458753:AMS458756 AWO458753:AWO458756 BGK458753:BGK458756 BQG458753:BQG458756 CAC458753:CAC458756 CJY458753:CJY458756 CTU458753:CTU458756 DDQ458753:DDQ458756 DNM458753:DNM458756 DXI458753:DXI458756 EHE458753:EHE458756 ERA458753:ERA458756 FAW458753:FAW458756 FKS458753:FKS458756 FUO458753:FUO458756 GEK458753:GEK458756 GOG458753:GOG458756 GYC458753:GYC458756 HHY458753:HHY458756 HRU458753:HRU458756 IBQ458753:IBQ458756 ILM458753:ILM458756 IVI458753:IVI458756 JFE458753:JFE458756 JPA458753:JPA458756 JYW458753:JYW458756 KIS458753:KIS458756 KSO458753:KSO458756 LCK458753:LCK458756 LMG458753:LMG458756 LWC458753:LWC458756 MFY458753:MFY458756 MPU458753:MPU458756 MZQ458753:MZQ458756 NJM458753:NJM458756 NTI458753:NTI458756 ODE458753:ODE458756 ONA458753:ONA458756 OWW458753:OWW458756 PGS458753:PGS458756 PQO458753:PQO458756 QAK458753:QAK458756 QKG458753:QKG458756 QUC458753:QUC458756 RDY458753:RDY458756 RNU458753:RNU458756 RXQ458753:RXQ458756 SHM458753:SHM458756 SRI458753:SRI458756 TBE458753:TBE458756 TLA458753:TLA458756 TUW458753:TUW458756 UES458753:UES458756 UOO458753:UOO458756 UYK458753:UYK458756 VIG458753:VIG458756 VSC458753:VSC458756 WBY458753:WBY458756 WLU458753:WLU458756 WVQ458753:WVQ458756 I524277:I524280 JE524289:JE524292 TA524289:TA524292 ACW524289:ACW524292 AMS524289:AMS524292 AWO524289:AWO524292 BGK524289:BGK524292 BQG524289:BQG524292 CAC524289:CAC524292 CJY524289:CJY524292 CTU524289:CTU524292 DDQ524289:DDQ524292 DNM524289:DNM524292 DXI524289:DXI524292 EHE524289:EHE524292 ERA524289:ERA524292 FAW524289:FAW524292 FKS524289:FKS524292 FUO524289:FUO524292 GEK524289:GEK524292 GOG524289:GOG524292 GYC524289:GYC524292 HHY524289:HHY524292 HRU524289:HRU524292 IBQ524289:IBQ524292 ILM524289:ILM524292 IVI524289:IVI524292 JFE524289:JFE524292 JPA524289:JPA524292 JYW524289:JYW524292 KIS524289:KIS524292 KSO524289:KSO524292 LCK524289:LCK524292 LMG524289:LMG524292 LWC524289:LWC524292 MFY524289:MFY524292 MPU524289:MPU524292 MZQ524289:MZQ524292 NJM524289:NJM524292 NTI524289:NTI524292 ODE524289:ODE524292 ONA524289:ONA524292 OWW524289:OWW524292 PGS524289:PGS524292 PQO524289:PQO524292 QAK524289:QAK524292 QKG524289:QKG524292 QUC524289:QUC524292 RDY524289:RDY524292 RNU524289:RNU524292 RXQ524289:RXQ524292 SHM524289:SHM524292 SRI524289:SRI524292 TBE524289:TBE524292 TLA524289:TLA524292 TUW524289:TUW524292 UES524289:UES524292 UOO524289:UOO524292 UYK524289:UYK524292 VIG524289:VIG524292 VSC524289:VSC524292 WBY524289:WBY524292 WLU524289:WLU524292 WVQ524289:WVQ524292 I589813:I589816 JE589825:JE589828 TA589825:TA589828 ACW589825:ACW589828 AMS589825:AMS589828 AWO589825:AWO589828 BGK589825:BGK589828 BQG589825:BQG589828 CAC589825:CAC589828 CJY589825:CJY589828 CTU589825:CTU589828 DDQ589825:DDQ589828 DNM589825:DNM589828 DXI589825:DXI589828 EHE589825:EHE589828 ERA589825:ERA589828 FAW589825:FAW589828 FKS589825:FKS589828 FUO589825:FUO589828 GEK589825:GEK589828 GOG589825:GOG589828 GYC589825:GYC589828 HHY589825:HHY589828 HRU589825:HRU589828 IBQ589825:IBQ589828 ILM589825:ILM589828 IVI589825:IVI589828 JFE589825:JFE589828 JPA589825:JPA589828 JYW589825:JYW589828 KIS589825:KIS589828 KSO589825:KSO589828 LCK589825:LCK589828 LMG589825:LMG589828 LWC589825:LWC589828 MFY589825:MFY589828 MPU589825:MPU589828 MZQ589825:MZQ589828 NJM589825:NJM589828 NTI589825:NTI589828 ODE589825:ODE589828 ONA589825:ONA589828 OWW589825:OWW589828 PGS589825:PGS589828 PQO589825:PQO589828 QAK589825:QAK589828 QKG589825:QKG589828 QUC589825:QUC589828 RDY589825:RDY589828 RNU589825:RNU589828 RXQ589825:RXQ589828 SHM589825:SHM589828 SRI589825:SRI589828 TBE589825:TBE589828 TLA589825:TLA589828 TUW589825:TUW589828 UES589825:UES589828 UOO589825:UOO589828 UYK589825:UYK589828 VIG589825:VIG589828 VSC589825:VSC589828 WBY589825:WBY589828 WLU589825:WLU589828 WVQ589825:WVQ589828 I655349:I655352 JE655361:JE655364 TA655361:TA655364 ACW655361:ACW655364 AMS655361:AMS655364 AWO655361:AWO655364 BGK655361:BGK655364 BQG655361:BQG655364 CAC655361:CAC655364 CJY655361:CJY655364 CTU655361:CTU655364 DDQ655361:DDQ655364 DNM655361:DNM655364 DXI655361:DXI655364 EHE655361:EHE655364 ERA655361:ERA655364 FAW655361:FAW655364 FKS655361:FKS655364 FUO655361:FUO655364 GEK655361:GEK655364 GOG655361:GOG655364 GYC655361:GYC655364 HHY655361:HHY655364 HRU655361:HRU655364 IBQ655361:IBQ655364 ILM655361:ILM655364 IVI655361:IVI655364 JFE655361:JFE655364 JPA655361:JPA655364 JYW655361:JYW655364 KIS655361:KIS655364 KSO655361:KSO655364 LCK655361:LCK655364 LMG655361:LMG655364 LWC655361:LWC655364 MFY655361:MFY655364 MPU655361:MPU655364 MZQ655361:MZQ655364 NJM655361:NJM655364 NTI655361:NTI655364 ODE655361:ODE655364 ONA655361:ONA655364 OWW655361:OWW655364 PGS655361:PGS655364 PQO655361:PQO655364 QAK655361:QAK655364 QKG655361:QKG655364 QUC655361:QUC655364 RDY655361:RDY655364 RNU655361:RNU655364 RXQ655361:RXQ655364 SHM655361:SHM655364 SRI655361:SRI655364 TBE655361:TBE655364 TLA655361:TLA655364 TUW655361:TUW655364 UES655361:UES655364 UOO655361:UOO655364 UYK655361:UYK655364 VIG655361:VIG655364 VSC655361:VSC655364 WBY655361:WBY655364 WLU655361:WLU655364 WVQ655361:WVQ655364 I720885:I720888 JE720897:JE720900 TA720897:TA720900 ACW720897:ACW720900 AMS720897:AMS720900 AWO720897:AWO720900 BGK720897:BGK720900 BQG720897:BQG720900 CAC720897:CAC720900 CJY720897:CJY720900 CTU720897:CTU720900 DDQ720897:DDQ720900 DNM720897:DNM720900 DXI720897:DXI720900 EHE720897:EHE720900 ERA720897:ERA720900 FAW720897:FAW720900 FKS720897:FKS720900 FUO720897:FUO720900 GEK720897:GEK720900 GOG720897:GOG720900 GYC720897:GYC720900 HHY720897:HHY720900 HRU720897:HRU720900 IBQ720897:IBQ720900 ILM720897:ILM720900 IVI720897:IVI720900 JFE720897:JFE720900 JPA720897:JPA720900 JYW720897:JYW720900 KIS720897:KIS720900 KSO720897:KSO720900 LCK720897:LCK720900 LMG720897:LMG720900 LWC720897:LWC720900 MFY720897:MFY720900 MPU720897:MPU720900 MZQ720897:MZQ720900 NJM720897:NJM720900 NTI720897:NTI720900 ODE720897:ODE720900 ONA720897:ONA720900 OWW720897:OWW720900 PGS720897:PGS720900 PQO720897:PQO720900 QAK720897:QAK720900 QKG720897:QKG720900 QUC720897:QUC720900 RDY720897:RDY720900 RNU720897:RNU720900 RXQ720897:RXQ720900 SHM720897:SHM720900 SRI720897:SRI720900 TBE720897:TBE720900 TLA720897:TLA720900 TUW720897:TUW720900 UES720897:UES720900 UOO720897:UOO720900 UYK720897:UYK720900 VIG720897:VIG720900 VSC720897:VSC720900 WBY720897:WBY720900 WLU720897:WLU720900 WVQ720897:WVQ720900 I786421:I786424 JE786433:JE786436 TA786433:TA786436 ACW786433:ACW786436 AMS786433:AMS786436 AWO786433:AWO786436 BGK786433:BGK786436 BQG786433:BQG786436 CAC786433:CAC786436 CJY786433:CJY786436 CTU786433:CTU786436 DDQ786433:DDQ786436 DNM786433:DNM786436 DXI786433:DXI786436 EHE786433:EHE786436 ERA786433:ERA786436 FAW786433:FAW786436 FKS786433:FKS786436 FUO786433:FUO786436 GEK786433:GEK786436 GOG786433:GOG786436 GYC786433:GYC786436 HHY786433:HHY786436 HRU786433:HRU786436 IBQ786433:IBQ786436 ILM786433:ILM786436 IVI786433:IVI786436 JFE786433:JFE786436 JPA786433:JPA786436 JYW786433:JYW786436 KIS786433:KIS786436 KSO786433:KSO786436 LCK786433:LCK786436 LMG786433:LMG786436 LWC786433:LWC786436 MFY786433:MFY786436 MPU786433:MPU786436 MZQ786433:MZQ786436 NJM786433:NJM786436 NTI786433:NTI786436 ODE786433:ODE786436 ONA786433:ONA786436 OWW786433:OWW786436 PGS786433:PGS786436 PQO786433:PQO786436 QAK786433:QAK786436 QKG786433:QKG786436 QUC786433:QUC786436 RDY786433:RDY786436 RNU786433:RNU786436 RXQ786433:RXQ786436 SHM786433:SHM786436 SRI786433:SRI786436 TBE786433:TBE786436 TLA786433:TLA786436 TUW786433:TUW786436 UES786433:UES786436 UOO786433:UOO786436 UYK786433:UYK786436 VIG786433:VIG786436 VSC786433:VSC786436 WBY786433:WBY786436 WLU786433:WLU786436 WVQ786433:WVQ786436 I851957:I851960 JE851969:JE851972 TA851969:TA851972 ACW851969:ACW851972 AMS851969:AMS851972 AWO851969:AWO851972 BGK851969:BGK851972 BQG851969:BQG851972 CAC851969:CAC851972 CJY851969:CJY851972 CTU851969:CTU851972 DDQ851969:DDQ851972 DNM851969:DNM851972 DXI851969:DXI851972 EHE851969:EHE851972 ERA851969:ERA851972 FAW851969:FAW851972 FKS851969:FKS851972 FUO851969:FUO851972 GEK851969:GEK851972 GOG851969:GOG851972 GYC851969:GYC851972 HHY851969:HHY851972 HRU851969:HRU851972 IBQ851969:IBQ851972 ILM851969:ILM851972 IVI851969:IVI851972 JFE851969:JFE851972 JPA851969:JPA851972 JYW851969:JYW851972 KIS851969:KIS851972 KSO851969:KSO851972 LCK851969:LCK851972 LMG851969:LMG851972 LWC851969:LWC851972 MFY851969:MFY851972 MPU851969:MPU851972 MZQ851969:MZQ851972 NJM851969:NJM851972 NTI851969:NTI851972 ODE851969:ODE851972 ONA851969:ONA851972 OWW851969:OWW851972 PGS851969:PGS851972 PQO851969:PQO851972 QAK851969:QAK851972 QKG851969:QKG851972 QUC851969:QUC851972 RDY851969:RDY851972 RNU851969:RNU851972 RXQ851969:RXQ851972 SHM851969:SHM851972 SRI851969:SRI851972 TBE851969:TBE851972 TLA851969:TLA851972 TUW851969:TUW851972 UES851969:UES851972 UOO851969:UOO851972 UYK851969:UYK851972 VIG851969:VIG851972 VSC851969:VSC851972 WBY851969:WBY851972 WLU851969:WLU851972 WVQ851969:WVQ851972 I917493:I917496 JE917505:JE917508 TA917505:TA917508 ACW917505:ACW917508 AMS917505:AMS917508 AWO917505:AWO917508 BGK917505:BGK917508 BQG917505:BQG917508 CAC917505:CAC917508 CJY917505:CJY917508 CTU917505:CTU917508 DDQ917505:DDQ917508 DNM917505:DNM917508 DXI917505:DXI917508 EHE917505:EHE917508 ERA917505:ERA917508 FAW917505:FAW917508 FKS917505:FKS917508 FUO917505:FUO917508 GEK917505:GEK917508 GOG917505:GOG917508 GYC917505:GYC917508 HHY917505:HHY917508 HRU917505:HRU917508 IBQ917505:IBQ917508 ILM917505:ILM917508 IVI917505:IVI917508 JFE917505:JFE917508 JPA917505:JPA917508 JYW917505:JYW917508 KIS917505:KIS917508 KSO917505:KSO917508 LCK917505:LCK917508 LMG917505:LMG917508 LWC917505:LWC917508 MFY917505:MFY917508 MPU917505:MPU917508 MZQ917505:MZQ917508 NJM917505:NJM917508 NTI917505:NTI917508 ODE917505:ODE917508 ONA917505:ONA917508 OWW917505:OWW917508 PGS917505:PGS917508 PQO917505:PQO917508 QAK917505:QAK917508 QKG917505:QKG917508 QUC917505:QUC917508 RDY917505:RDY917508 RNU917505:RNU917508 RXQ917505:RXQ917508 SHM917505:SHM917508 SRI917505:SRI917508 TBE917505:TBE917508 TLA917505:TLA917508 TUW917505:TUW917508 UES917505:UES917508 UOO917505:UOO917508 UYK917505:UYK917508 VIG917505:VIG917508 VSC917505:VSC917508 WBY917505:WBY917508 WLU917505:WLU917508 WVQ917505:WVQ917508 I983029:I983032 JE983041:JE983044 TA983041:TA983044 ACW983041:ACW983044 AMS983041:AMS983044 AWO983041:AWO983044 BGK983041:BGK983044 BQG983041:BQG983044 CAC983041:CAC983044 CJY983041:CJY983044 CTU983041:CTU983044 DDQ983041:DDQ983044 DNM983041:DNM983044 DXI983041:DXI983044 EHE983041:EHE983044 ERA983041:ERA983044 FAW983041:FAW983044 FKS983041:FKS983044 FUO983041:FUO983044 GEK983041:GEK983044 GOG983041:GOG983044 GYC983041:GYC983044 HHY983041:HHY983044 HRU983041:HRU983044 IBQ983041:IBQ983044 ILM983041:ILM983044 IVI983041:IVI983044 JFE983041:JFE983044 JPA983041:JPA983044 JYW983041:JYW983044 KIS983041:KIS983044 KSO983041:KSO983044 LCK983041:LCK983044 LMG983041:LMG983044 LWC983041:LWC983044 MFY983041:MFY983044 MPU983041:MPU983044 MZQ983041:MZQ983044 NJM983041:NJM983044 NTI983041:NTI983044 ODE983041:ODE983044 ONA983041:ONA983044 OWW983041:OWW983044 PGS983041:PGS983044 PQO983041:PQO983044 QAK983041:QAK983044 QKG983041:QKG983044 QUC983041:QUC983044 RDY983041:RDY983044 RNU983041:RNU983044 RXQ983041:RXQ983044 SHM983041:SHM983044 SRI983041:SRI983044 TBE983041:TBE983044 TLA983041:TLA983044 TUW983041:TUW983044 UES983041:UES983044 UOO983041:UOO983044 UYK983041:UYK983044 VIG983041:VIG983044 VSC983041:VSC983044 WBY983041:WBY983044 WLU983041:WLU983044 WVQ983041:WVQ983044 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20 IY65532 SU65532 ACQ65532 AMM65532 AWI65532 BGE65532 BQA65532 BZW65532 CJS65532 CTO65532 DDK65532 DNG65532 DXC65532 EGY65532 EQU65532 FAQ65532 FKM65532 FUI65532 GEE65532 GOA65532 GXW65532 HHS65532 HRO65532 IBK65532 ILG65532 IVC65532 JEY65532 JOU65532 JYQ65532 KIM65532 KSI65532 LCE65532 LMA65532 LVW65532 MFS65532 MPO65532 MZK65532 NJG65532 NTC65532 OCY65532 OMU65532 OWQ65532 PGM65532 PQI65532 QAE65532 QKA65532 QTW65532 RDS65532 RNO65532 RXK65532 SHG65532 SRC65532 TAY65532 TKU65532 TUQ65532 UEM65532 UOI65532 UYE65532 VIA65532 VRW65532 WBS65532 WLO65532 WVK65532 C131056 IY131068 SU131068 ACQ131068 AMM131068 AWI131068 BGE131068 BQA131068 BZW131068 CJS131068 CTO131068 DDK131068 DNG131068 DXC131068 EGY131068 EQU131068 FAQ131068 FKM131068 FUI131068 GEE131068 GOA131068 GXW131068 HHS131068 HRO131068 IBK131068 ILG131068 IVC131068 JEY131068 JOU131068 JYQ131068 KIM131068 KSI131068 LCE131068 LMA131068 LVW131068 MFS131068 MPO131068 MZK131068 NJG131068 NTC131068 OCY131068 OMU131068 OWQ131068 PGM131068 PQI131068 QAE131068 QKA131068 QTW131068 RDS131068 RNO131068 RXK131068 SHG131068 SRC131068 TAY131068 TKU131068 TUQ131068 UEM131068 UOI131068 UYE131068 VIA131068 VRW131068 WBS131068 WLO131068 WVK131068 C196592 IY196604 SU196604 ACQ196604 AMM196604 AWI196604 BGE196604 BQA196604 BZW196604 CJS196604 CTO196604 DDK196604 DNG196604 DXC196604 EGY196604 EQU196604 FAQ196604 FKM196604 FUI196604 GEE196604 GOA196604 GXW196604 HHS196604 HRO196604 IBK196604 ILG196604 IVC196604 JEY196604 JOU196604 JYQ196604 KIM196604 KSI196604 LCE196604 LMA196604 LVW196604 MFS196604 MPO196604 MZK196604 NJG196604 NTC196604 OCY196604 OMU196604 OWQ196604 PGM196604 PQI196604 QAE196604 QKA196604 QTW196604 RDS196604 RNO196604 RXK196604 SHG196604 SRC196604 TAY196604 TKU196604 TUQ196604 UEM196604 UOI196604 UYE196604 VIA196604 VRW196604 WBS196604 WLO196604 WVK196604 C262128 IY262140 SU262140 ACQ262140 AMM262140 AWI262140 BGE262140 BQA262140 BZW262140 CJS262140 CTO262140 DDK262140 DNG262140 DXC262140 EGY262140 EQU262140 FAQ262140 FKM262140 FUI262140 GEE262140 GOA262140 GXW262140 HHS262140 HRO262140 IBK262140 ILG262140 IVC262140 JEY262140 JOU262140 JYQ262140 KIM262140 KSI262140 LCE262140 LMA262140 LVW262140 MFS262140 MPO262140 MZK262140 NJG262140 NTC262140 OCY262140 OMU262140 OWQ262140 PGM262140 PQI262140 QAE262140 QKA262140 QTW262140 RDS262140 RNO262140 RXK262140 SHG262140 SRC262140 TAY262140 TKU262140 TUQ262140 UEM262140 UOI262140 UYE262140 VIA262140 VRW262140 WBS262140 WLO262140 WVK262140 C327664 IY327676 SU327676 ACQ327676 AMM327676 AWI327676 BGE327676 BQA327676 BZW327676 CJS327676 CTO327676 DDK327676 DNG327676 DXC327676 EGY327676 EQU327676 FAQ327676 FKM327676 FUI327676 GEE327676 GOA327676 GXW327676 HHS327676 HRO327676 IBK327676 ILG327676 IVC327676 JEY327676 JOU327676 JYQ327676 KIM327676 KSI327676 LCE327676 LMA327676 LVW327676 MFS327676 MPO327676 MZK327676 NJG327676 NTC327676 OCY327676 OMU327676 OWQ327676 PGM327676 PQI327676 QAE327676 QKA327676 QTW327676 RDS327676 RNO327676 RXK327676 SHG327676 SRC327676 TAY327676 TKU327676 TUQ327676 UEM327676 UOI327676 UYE327676 VIA327676 VRW327676 WBS327676 WLO327676 WVK327676 C393200 IY393212 SU393212 ACQ393212 AMM393212 AWI393212 BGE393212 BQA393212 BZW393212 CJS393212 CTO393212 DDK393212 DNG393212 DXC393212 EGY393212 EQU393212 FAQ393212 FKM393212 FUI393212 GEE393212 GOA393212 GXW393212 HHS393212 HRO393212 IBK393212 ILG393212 IVC393212 JEY393212 JOU393212 JYQ393212 KIM393212 KSI393212 LCE393212 LMA393212 LVW393212 MFS393212 MPO393212 MZK393212 NJG393212 NTC393212 OCY393212 OMU393212 OWQ393212 PGM393212 PQI393212 QAE393212 QKA393212 QTW393212 RDS393212 RNO393212 RXK393212 SHG393212 SRC393212 TAY393212 TKU393212 TUQ393212 UEM393212 UOI393212 UYE393212 VIA393212 VRW393212 WBS393212 WLO393212 WVK393212 C458736 IY458748 SU458748 ACQ458748 AMM458748 AWI458748 BGE458748 BQA458748 BZW458748 CJS458748 CTO458748 DDK458748 DNG458748 DXC458748 EGY458748 EQU458748 FAQ458748 FKM458748 FUI458748 GEE458748 GOA458748 GXW458748 HHS458748 HRO458748 IBK458748 ILG458748 IVC458748 JEY458748 JOU458748 JYQ458748 KIM458748 KSI458748 LCE458748 LMA458748 LVW458748 MFS458748 MPO458748 MZK458748 NJG458748 NTC458748 OCY458748 OMU458748 OWQ458748 PGM458748 PQI458748 QAE458748 QKA458748 QTW458748 RDS458748 RNO458748 RXK458748 SHG458748 SRC458748 TAY458748 TKU458748 TUQ458748 UEM458748 UOI458748 UYE458748 VIA458748 VRW458748 WBS458748 WLO458748 WVK458748 C524272 IY524284 SU524284 ACQ524284 AMM524284 AWI524284 BGE524284 BQA524284 BZW524284 CJS524284 CTO524284 DDK524284 DNG524284 DXC524284 EGY524284 EQU524284 FAQ524284 FKM524284 FUI524284 GEE524284 GOA524284 GXW524284 HHS524284 HRO524284 IBK524284 ILG524284 IVC524284 JEY524284 JOU524284 JYQ524284 KIM524284 KSI524284 LCE524284 LMA524284 LVW524284 MFS524284 MPO524284 MZK524284 NJG524284 NTC524284 OCY524284 OMU524284 OWQ524284 PGM524284 PQI524284 QAE524284 QKA524284 QTW524284 RDS524284 RNO524284 RXK524284 SHG524284 SRC524284 TAY524284 TKU524284 TUQ524284 UEM524284 UOI524284 UYE524284 VIA524284 VRW524284 WBS524284 WLO524284 WVK524284 C589808 IY589820 SU589820 ACQ589820 AMM589820 AWI589820 BGE589820 BQA589820 BZW589820 CJS589820 CTO589820 DDK589820 DNG589820 DXC589820 EGY589820 EQU589820 FAQ589820 FKM589820 FUI589820 GEE589820 GOA589820 GXW589820 HHS589820 HRO589820 IBK589820 ILG589820 IVC589820 JEY589820 JOU589820 JYQ589820 KIM589820 KSI589820 LCE589820 LMA589820 LVW589820 MFS589820 MPO589820 MZK589820 NJG589820 NTC589820 OCY589820 OMU589820 OWQ589820 PGM589820 PQI589820 QAE589820 QKA589820 QTW589820 RDS589820 RNO589820 RXK589820 SHG589820 SRC589820 TAY589820 TKU589820 TUQ589820 UEM589820 UOI589820 UYE589820 VIA589820 VRW589820 WBS589820 WLO589820 WVK589820 C655344 IY655356 SU655356 ACQ655356 AMM655356 AWI655356 BGE655356 BQA655356 BZW655356 CJS655356 CTO655356 DDK655356 DNG655356 DXC655356 EGY655356 EQU655356 FAQ655356 FKM655356 FUI655356 GEE655356 GOA655356 GXW655356 HHS655356 HRO655356 IBK655356 ILG655356 IVC655356 JEY655356 JOU655356 JYQ655356 KIM655356 KSI655356 LCE655356 LMA655356 LVW655356 MFS655356 MPO655356 MZK655356 NJG655356 NTC655356 OCY655356 OMU655356 OWQ655356 PGM655356 PQI655356 QAE655356 QKA655356 QTW655356 RDS655356 RNO655356 RXK655356 SHG655356 SRC655356 TAY655356 TKU655356 TUQ655356 UEM655356 UOI655356 UYE655356 VIA655356 VRW655356 WBS655356 WLO655356 WVK655356 C720880 IY720892 SU720892 ACQ720892 AMM720892 AWI720892 BGE720892 BQA720892 BZW720892 CJS720892 CTO720892 DDK720892 DNG720892 DXC720892 EGY720892 EQU720892 FAQ720892 FKM720892 FUI720892 GEE720892 GOA720892 GXW720892 HHS720892 HRO720892 IBK720892 ILG720892 IVC720892 JEY720892 JOU720892 JYQ720892 KIM720892 KSI720892 LCE720892 LMA720892 LVW720892 MFS720892 MPO720892 MZK720892 NJG720892 NTC720892 OCY720892 OMU720892 OWQ720892 PGM720892 PQI720892 QAE720892 QKA720892 QTW720892 RDS720892 RNO720892 RXK720892 SHG720892 SRC720892 TAY720892 TKU720892 TUQ720892 UEM720892 UOI720892 UYE720892 VIA720892 VRW720892 WBS720892 WLO720892 WVK720892 C786416 IY786428 SU786428 ACQ786428 AMM786428 AWI786428 BGE786428 BQA786428 BZW786428 CJS786428 CTO786428 DDK786428 DNG786428 DXC786428 EGY786428 EQU786428 FAQ786428 FKM786428 FUI786428 GEE786428 GOA786428 GXW786428 HHS786428 HRO786428 IBK786428 ILG786428 IVC786428 JEY786428 JOU786428 JYQ786428 KIM786428 KSI786428 LCE786428 LMA786428 LVW786428 MFS786428 MPO786428 MZK786428 NJG786428 NTC786428 OCY786428 OMU786428 OWQ786428 PGM786428 PQI786428 QAE786428 QKA786428 QTW786428 RDS786428 RNO786428 RXK786428 SHG786428 SRC786428 TAY786428 TKU786428 TUQ786428 UEM786428 UOI786428 UYE786428 VIA786428 VRW786428 WBS786428 WLO786428 WVK786428 C851952 IY851964 SU851964 ACQ851964 AMM851964 AWI851964 BGE851964 BQA851964 BZW851964 CJS851964 CTO851964 DDK851964 DNG851964 DXC851964 EGY851964 EQU851964 FAQ851964 FKM851964 FUI851964 GEE851964 GOA851964 GXW851964 HHS851964 HRO851964 IBK851964 ILG851964 IVC851964 JEY851964 JOU851964 JYQ851964 KIM851964 KSI851964 LCE851964 LMA851964 LVW851964 MFS851964 MPO851964 MZK851964 NJG851964 NTC851964 OCY851964 OMU851964 OWQ851964 PGM851964 PQI851964 QAE851964 QKA851964 QTW851964 RDS851964 RNO851964 RXK851964 SHG851964 SRC851964 TAY851964 TKU851964 TUQ851964 UEM851964 UOI851964 UYE851964 VIA851964 VRW851964 WBS851964 WLO851964 WVK851964 C917488 IY917500 SU917500 ACQ917500 AMM917500 AWI917500 BGE917500 BQA917500 BZW917500 CJS917500 CTO917500 DDK917500 DNG917500 DXC917500 EGY917500 EQU917500 FAQ917500 FKM917500 FUI917500 GEE917500 GOA917500 GXW917500 HHS917500 HRO917500 IBK917500 ILG917500 IVC917500 JEY917500 JOU917500 JYQ917500 KIM917500 KSI917500 LCE917500 LMA917500 LVW917500 MFS917500 MPO917500 MZK917500 NJG917500 NTC917500 OCY917500 OMU917500 OWQ917500 PGM917500 PQI917500 QAE917500 QKA917500 QTW917500 RDS917500 RNO917500 RXK917500 SHG917500 SRC917500 TAY917500 TKU917500 TUQ917500 UEM917500 UOI917500 UYE917500 VIA917500 VRW917500 WBS917500 WLO917500 WVK917500 C983024 IY983036 SU983036 ACQ983036 AMM983036 AWI983036 BGE983036 BQA983036 BZW983036 CJS983036 CTO983036 DDK983036 DNG983036 DXC983036 EGY983036 EQU983036 FAQ983036 FKM983036 FUI983036 GEE983036 GOA983036 GXW983036 HHS983036 HRO983036 IBK983036 ILG983036 IVC983036 JEY983036 JOU983036 JYQ983036 KIM983036 KSI983036 LCE983036 LMA983036 LVW983036 MFS983036 MPO983036 MZK983036 NJG983036 NTC983036 OCY983036 OMU983036 OWQ983036 PGM983036 PQI983036 QAE983036 QKA983036 QTW983036 RDS983036 RNO983036 RXK983036 SHG983036 SRC983036 TAY983036 TKU983036 TUQ983036 UEM983036 UOI983036 UYE983036 VIA983036 VRW983036 WBS983036 WLO983036 WVK983036 I10:I11">
      <formula1>"Yes, No"</formula1>
    </dataValidation>
    <dataValidation type="list" allowBlank="1" showInputMessage="1" showErrorMessage="1" sqref="C42 IY44 SU44 ACQ44 AMM44 AWI44 BGE44 BQA44 BZW44 CJS44 CTO44 DDK44 DNG44 DXC44 EGY44 EQU44 FAQ44 FKM44 FUI44 GEE44 GOA44 GXW44 HHS44 HRO44 IBK44 ILG44 IVC44 JEY44 JOU44 JYQ44 KIM44 KSI44 LCE44 LMA44 LVW44 MFS44 MPO44 MZK44 NJG44 NTC44 OCY44 OMU44 OWQ44 PGM44 PQI44 QAE44 QKA44 QTW44 RDS44 RNO44 RXK44 SHG44 SRC44 TAY44 TKU44 TUQ44 UEM44 UOI44 UYE44 VIA44 VRW44 WBS44 WLO44 WVK44 C65559 IY65571 SU65571 ACQ65571 AMM65571 AWI65571 BGE65571 BQA65571 BZW65571 CJS65571 CTO65571 DDK65571 DNG65571 DXC65571 EGY65571 EQU65571 FAQ65571 FKM65571 FUI65571 GEE65571 GOA65571 GXW65571 HHS65571 HRO65571 IBK65571 ILG65571 IVC65571 JEY65571 JOU65571 JYQ65571 KIM65571 KSI65571 LCE65571 LMA65571 LVW65571 MFS65571 MPO65571 MZK65571 NJG65571 NTC65571 OCY65571 OMU65571 OWQ65571 PGM65571 PQI65571 QAE65571 QKA65571 QTW65571 RDS65571 RNO65571 RXK65571 SHG65571 SRC65571 TAY65571 TKU65571 TUQ65571 UEM65571 UOI65571 UYE65571 VIA65571 VRW65571 WBS65571 WLO65571 WVK65571 C131095 IY131107 SU131107 ACQ131107 AMM131107 AWI131107 BGE131107 BQA131107 BZW131107 CJS131107 CTO131107 DDK131107 DNG131107 DXC131107 EGY131107 EQU131107 FAQ131107 FKM131107 FUI131107 GEE131107 GOA131107 GXW131107 HHS131107 HRO131107 IBK131107 ILG131107 IVC131107 JEY131107 JOU131107 JYQ131107 KIM131107 KSI131107 LCE131107 LMA131107 LVW131107 MFS131107 MPO131107 MZK131107 NJG131107 NTC131107 OCY131107 OMU131107 OWQ131107 PGM131107 PQI131107 QAE131107 QKA131107 QTW131107 RDS131107 RNO131107 RXK131107 SHG131107 SRC131107 TAY131107 TKU131107 TUQ131107 UEM131107 UOI131107 UYE131107 VIA131107 VRW131107 WBS131107 WLO131107 WVK131107 C196631 IY196643 SU196643 ACQ196643 AMM196643 AWI196643 BGE196643 BQA196643 BZW196643 CJS196643 CTO196643 DDK196643 DNG196643 DXC196643 EGY196643 EQU196643 FAQ196643 FKM196643 FUI196643 GEE196643 GOA196643 GXW196643 HHS196643 HRO196643 IBK196643 ILG196643 IVC196643 JEY196643 JOU196643 JYQ196643 KIM196643 KSI196643 LCE196643 LMA196643 LVW196643 MFS196643 MPO196643 MZK196643 NJG196643 NTC196643 OCY196643 OMU196643 OWQ196643 PGM196643 PQI196643 QAE196643 QKA196643 QTW196643 RDS196643 RNO196643 RXK196643 SHG196643 SRC196643 TAY196643 TKU196643 TUQ196643 UEM196643 UOI196643 UYE196643 VIA196643 VRW196643 WBS196643 WLO196643 WVK196643 C262167 IY262179 SU262179 ACQ262179 AMM262179 AWI262179 BGE262179 BQA262179 BZW262179 CJS262179 CTO262179 DDK262179 DNG262179 DXC262179 EGY262179 EQU262179 FAQ262179 FKM262179 FUI262179 GEE262179 GOA262179 GXW262179 HHS262179 HRO262179 IBK262179 ILG262179 IVC262179 JEY262179 JOU262179 JYQ262179 KIM262179 KSI262179 LCE262179 LMA262179 LVW262179 MFS262179 MPO262179 MZK262179 NJG262179 NTC262179 OCY262179 OMU262179 OWQ262179 PGM262179 PQI262179 QAE262179 QKA262179 QTW262179 RDS262179 RNO262179 RXK262179 SHG262179 SRC262179 TAY262179 TKU262179 TUQ262179 UEM262179 UOI262179 UYE262179 VIA262179 VRW262179 WBS262179 WLO262179 WVK262179 C327703 IY327715 SU327715 ACQ327715 AMM327715 AWI327715 BGE327715 BQA327715 BZW327715 CJS327715 CTO327715 DDK327715 DNG327715 DXC327715 EGY327715 EQU327715 FAQ327715 FKM327715 FUI327715 GEE327715 GOA327715 GXW327715 HHS327715 HRO327715 IBK327715 ILG327715 IVC327715 JEY327715 JOU327715 JYQ327715 KIM327715 KSI327715 LCE327715 LMA327715 LVW327715 MFS327715 MPO327715 MZK327715 NJG327715 NTC327715 OCY327715 OMU327715 OWQ327715 PGM327715 PQI327715 QAE327715 QKA327715 QTW327715 RDS327715 RNO327715 RXK327715 SHG327715 SRC327715 TAY327715 TKU327715 TUQ327715 UEM327715 UOI327715 UYE327715 VIA327715 VRW327715 WBS327715 WLO327715 WVK327715 C393239 IY393251 SU393251 ACQ393251 AMM393251 AWI393251 BGE393251 BQA393251 BZW393251 CJS393251 CTO393251 DDK393251 DNG393251 DXC393251 EGY393251 EQU393251 FAQ393251 FKM393251 FUI393251 GEE393251 GOA393251 GXW393251 HHS393251 HRO393251 IBK393251 ILG393251 IVC393251 JEY393251 JOU393251 JYQ393251 KIM393251 KSI393251 LCE393251 LMA393251 LVW393251 MFS393251 MPO393251 MZK393251 NJG393251 NTC393251 OCY393251 OMU393251 OWQ393251 PGM393251 PQI393251 QAE393251 QKA393251 QTW393251 RDS393251 RNO393251 RXK393251 SHG393251 SRC393251 TAY393251 TKU393251 TUQ393251 UEM393251 UOI393251 UYE393251 VIA393251 VRW393251 WBS393251 WLO393251 WVK393251 C458775 IY458787 SU458787 ACQ458787 AMM458787 AWI458787 BGE458787 BQA458787 BZW458787 CJS458787 CTO458787 DDK458787 DNG458787 DXC458787 EGY458787 EQU458787 FAQ458787 FKM458787 FUI458787 GEE458787 GOA458787 GXW458787 HHS458787 HRO458787 IBK458787 ILG458787 IVC458787 JEY458787 JOU458787 JYQ458787 KIM458787 KSI458787 LCE458787 LMA458787 LVW458787 MFS458787 MPO458787 MZK458787 NJG458787 NTC458787 OCY458787 OMU458787 OWQ458787 PGM458787 PQI458787 QAE458787 QKA458787 QTW458787 RDS458787 RNO458787 RXK458787 SHG458787 SRC458787 TAY458787 TKU458787 TUQ458787 UEM458787 UOI458787 UYE458787 VIA458787 VRW458787 WBS458787 WLO458787 WVK458787 C524311 IY524323 SU524323 ACQ524323 AMM524323 AWI524323 BGE524323 BQA524323 BZW524323 CJS524323 CTO524323 DDK524323 DNG524323 DXC524323 EGY524323 EQU524323 FAQ524323 FKM524323 FUI524323 GEE524323 GOA524323 GXW524323 HHS524323 HRO524323 IBK524323 ILG524323 IVC524323 JEY524323 JOU524323 JYQ524323 KIM524323 KSI524323 LCE524323 LMA524323 LVW524323 MFS524323 MPO524323 MZK524323 NJG524323 NTC524323 OCY524323 OMU524323 OWQ524323 PGM524323 PQI524323 QAE524323 QKA524323 QTW524323 RDS524323 RNO524323 RXK524323 SHG524323 SRC524323 TAY524323 TKU524323 TUQ524323 UEM524323 UOI524323 UYE524323 VIA524323 VRW524323 WBS524323 WLO524323 WVK524323 C589847 IY589859 SU589859 ACQ589859 AMM589859 AWI589859 BGE589859 BQA589859 BZW589859 CJS589859 CTO589859 DDK589859 DNG589859 DXC589859 EGY589859 EQU589859 FAQ589859 FKM589859 FUI589859 GEE589859 GOA589859 GXW589859 HHS589859 HRO589859 IBK589859 ILG589859 IVC589859 JEY589859 JOU589859 JYQ589859 KIM589859 KSI589859 LCE589859 LMA589859 LVW589859 MFS589859 MPO589859 MZK589859 NJG589859 NTC589859 OCY589859 OMU589859 OWQ589859 PGM589859 PQI589859 QAE589859 QKA589859 QTW589859 RDS589859 RNO589859 RXK589859 SHG589859 SRC589859 TAY589859 TKU589859 TUQ589859 UEM589859 UOI589859 UYE589859 VIA589859 VRW589859 WBS589859 WLO589859 WVK589859 C655383 IY655395 SU655395 ACQ655395 AMM655395 AWI655395 BGE655395 BQA655395 BZW655395 CJS655395 CTO655395 DDK655395 DNG655395 DXC655395 EGY655395 EQU655395 FAQ655395 FKM655395 FUI655395 GEE655395 GOA655395 GXW655395 HHS655395 HRO655395 IBK655395 ILG655395 IVC655395 JEY655395 JOU655395 JYQ655395 KIM655395 KSI655395 LCE655395 LMA655395 LVW655395 MFS655395 MPO655395 MZK655395 NJG655395 NTC655395 OCY655395 OMU655395 OWQ655395 PGM655395 PQI655395 QAE655395 QKA655395 QTW655395 RDS655395 RNO655395 RXK655395 SHG655395 SRC655395 TAY655395 TKU655395 TUQ655395 UEM655395 UOI655395 UYE655395 VIA655395 VRW655395 WBS655395 WLO655395 WVK655395 C720919 IY720931 SU720931 ACQ720931 AMM720931 AWI720931 BGE720931 BQA720931 BZW720931 CJS720931 CTO720931 DDK720931 DNG720931 DXC720931 EGY720931 EQU720931 FAQ720931 FKM720931 FUI720931 GEE720931 GOA720931 GXW720931 HHS720931 HRO720931 IBK720931 ILG720931 IVC720931 JEY720931 JOU720931 JYQ720931 KIM720931 KSI720931 LCE720931 LMA720931 LVW720931 MFS720931 MPO720931 MZK720931 NJG720931 NTC720931 OCY720931 OMU720931 OWQ720931 PGM720931 PQI720931 QAE720931 QKA720931 QTW720931 RDS720931 RNO720931 RXK720931 SHG720931 SRC720931 TAY720931 TKU720931 TUQ720931 UEM720931 UOI720931 UYE720931 VIA720931 VRW720931 WBS720931 WLO720931 WVK720931 C786455 IY786467 SU786467 ACQ786467 AMM786467 AWI786467 BGE786467 BQA786467 BZW786467 CJS786467 CTO786467 DDK786467 DNG786467 DXC786467 EGY786467 EQU786467 FAQ786467 FKM786467 FUI786467 GEE786467 GOA786467 GXW786467 HHS786467 HRO786467 IBK786467 ILG786467 IVC786467 JEY786467 JOU786467 JYQ786467 KIM786467 KSI786467 LCE786467 LMA786467 LVW786467 MFS786467 MPO786467 MZK786467 NJG786467 NTC786467 OCY786467 OMU786467 OWQ786467 PGM786467 PQI786467 QAE786467 QKA786467 QTW786467 RDS786467 RNO786467 RXK786467 SHG786467 SRC786467 TAY786467 TKU786467 TUQ786467 UEM786467 UOI786467 UYE786467 VIA786467 VRW786467 WBS786467 WLO786467 WVK786467 C851991 IY852003 SU852003 ACQ852003 AMM852003 AWI852003 BGE852003 BQA852003 BZW852003 CJS852003 CTO852003 DDK852003 DNG852003 DXC852003 EGY852003 EQU852003 FAQ852003 FKM852003 FUI852003 GEE852003 GOA852003 GXW852003 HHS852003 HRO852003 IBK852003 ILG852003 IVC852003 JEY852003 JOU852003 JYQ852003 KIM852003 KSI852003 LCE852003 LMA852003 LVW852003 MFS852003 MPO852003 MZK852003 NJG852003 NTC852003 OCY852003 OMU852003 OWQ852003 PGM852003 PQI852003 QAE852003 QKA852003 QTW852003 RDS852003 RNO852003 RXK852003 SHG852003 SRC852003 TAY852003 TKU852003 TUQ852003 UEM852003 UOI852003 UYE852003 VIA852003 VRW852003 WBS852003 WLO852003 WVK852003 C917527 IY917539 SU917539 ACQ917539 AMM917539 AWI917539 BGE917539 BQA917539 BZW917539 CJS917539 CTO917539 DDK917539 DNG917539 DXC917539 EGY917539 EQU917539 FAQ917539 FKM917539 FUI917539 GEE917539 GOA917539 GXW917539 HHS917539 HRO917539 IBK917539 ILG917539 IVC917539 JEY917539 JOU917539 JYQ917539 KIM917539 KSI917539 LCE917539 LMA917539 LVW917539 MFS917539 MPO917539 MZK917539 NJG917539 NTC917539 OCY917539 OMU917539 OWQ917539 PGM917539 PQI917539 QAE917539 QKA917539 QTW917539 RDS917539 RNO917539 RXK917539 SHG917539 SRC917539 TAY917539 TKU917539 TUQ917539 UEM917539 UOI917539 UYE917539 VIA917539 VRW917539 WBS917539 WLO917539 WVK917539 C983063 IY983075 SU983075 ACQ983075 AMM983075 AWI983075 BGE983075 BQA983075 BZW983075 CJS983075 CTO983075 DDK983075 DNG983075 DXC983075 EGY983075 EQU983075 FAQ983075 FKM983075 FUI983075 GEE983075 GOA983075 GXW983075 HHS983075 HRO983075 IBK983075 ILG983075 IVC983075 JEY983075 JOU983075 JYQ983075 KIM983075 KSI983075 LCE983075 LMA983075 LVW983075 MFS983075 MPO983075 MZK983075 NJG983075 NTC983075 OCY983075 OMU983075 OWQ983075 PGM983075 PQI983075 QAE983075 QKA983075 QTW983075 RDS983075 RNO983075 RXK983075 SHG983075 SRC983075 TAY983075 TKU983075 TUQ983075 UEM983075 UOI983075 UYE983075 VIA983075 VRW983075 WBS983075 WLO983075 WVK983075">
      <formula1>$C$82:$C$84</formula1>
    </dataValidation>
    <dataValidation type="list" allowBlank="1" showInputMessage="1" showErrorMessage="1" sqref="C39 IY41 SU41 ACQ41 AMM41 AWI41 BGE41 BQA41 BZW41 CJS41 CTO41 DDK41 DNG41 DXC41 EGY41 EQU41 FAQ41 FKM41 FUI41 GEE41 GOA41 GXW41 HHS41 HRO41 IBK41 ILG41 IVC41 JEY41 JOU41 JYQ41 KIM41 KSI41 LCE41 LMA41 LVW41 MFS41 MPO41 MZK41 NJG41 NTC41 OCY41 OMU41 OWQ41 PGM41 PQI41 QAE41 QKA41 QTW41 RDS41 RNO41 RXK41 SHG41 SRC41 TAY41 TKU41 TUQ41 UEM41 UOI41 UYE41 VIA41 VRW41 WBS41 WLO41 WVK41 C65556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092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28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64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00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36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72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08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44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80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16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52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1988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24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60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WVK983072">
      <formula1>$C$79:$C$81</formula1>
    </dataValidation>
    <dataValidation type="list" allowBlank="1" showInputMessage="1" showErrorMessage="1" sqref="C30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47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83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19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55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691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27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63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299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35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71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07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43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79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15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51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WVK983063">
      <formula1>$C$71:$C$73</formula1>
    </dataValidation>
    <dataValidation type="list" allowBlank="1" showInputMessage="1" showErrorMessage="1" sqref="C27 IY29 SU29 ACQ29 AMM29 AWI29 BGE29 BQA29 BZW29 CJS29 CTO29 DDK29 DNG29 DXC29 EGY29 EQU29 FAQ29 FKM29 FUI29 GEE29 GOA29 GXW29 HHS29 HRO29 IBK29 ILG29 IVC29 JEY29 JOU29 JYQ29 KIM29 KSI29 LCE29 LMA29 LVW29 MFS29 MPO29 MZK29 NJG29 NTC29 OCY29 OMU29 OWQ29 PGM29 PQI29 QAE29 QKA29 QTW29 RDS29 RNO29 RXK29 SHG29 SRC29 TAY29 TKU29 TUQ29 UEM29 UOI29 UYE29 VIA29 VRW29 WBS29 WLO29 WVK29 C65544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80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16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52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688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24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60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296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32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68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04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40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76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12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48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$C$66:$C$68</formula1>
    </dataValidation>
    <dataValidation type="list" allowBlank="1" showInputMessage="1" showErrorMessage="1" sqref="C24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41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77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13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49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85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21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57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293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29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65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01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37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73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09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45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formula1>$C$61:$C$63</formula1>
    </dataValidation>
    <dataValidation type="list" allowBlank="1" showInputMessage="1" showErrorMessage="1" sqref="C21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38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74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10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46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82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18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54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290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26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62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898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34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70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06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42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WVK983054">
      <formula1>$C$56:$C$58</formula1>
    </dataValidation>
    <dataValidation type="list" allowBlank="1" showInputMessage="1" showErrorMessage="1" sqref="C45 IY47 SU47 ACQ47 AMM47 AWI47 BGE47 BQA47 BZW47 CJS47 CTO47 DDK47 DNG47 DXC47 EGY47 EQU47 FAQ47 FKM47 FUI47 GEE47 GOA47 GXW47 HHS47 HRO47 IBK47 ILG47 IVC47 JEY47 JOU47 JYQ47 KIM47 KSI47 LCE47 LMA47 LVW47 MFS47 MPO47 MZK47 NJG47 NTC47 OCY47 OMU47 OWQ47 PGM47 PQI47 QAE47 QKA47 QTW47 RDS47 RNO47 RXK47 SHG47 SRC47 TAY47 TKU47 TUQ47 UEM47 UOI47 UYE47 VIA47 VRW47 WBS47 WLO47 WVK47 C65562 IY65574 SU65574 ACQ65574 AMM65574 AWI65574 BGE65574 BQA65574 BZW65574 CJS65574 CTO65574 DDK65574 DNG65574 DXC65574 EGY65574 EQU65574 FAQ65574 FKM65574 FUI65574 GEE65574 GOA65574 GXW65574 HHS65574 HRO65574 IBK65574 ILG65574 IVC65574 JEY65574 JOU65574 JYQ65574 KIM65574 KSI65574 LCE65574 LMA65574 LVW65574 MFS65574 MPO65574 MZK65574 NJG65574 NTC65574 OCY65574 OMU65574 OWQ65574 PGM65574 PQI65574 QAE65574 QKA65574 QTW65574 RDS65574 RNO65574 RXK65574 SHG65574 SRC65574 TAY65574 TKU65574 TUQ65574 UEM65574 UOI65574 UYE65574 VIA65574 VRW65574 WBS65574 WLO65574 WVK65574 C131098 IY131110 SU131110 ACQ131110 AMM131110 AWI131110 BGE131110 BQA131110 BZW131110 CJS131110 CTO131110 DDK131110 DNG131110 DXC131110 EGY131110 EQU131110 FAQ131110 FKM131110 FUI131110 GEE131110 GOA131110 GXW131110 HHS131110 HRO131110 IBK131110 ILG131110 IVC131110 JEY131110 JOU131110 JYQ131110 KIM131110 KSI131110 LCE131110 LMA131110 LVW131110 MFS131110 MPO131110 MZK131110 NJG131110 NTC131110 OCY131110 OMU131110 OWQ131110 PGM131110 PQI131110 QAE131110 QKA131110 QTW131110 RDS131110 RNO131110 RXK131110 SHG131110 SRC131110 TAY131110 TKU131110 TUQ131110 UEM131110 UOI131110 UYE131110 VIA131110 VRW131110 WBS131110 WLO131110 WVK131110 C196634 IY196646 SU196646 ACQ196646 AMM196646 AWI196646 BGE196646 BQA196646 BZW196646 CJS196646 CTO196646 DDK196646 DNG196646 DXC196646 EGY196646 EQU196646 FAQ196646 FKM196646 FUI196646 GEE196646 GOA196646 GXW196646 HHS196646 HRO196646 IBK196646 ILG196646 IVC196646 JEY196646 JOU196646 JYQ196646 KIM196646 KSI196646 LCE196646 LMA196646 LVW196646 MFS196646 MPO196646 MZK196646 NJG196646 NTC196646 OCY196646 OMU196646 OWQ196646 PGM196646 PQI196646 QAE196646 QKA196646 QTW196646 RDS196646 RNO196646 RXK196646 SHG196646 SRC196646 TAY196646 TKU196646 TUQ196646 UEM196646 UOI196646 UYE196646 VIA196646 VRW196646 WBS196646 WLO196646 WVK196646 C262170 IY262182 SU262182 ACQ262182 AMM262182 AWI262182 BGE262182 BQA262182 BZW262182 CJS262182 CTO262182 DDK262182 DNG262182 DXC262182 EGY262182 EQU262182 FAQ262182 FKM262182 FUI262182 GEE262182 GOA262182 GXW262182 HHS262182 HRO262182 IBK262182 ILG262182 IVC262182 JEY262182 JOU262182 JYQ262182 KIM262182 KSI262182 LCE262182 LMA262182 LVW262182 MFS262182 MPO262182 MZK262182 NJG262182 NTC262182 OCY262182 OMU262182 OWQ262182 PGM262182 PQI262182 QAE262182 QKA262182 QTW262182 RDS262182 RNO262182 RXK262182 SHG262182 SRC262182 TAY262182 TKU262182 TUQ262182 UEM262182 UOI262182 UYE262182 VIA262182 VRW262182 WBS262182 WLO262182 WVK262182 C327706 IY327718 SU327718 ACQ327718 AMM327718 AWI327718 BGE327718 BQA327718 BZW327718 CJS327718 CTO327718 DDK327718 DNG327718 DXC327718 EGY327718 EQU327718 FAQ327718 FKM327718 FUI327718 GEE327718 GOA327718 GXW327718 HHS327718 HRO327718 IBK327718 ILG327718 IVC327718 JEY327718 JOU327718 JYQ327718 KIM327718 KSI327718 LCE327718 LMA327718 LVW327718 MFS327718 MPO327718 MZK327718 NJG327718 NTC327718 OCY327718 OMU327718 OWQ327718 PGM327718 PQI327718 QAE327718 QKA327718 QTW327718 RDS327718 RNO327718 RXK327718 SHG327718 SRC327718 TAY327718 TKU327718 TUQ327718 UEM327718 UOI327718 UYE327718 VIA327718 VRW327718 WBS327718 WLO327718 WVK327718 C393242 IY393254 SU393254 ACQ393254 AMM393254 AWI393254 BGE393254 BQA393254 BZW393254 CJS393254 CTO393254 DDK393254 DNG393254 DXC393254 EGY393254 EQU393254 FAQ393254 FKM393254 FUI393254 GEE393254 GOA393254 GXW393254 HHS393254 HRO393254 IBK393254 ILG393254 IVC393254 JEY393254 JOU393254 JYQ393254 KIM393254 KSI393254 LCE393254 LMA393254 LVW393254 MFS393254 MPO393254 MZK393254 NJG393254 NTC393254 OCY393254 OMU393254 OWQ393254 PGM393254 PQI393254 QAE393254 QKA393254 QTW393254 RDS393254 RNO393254 RXK393254 SHG393254 SRC393254 TAY393254 TKU393254 TUQ393254 UEM393254 UOI393254 UYE393254 VIA393254 VRW393254 WBS393254 WLO393254 WVK393254 C458778 IY458790 SU458790 ACQ458790 AMM458790 AWI458790 BGE458790 BQA458790 BZW458790 CJS458790 CTO458790 DDK458790 DNG458790 DXC458790 EGY458790 EQU458790 FAQ458790 FKM458790 FUI458790 GEE458790 GOA458790 GXW458790 HHS458790 HRO458790 IBK458790 ILG458790 IVC458790 JEY458790 JOU458790 JYQ458790 KIM458790 KSI458790 LCE458790 LMA458790 LVW458790 MFS458790 MPO458790 MZK458790 NJG458790 NTC458790 OCY458790 OMU458790 OWQ458790 PGM458790 PQI458790 QAE458790 QKA458790 QTW458790 RDS458790 RNO458790 RXK458790 SHG458790 SRC458790 TAY458790 TKU458790 TUQ458790 UEM458790 UOI458790 UYE458790 VIA458790 VRW458790 WBS458790 WLO458790 WVK458790 C524314 IY524326 SU524326 ACQ524326 AMM524326 AWI524326 BGE524326 BQA524326 BZW524326 CJS524326 CTO524326 DDK524326 DNG524326 DXC524326 EGY524326 EQU524326 FAQ524326 FKM524326 FUI524326 GEE524326 GOA524326 GXW524326 HHS524326 HRO524326 IBK524326 ILG524326 IVC524326 JEY524326 JOU524326 JYQ524326 KIM524326 KSI524326 LCE524326 LMA524326 LVW524326 MFS524326 MPO524326 MZK524326 NJG524326 NTC524326 OCY524326 OMU524326 OWQ524326 PGM524326 PQI524326 QAE524326 QKA524326 QTW524326 RDS524326 RNO524326 RXK524326 SHG524326 SRC524326 TAY524326 TKU524326 TUQ524326 UEM524326 UOI524326 UYE524326 VIA524326 VRW524326 WBS524326 WLO524326 WVK524326 C589850 IY589862 SU589862 ACQ589862 AMM589862 AWI589862 BGE589862 BQA589862 BZW589862 CJS589862 CTO589862 DDK589862 DNG589862 DXC589862 EGY589862 EQU589862 FAQ589862 FKM589862 FUI589862 GEE589862 GOA589862 GXW589862 HHS589862 HRO589862 IBK589862 ILG589862 IVC589862 JEY589862 JOU589862 JYQ589862 KIM589862 KSI589862 LCE589862 LMA589862 LVW589862 MFS589862 MPO589862 MZK589862 NJG589862 NTC589862 OCY589862 OMU589862 OWQ589862 PGM589862 PQI589862 QAE589862 QKA589862 QTW589862 RDS589862 RNO589862 RXK589862 SHG589862 SRC589862 TAY589862 TKU589862 TUQ589862 UEM589862 UOI589862 UYE589862 VIA589862 VRW589862 WBS589862 WLO589862 WVK589862 C655386 IY655398 SU655398 ACQ655398 AMM655398 AWI655398 BGE655398 BQA655398 BZW655398 CJS655398 CTO655398 DDK655398 DNG655398 DXC655398 EGY655398 EQU655398 FAQ655398 FKM655398 FUI655398 GEE655398 GOA655398 GXW655398 HHS655398 HRO655398 IBK655398 ILG655398 IVC655398 JEY655398 JOU655398 JYQ655398 KIM655398 KSI655398 LCE655398 LMA655398 LVW655398 MFS655398 MPO655398 MZK655398 NJG655398 NTC655398 OCY655398 OMU655398 OWQ655398 PGM655398 PQI655398 QAE655398 QKA655398 QTW655398 RDS655398 RNO655398 RXK655398 SHG655398 SRC655398 TAY655398 TKU655398 TUQ655398 UEM655398 UOI655398 UYE655398 VIA655398 VRW655398 WBS655398 WLO655398 WVK655398 C720922 IY720934 SU720934 ACQ720934 AMM720934 AWI720934 BGE720934 BQA720934 BZW720934 CJS720934 CTO720934 DDK720934 DNG720934 DXC720934 EGY720934 EQU720934 FAQ720934 FKM720934 FUI720934 GEE720934 GOA720934 GXW720934 HHS720934 HRO720934 IBK720934 ILG720934 IVC720934 JEY720934 JOU720934 JYQ720934 KIM720934 KSI720934 LCE720934 LMA720934 LVW720934 MFS720934 MPO720934 MZK720934 NJG720934 NTC720934 OCY720934 OMU720934 OWQ720934 PGM720934 PQI720934 QAE720934 QKA720934 QTW720934 RDS720934 RNO720934 RXK720934 SHG720934 SRC720934 TAY720934 TKU720934 TUQ720934 UEM720934 UOI720934 UYE720934 VIA720934 VRW720934 WBS720934 WLO720934 WVK720934 C786458 IY786470 SU786470 ACQ786470 AMM786470 AWI786470 BGE786470 BQA786470 BZW786470 CJS786470 CTO786470 DDK786470 DNG786470 DXC786470 EGY786470 EQU786470 FAQ786470 FKM786470 FUI786470 GEE786470 GOA786470 GXW786470 HHS786470 HRO786470 IBK786470 ILG786470 IVC786470 JEY786470 JOU786470 JYQ786470 KIM786470 KSI786470 LCE786470 LMA786470 LVW786470 MFS786470 MPO786470 MZK786470 NJG786470 NTC786470 OCY786470 OMU786470 OWQ786470 PGM786470 PQI786470 QAE786470 QKA786470 QTW786470 RDS786470 RNO786470 RXK786470 SHG786470 SRC786470 TAY786470 TKU786470 TUQ786470 UEM786470 UOI786470 UYE786470 VIA786470 VRW786470 WBS786470 WLO786470 WVK786470 C851994 IY852006 SU852006 ACQ852006 AMM852006 AWI852006 BGE852006 BQA852006 BZW852006 CJS852006 CTO852006 DDK852006 DNG852006 DXC852006 EGY852006 EQU852006 FAQ852006 FKM852006 FUI852006 GEE852006 GOA852006 GXW852006 HHS852006 HRO852006 IBK852006 ILG852006 IVC852006 JEY852006 JOU852006 JYQ852006 KIM852006 KSI852006 LCE852006 LMA852006 LVW852006 MFS852006 MPO852006 MZK852006 NJG852006 NTC852006 OCY852006 OMU852006 OWQ852006 PGM852006 PQI852006 QAE852006 QKA852006 QTW852006 RDS852006 RNO852006 RXK852006 SHG852006 SRC852006 TAY852006 TKU852006 TUQ852006 UEM852006 UOI852006 UYE852006 VIA852006 VRW852006 WBS852006 WLO852006 WVK852006 C917530 IY917542 SU917542 ACQ917542 AMM917542 AWI917542 BGE917542 BQA917542 BZW917542 CJS917542 CTO917542 DDK917542 DNG917542 DXC917542 EGY917542 EQU917542 FAQ917542 FKM917542 FUI917542 GEE917542 GOA917542 GXW917542 HHS917542 HRO917542 IBK917542 ILG917542 IVC917542 JEY917542 JOU917542 JYQ917542 KIM917542 KSI917542 LCE917542 LMA917542 LVW917542 MFS917542 MPO917542 MZK917542 NJG917542 NTC917542 OCY917542 OMU917542 OWQ917542 PGM917542 PQI917542 QAE917542 QKA917542 QTW917542 RDS917542 RNO917542 RXK917542 SHG917542 SRC917542 TAY917542 TKU917542 TUQ917542 UEM917542 UOI917542 UYE917542 VIA917542 VRW917542 WBS917542 WLO917542 WVK917542 C983066 IY983078 SU983078 ACQ983078 AMM983078 AWI983078 BGE983078 BQA983078 BZW983078 CJS983078 CTO983078 DDK983078 DNG983078 DXC983078 EGY983078 EQU983078 FAQ983078 FKM983078 FUI983078 GEE983078 GOA983078 GXW983078 HHS983078 HRO983078 IBK983078 ILG983078 IVC983078 JEY983078 JOU983078 JYQ983078 KIM983078 KSI983078 LCE983078 LMA983078 LVW983078 MFS983078 MPO983078 MZK983078 NJG983078 NTC983078 OCY983078 OMU983078 OWQ983078 PGM983078 PQI983078 QAE983078 QKA983078 QTW983078 RDS983078 RNO983078 RXK983078 SHG983078 SRC983078 TAY983078 TKU983078 TUQ983078 UEM983078 UOI983078 UYE983078 VIA983078 VRW983078 WBS983078 WLO983078 WVK983078">
      <formula1>$C$85:$C$87</formula1>
    </dataValidation>
    <dataValidation type="list" allowBlank="1" showInputMessage="1" showErrorMessage="1" sqref="C33 IY35 SU35 ACQ35 AMM35 AWI35 BGE35 BQA35 BZW35 CJS35 CTO35 DDK35 DNG35 DXC35 EGY35 EQU35 FAQ35 FKM35 FUI35 GEE35 GOA35 GXW35 HHS35 HRO35 IBK35 ILG35 IVC35 JEY35 JOU35 JYQ35 KIM35 KSI35 LCE35 LMA35 LVW35 MFS35 MPO35 MZK35 NJG35 NTC35 OCY35 OMU35 OWQ35 PGM35 PQI35 QAE35 QKA35 QTW35 RDS35 RNO35 RXK35 SHG35 SRC35 TAY35 TKU35 TUQ35 UEM35 UOI35 UYE35 VIA35 VRW35 WBS35 WLO35 WVK35 C65550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86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22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58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694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30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66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02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38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74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10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46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82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18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54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$C$76:$C$78</formula1>
    </dataValidation>
    <dataValidation type="custom" errorStyle="warning" allowBlank="1" showInputMessage="1" showErrorMessage="1" error="Borrower has failed qualitative assessment" sqref="J48">
      <formula1>G49</formula1>
    </dataValidation>
    <dataValidation type="list" allowBlank="1" showInputMessage="1" showErrorMessage="1" sqref="G10:G11">
      <formula1>"Working capital, Fixed Asset"</formula1>
    </dataValidation>
    <dataValidation type="custom" errorStyle="warning" allowBlank="1" showInputMessage="1" showErrorMessage="1" error="Borrower has failed qualitative assessment" sqref="JF54 WVR54 WLV54 WBZ54 VSD54 VIH54 UYL54 UOP54 UET54 TUX54 TLB54 TBF54 SRJ54 SHN54 RXR54 RNV54 RDZ54 QUD54 QKH54 QAL54 PQP54 PGT54 OWX54 ONB54 ODF54 NTJ54 NJN54 MZR54 MPV54 MFZ54 LWD54 LMH54 LCL54 KSP54 KIT54 JYX54 JPB54 JFF54 IVJ54 ILN54 IBR54 HRV54 HHZ54 GYD54 GOH54 GEL54 FUP54 FKT54 FAX54 ERB54 EHF54 DXJ54 DNN54 DDR54 CTV54 CJZ54 CAD54 BQH54 BGL54 AWP54 AMT54 ACX54 TB54">
      <formula1>#REF!</formula1>
    </dataValidation>
  </dataValidations>
  <pageMargins left="0.24" right="0.18" top="0.19" bottom="0.17" header="0.17" footer="0.17"/>
  <pageSetup paperSize="9" scale="68" orientation="portrait" r:id="rId1"/>
  <rowBreaks count="2" manualBreakCount="2">
    <brk id="49" max="10" man="1"/>
    <brk id="53" max="10" man="1"/>
  </rowBreaks>
</worksheet>
</file>

<file path=xl/worksheets/sheet4.xml><?xml version="1.0" encoding="utf-8"?>
<worksheet xmlns="http://schemas.openxmlformats.org/spreadsheetml/2006/main" xmlns:r="http://schemas.openxmlformats.org/officeDocument/2006/relationships">
  <dimension ref="A1:X199"/>
  <sheetViews>
    <sheetView view="pageBreakPreview" topLeftCell="A113" zoomScale="89" zoomScaleNormal="110" zoomScaleSheetLayoutView="89" workbookViewId="0">
      <selection activeCell="I19" sqref="I19"/>
    </sheetView>
  </sheetViews>
  <sheetFormatPr defaultRowHeight="12.75"/>
  <cols>
    <col min="1" max="1" width="15.140625" style="92" customWidth="1"/>
    <col min="2" max="2" width="23.7109375" style="92" customWidth="1"/>
    <col min="3" max="3" width="16" style="92" customWidth="1"/>
    <col min="4" max="4" width="15.42578125" style="92" customWidth="1"/>
    <col min="5" max="5" width="16.5703125" style="92" customWidth="1"/>
    <col min="6" max="7" width="15.85546875" style="92" customWidth="1"/>
    <col min="8" max="8" width="13.7109375" style="92" customWidth="1"/>
    <col min="9" max="9" width="14.140625" style="92" customWidth="1"/>
    <col min="10" max="10" width="14.5703125" style="92" customWidth="1"/>
    <col min="11" max="13" width="14.7109375" style="92" bestFit="1" customWidth="1"/>
    <col min="14" max="14" width="14.7109375" style="92" customWidth="1"/>
    <col min="15" max="22" width="14.7109375" style="92" bestFit="1" customWidth="1"/>
    <col min="23" max="23" width="16.85546875" style="92" customWidth="1"/>
    <col min="24" max="24" width="13.7109375" style="92" bestFit="1" customWidth="1"/>
    <col min="25" max="25" width="24.28515625" style="92" customWidth="1"/>
    <col min="26" max="26" width="16.7109375" style="92" bestFit="1" customWidth="1"/>
    <col min="27" max="27" width="8.7109375" style="92"/>
    <col min="28" max="28" width="42.140625" style="92" customWidth="1"/>
    <col min="29" max="255" width="8.7109375" style="92"/>
    <col min="256" max="256" width="15.42578125" style="92" customWidth="1"/>
    <col min="257" max="257" width="30.85546875" style="92" customWidth="1"/>
    <col min="258" max="258" width="16" style="92" customWidth="1"/>
    <col min="259" max="259" width="6.5703125" style="92" customWidth="1"/>
    <col min="260" max="260" width="16.42578125" style="92" customWidth="1"/>
    <col min="261" max="261" width="17.5703125" style="92" bestFit="1" customWidth="1"/>
    <col min="262" max="262" width="15.85546875" style="92" customWidth="1"/>
    <col min="263" max="263" width="2.85546875" style="92" customWidth="1"/>
    <col min="264" max="264" width="26.42578125" style="92" customWidth="1"/>
    <col min="265" max="265" width="14.5703125" style="92" customWidth="1"/>
    <col min="266" max="278" width="12.5703125" style="92" customWidth="1"/>
    <col min="279" max="280" width="8.7109375" style="92"/>
    <col min="281" max="281" width="13" style="92" customWidth="1"/>
    <col min="282" max="282" width="16.7109375" style="92" bestFit="1" customWidth="1"/>
    <col min="283" max="283" width="8.7109375" style="92"/>
    <col min="284" max="284" width="42.140625" style="92" customWidth="1"/>
    <col min="285" max="511" width="8.7109375" style="92"/>
    <col min="512" max="512" width="15.42578125" style="92" customWidth="1"/>
    <col min="513" max="513" width="30.85546875" style="92" customWidth="1"/>
    <col min="514" max="514" width="16" style="92" customWidth="1"/>
    <col min="515" max="515" width="6.5703125" style="92" customWidth="1"/>
    <col min="516" max="516" width="16.42578125" style="92" customWidth="1"/>
    <col min="517" max="517" width="17.5703125" style="92" bestFit="1" customWidth="1"/>
    <col min="518" max="518" width="15.85546875" style="92" customWidth="1"/>
    <col min="519" max="519" width="2.85546875" style="92" customWidth="1"/>
    <col min="520" max="520" width="26.42578125" style="92" customWidth="1"/>
    <col min="521" max="521" width="14.5703125" style="92" customWidth="1"/>
    <col min="522" max="534" width="12.5703125" style="92" customWidth="1"/>
    <col min="535" max="536" width="8.7109375" style="92"/>
    <col min="537" max="537" width="13" style="92" customWidth="1"/>
    <col min="538" max="538" width="16.7109375" style="92" bestFit="1" customWidth="1"/>
    <col min="539" max="539" width="8.7109375" style="92"/>
    <col min="540" max="540" width="42.140625" style="92" customWidth="1"/>
    <col min="541" max="767" width="8.7109375" style="92"/>
    <col min="768" max="768" width="15.42578125" style="92" customWidth="1"/>
    <col min="769" max="769" width="30.85546875" style="92" customWidth="1"/>
    <col min="770" max="770" width="16" style="92" customWidth="1"/>
    <col min="771" max="771" width="6.5703125" style="92" customWidth="1"/>
    <col min="772" max="772" width="16.42578125" style="92" customWidth="1"/>
    <col min="773" max="773" width="17.5703125" style="92" bestFit="1" customWidth="1"/>
    <col min="774" max="774" width="15.85546875" style="92" customWidth="1"/>
    <col min="775" max="775" width="2.85546875" style="92" customWidth="1"/>
    <col min="776" max="776" width="26.42578125" style="92" customWidth="1"/>
    <col min="777" max="777" width="14.5703125" style="92" customWidth="1"/>
    <col min="778" max="790" width="12.5703125" style="92" customWidth="1"/>
    <col min="791" max="792" width="8.7109375" style="92"/>
    <col min="793" max="793" width="13" style="92" customWidth="1"/>
    <col min="794" max="794" width="16.7109375" style="92" bestFit="1" customWidth="1"/>
    <col min="795" max="795" width="8.7109375" style="92"/>
    <col min="796" max="796" width="42.140625" style="92" customWidth="1"/>
    <col min="797" max="1023" width="8.7109375" style="92"/>
    <col min="1024" max="1024" width="15.42578125" style="92" customWidth="1"/>
    <col min="1025" max="1025" width="30.85546875" style="92" customWidth="1"/>
    <col min="1026" max="1026" width="16" style="92" customWidth="1"/>
    <col min="1027" max="1027" width="6.5703125" style="92" customWidth="1"/>
    <col min="1028" max="1028" width="16.42578125" style="92" customWidth="1"/>
    <col min="1029" max="1029" width="17.5703125" style="92" bestFit="1" customWidth="1"/>
    <col min="1030" max="1030" width="15.85546875" style="92" customWidth="1"/>
    <col min="1031" max="1031" width="2.85546875" style="92" customWidth="1"/>
    <col min="1032" max="1032" width="26.42578125" style="92" customWidth="1"/>
    <col min="1033" max="1033" width="14.5703125" style="92" customWidth="1"/>
    <col min="1034" max="1046" width="12.5703125" style="92" customWidth="1"/>
    <col min="1047" max="1048" width="8.7109375" style="92"/>
    <col min="1049" max="1049" width="13" style="92" customWidth="1"/>
    <col min="1050" max="1050" width="16.7109375" style="92" bestFit="1" customWidth="1"/>
    <col min="1051" max="1051" width="8.7109375" style="92"/>
    <col min="1052" max="1052" width="42.140625" style="92" customWidth="1"/>
    <col min="1053" max="1279" width="8.7109375" style="92"/>
    <col min="1280" max="1280" width="15.42578125" style="92" customWidth="1"/>
    <col min="1281" max="1281" width="30.85546875" style="92" customWidth="1"/>
    <col min="1282" max="1282" width="16" style="92" customWidth="1"/>
    <col min="1283" max="1283" width="6.5703125" style="92" customWidth="1"/>
    <col min="1284" max="1284" width="16.42578125" style="92" customWidth="1"/>
    <col min="1285" max="1285" width="17.5703125" style="92" bestFit="1" customWidth="1"/>
    <col min="1286" max="1286" width="15.85546875" style="92" customWidth="1"/>
    <col min="1287" max="1287" width="2.85546875" style="92" customWidth="1"/>
    <col min="1288" max="1288" width="26.42578125" style="92" customWidth="1"/>
    <col min="1289" max="1289" width="14.5703125" style="92" customWidth="1"/>
    <col min="1290" max="1302" width="12.5703125" style="92" customWidth="1"/>
    <col min="1303" max="1304" width="8.7109375" style="92"/>
    <col min="1305" max="1305" width="13" style="92" customWidth="1"/>
    <col min="1306" max="1306" width="16.7109375" style="92" bestFit="1" customWidth="1"/>
    <col min="1307" max="1307" width="8.7109375" style="92"/>
    <col min="1308" max="1308" width="42.140625" style="92" customWidth="1"/>
    <col min="1309" max="1535" width="8.7109375" style="92"/>
    <col min="1536" max="1536" width="15.42578125" style="92" customWidth="1"/>
    <col min="1537" max="1537" width="30.85546875" style="92" customWidth="1"/>
    <col min="1538" max="1538" width="16" style="92" customWidth="1"/>
    <col min="1539" max="1539" width="6.5703125" style="92" customWidth="1"/>
    <col min="1540" max="1540" width="16.42578125" style="92" customWidth="1"/>
    <col min="1541" max="1541" width="17.5703125" style="92" bestFit="1" customWidth="1"/>
    <col min="1542" max="1542" width="15.85546875" style="92" customWidth="1"/>
    <col min="1543" max="1543" width="2.85546875" style="92" customWidth="1"/>
    <col min="1544" max="1544" width="26.42578125" style="92" customWidth="1"/>
    <col min="1545" max="1545" width="14.5703125" style="92" customWidth="1"/>
    <col min="1546" max="1558" width="12.5703125" style="92" customWidth="1"/>
    <col min="1559" max="1560" width="8.7109375" style="92"/>
    <col min="1561" max="1561" width="13" style="92" customWidth="1"/>
    <col min="1562" max="1562" width="16.7109375" style="92" bestFit="1" customWidth="1"/>
    <col min="1563" max="1563" width="8.7109375" style="92"/>
    <col min="1564" max="1564" width="42.140625" style="92" customWidth="1"/>
    <col min="1565" max="1791" width="8.7109375" style="92"/>
    <col min="1792" max="1792" width="15.42578125" style="92" customWidth="1"/>
    <col min="1793" max="1793" width="30.85546875" style="92" customWidth="1"/>
    <col min="1794" max="1794" width="16" style="92" customWidth="1"/>
    <col min="1795" max="1795" width="6.5703125" style="92" customWidth="1"/>
    <col min="1796" max="1796" width="16.42578125" style="92" customWidth="1"/>
    <col min="1797" max="1797" width="17.5703125" style="92" bestFit="1" customWidth="1"/>
    <col min="1798" max="1798" width="15.85546875" style="92" customWidth="1"/>
    <col min="1799" max="1799" width="2.85546875" style="92" customWidth="1"/>
    <col min="1800" max="1800" width="26.42578125" style="92" customWidth="1"/>
    <col min="1801" max="1801" width="14.5703125" style="92" customWidth="1"/>
    <col min="1802" max="1814" width="12.5703125" style="92" customWidth="1"/>
    <col min="1815" max="1816" width="8.7109375" style="92"/>
    <col min="1817" max="1817" width="13" style="92" customWidth="1"/>
    <col min="1818" max="1818" width="16.7109375" style="92" bestFit="1" customWidth="1"/>
    <col min="1819" max="1819" width="8.7109375" style="92"/>
    <col min="1820" max="1820" width="42.140625" style="92" customWidth="1"/>
    <col min="1821" max="2047" width="8.7109375" style="92"/>
    <col min="2048" max="2048" width="15.42578125" style="92" customWidth="1"/>
    <col min="2049" max="2049" width="30.85546875" style="92" customWidth="1"/>
    <col min="2050" max="2050" width="16" style="92" customWidth="1"/>
    <col min="2051" max="2051" width="6.5703125" style="92" customWidth="1"/>
    <col min="2052" max="2052" width="16.42578125" style="92" customWidth="1"/>
    <col min="2053" max="2053" width="17.5703125" style="92" bestFit="1" customWidth="1"/>
    <col min="2054" max="2054" width="15.85546875" style="92" customWidth="1"/>
    <col min="2055" max="2055" width="2.85546875" style="92" customWidth="1"/>
    <col min="2056" max="2056" width="26.42578125" style="92" customWidth="1"/>
    <col min="2057" max="2057" width="14.5703125" style="92" customWidth="1"/>
    <col min="2058" max="2070" width="12.5703125" style="92" customWidth="1"/>
    <col min="2071" max="2072" width="8.7109375" style="92"/>
    <col min="2073" max="2073" width="13" style="92" customWidth="1"/>
    <col min="2074" max="2074" width="16.7109375" style="92" bestFit="1" customWidth="1"/>
    <col min="2075" max="2075" width="8.7109375" style="92"/>
    <col min="2076" max="2076" width="42.140625" style="92" customWidth="1"/>
    <col min="2077" max="2303" width="8.7109375" style="92"/>
    <col min="2304" max="2304" width="15.42578125" style="92" customWidth="1"/>
    <col min="2305" max="2305" width="30.85546875" style="92" customWidth="1"/>
    <col min="2306" max="2306" width="16" style="92" customWidth="1"/>
    <col min="2307" max="2307" width="6.5703125" style="92" customWidth="1"/>
    <col min="2308" max="2308" width="16.42578125" style="92" customWidth="1"/>
    <col min="2309" max="2309" width="17.5703125" style="92" bestFit="1" customWidth="1"/>
    <col min="2310" max="2310" width="15.85546875" style="92" customWidth="1"/>
    <col min="2311" max="2311" width="2.85546875" style="92" customWidth="1"/>
    <col min="2312" max="2312" width="26.42578125" style="92" customWidth="1"/>
    <col min="2313" max="2313" width="14.5703125" style="92" customWidth="1"/>
    <col min="2314" max="2326" width="12.5703125" style="92" customWidth="1"/>
    <col min="2327" max="2328" width="8.7109375" style="92"/>
    <col min="2329" max="2329" width="13" style="92" customWidth="1"/>
    <col min="2330" max="2330" width="16.7109375" style="92" bestFit="1" customWidth="1"/>
    <col min="2331" max="2331" width="8.7109375" style="92"/>
    <col min="2332" max="2332" width="42.140625" style="92" customWidth="1"/>
    <col min="2333" max="2559" width="8.7109375" style="92"/>
    <col min="2560" max="2560" width="15.42578125" style="92" customWidth="1"/>
    <col min="2561" max="2561" width="30.85546875" style="92" customWidth="1"/>
    <col min="2562" max="2562" width="16" style="92" customWidth="1"/>
    <col min="2563" max="2563" width="6.5703125" style="92" customWidth="1"/>
    <col min="2564" max="2564" width="16.42578125" style="92" customWidth="1"/>
    <col min="2565" max="2565" width="17.5703125" style="92" bestFit="1" customWidth="1"/>
    <col min="2566" max="2566" width="15.85546875" style="92" customWidth="1"/>
    <col min="2567" max="2567" width="2.85546875" style="92" customWidth="1"/>
    <col min="2568" max="2568" width="26.42578125" style="92" customWidth="1"/>
    <col min="2569" max="2569" width="14.5703125" style="92" customWidth="1"/>
    <col min="2570" max="2582" width="12.5703125" style="92" customWidth="1"/>
    <col min="2583" max="2584" width="8.7109375" style="92"/>
    <col min="2585" max="2585" width="13" style="92" customWidth="1"/>
    <col min="2586" max="2586" width="16.7109375" style="92" bestFit="1" customWidth="1"/>
    <col min="2587" max="2587" width="8.7109375" style="92"/>
    <col min="2588" max="2588" width="42.140625" style="92" customWidth="1"/>
    <col min="2589" max="2815" width="8.7109375" style="92"/>
    <col min="2816" max="2816" width="15.42578125" style="92" customWidth="1"/>
    <col min="2817" max="2817" width="30.85546875" style="92" customWidth="1"/>
    <col min="2818" max="2818" width="16" style="92" customWidth="1"/>
    <col min="2819" max="2819" width="6.5703125" style="92" customWidth="1"/>
    <col min="2820" max="2820" width="16.42578125" style="92" customWidth="1"/>
    <col min="2821" max="2821" width="17.5703125" style="92" bestFit="1" customWidth="1"/>
    <col min="2822" max="2822" width="15.85546875" style="92" customWidth="1"/>
    <col min="2823" max="2823" width="2.85546875" style="92" customWidth="1"/>
    <col min="2824" max="2824" width="26.42578125" style="92" customWidth="1"/>
    <col min="2825" max="2825" width="14.5703125" style="92" customWidth="1"/>
    <col min="2826" max="2838" width="12.5703125" style="92" customWidth="1"/>
    <col min="2839" max="2840" width="8.7109375" style="92"/>
    <col min="2841" max="2841" width="13" style="92" customWidth="1"/>
    <col min="2842" max="2842" width="16.7109375" style="92" bestFit="1" customWidth="1"/>
    <col min="2843" max="2843" width="8.7109375" style="92"/>
    <col min="2844" max="2844" width="42.140625" style="92" customWidth="1"/>
    <col min="2845" max="3071" width="8.7109375" style="92"/>
    <col min="3072" max="3072" width="15.42578125" style="92" customWidth="1"/>
    <col min="3073" max="3073" width="30.85546875" style="92" customWidth="1"/>
    <col min="3074" max="3074" width="16" style="92" customWidth="1"/>
    <col min="3075" max="3075" width="6.5703125" style="92" customWidth="1"/>
    <col min="3076" max="3076" width="16.42578125" style="92" customWidth="1"/>
    <col min="3077" max="3077" width="17.5703125" style="92" bestFit="1" customWidth="1"/>
    <col min="3078" max="3078" width="15.85546875" style="92" customWidth="1"/>
    <col min="3079" max="3079" width="2.85546875" style="92" customWidth="1"/>
    <col min="3080" max="3080" width="26.42578125" style="92" customWidth="1"/>
    <col min="3081" max="3081" width="14.5703125" style="92" customWidth="1"/>
    <col min="3082" max="3094" width="12.5703125" style="92" customWidth="1"/>
    <col min="3095" max="3096" width="8.7109375" style="92"/>
    <col min="3097" max="3097" width="13" style="92" customWidth="1"/>
    <col min="3098" max="3098" width="16.7109375" style="92" bestFit="1" customWidth="1"/>
    <col min="3099" max="3099" width="8.7109375" style="92"/>
    <col min="3100" max="3100" width="42.140625" style="92" customWidth="1"/>
    <col min="3101" max="3327" width="8.7109375" style="92"/>
    <col min="3328" max="3328" width="15.42578125" style="92" customWidth="1"/>
    <col min="3329" max="3329" width="30.85546875" style="92" customWidth="1"/>
    <col min="3330" max="3330" width="16" style="92" customWidth="1"/>
    <col min="3331" max="3331" width="6.5703125" style="92" customWidth="1"/>
    <col min="3332" max="3332" width="16.42578125" style="92" customWidth="1"/>
    <col min="3333" max="3333" width="17.5703125" style="92" bestFit="1" customWidth="1"/>
    <col min="3334" max="3334" width="15.85546875" style="92" customWidth="1"/>
    <col min="3335" max="3335" width="2.85546875" style="92" customWidth="1"/>
    <col min="3336" max="3336" width="26.42578125" style="92" customWidth="1"/>
    <col min="3337" max="3337" width="14.5703125" style="92" customWidth="1"/>
    <col min="3338" max="3350" width="12.5703125" style="92" customWidth="1"/>
    <col min="3351" max="3352" width="8.7109375" style="92"/>
    <col min="3353" max="3353" width="13" style="92" customWidth="1"/>
    <col min="3354" max="3354" width="16.7109375" style="92" bestFit="1" customWidth="1"/>
    <col min="3355" max="3355" width="8.7109375" style="92"/>
    <col min="3356" max="3356" width="42.140625" style="92" customWidth="1"/>
    <col min="3357" max="3583" width="8.7109375" style="92"/>
    <col min="3584" max="3584" width="15.42578125" style="92" customWidth="1"/>
    <col min="3585" max="3585" width="30.85546875" style="92" customWidth="1"/>
    <col min="3586" max="3586" width="16" style="92" customWidth="1"/>
    <col min="3587" max="3587" width="6.5703125" style="92" customWidth="1"/>
    <col min="3588" max="3588" width="16.42578125" style="92" customWidth="1"/>
    <col min="3589" max="3589" width="17.5703125" style="92" bestFit="1" customWidth="1"/>
    <col min="3590" max="3590" width="15.85546875" style="92" customWidth="1"/>
    <col min="3591" max="3591" width="2.85546875" style="92" customWidth="1"/>
    <col min="3592" max="3592" width="26.42578125" style="92" customWidth="1"/>
    <col min="3593" max="3593" width="14.5703125" style="92" customWidth="1"/>
    <col min="3594" max="3606" width="12.5703125" style="92" customWidth="1"/>
    <col min="3607" max="3608" width="8.7109375" style="92"/>
    <col min="3609" max="3609" width="13" style="92" customWidth="1"/>
    <col min="3610" max="3610" width="16.7109375" style="92" bestFit="1" customWidth="1"/>
    <col min="3611" max="3611" width="8.7109375" style="92"/>
    <col min="3612" max="3612" width="42.140625" style="92" customWidth="1"/>
    <col min="3613" max="3839" width="8.7109375" style="92"/>
    <col min="3840" max="3840" width="15.42578125" style="92" customWidth="1"/>
    <col min="3841" max="3841" width="30.85546875" style="92" customWidth="1"/>
    <col min="3842" max="3842" width="16" style="92" customWidth="1"/>
    <col min="3843" max="3843" width="6.5703125" style="92" customWidth="1"/>
    <col min="3844" max="3844" width="16.42578125" style="92" customWidth="1"/>
    <col min="3845" max="3845" width="17.5703125" style="92" bestFit="1" customWidth="1"/>
    <col min="3846" max="3846" width="15.85546875" style="92" customWidth="1"/>
    <col min="3847" max="3847" width="2.85546875" style="92" customWidth="1"/>
    <col min="3848" max="3848" width="26.42578125" style="92" customWidth="1"/>
    <col min="3849" max="3849" width="14.5703125" style="92" customWidth="1"/>
    <col min="3850" max="3862" width="12.5703125" style="92" customWidth="1"/>
    <col min="3863" max="3864" width="8.7109375" style="92"/>
    <col min="3865" max="3865" width="13" style="92" customWidth="1"/>
    <col min="3866" max="3866" width="16.7109375" style="92" bestFit="1" customWidth="1"/>
    <col min="3867" max="3867" width="8.7109375" style="92"/>
    <col min="3868" max="3868" width="42.140625" style="92" customWidth="1"/>
    <col min="3869" max="4095" width="8.7109375" style="92"/>
    <col min="4096" max="4096" width="15.42578125" style="92" customWidth="1"/>
    <col min="4097" max="4097" width="30.85546875" style="92" customWidth="1"/>
    <col min="4098" max="4098" width="16" style="92" customWidth="1"/>
    <col min="4099" max="4099" width="6.5703125" style="92" customWidth="1"/>
    <col min="4100" max="4100" width="16.42578125" style="92" customWidth="1"/>
    <col min="4101" max="4101" width="17.5703125" style="92" bestFit="1" customWidth="1"/>
    <col min="4102" max="4102" width="15.85546875" style="92" customWidth="1"/>
    <col min="4103" max="4103" width="2.85546875" style="92" customWidth="1"/>
    <col min="4104" max="4104" width="26.42578125" style="92" customWidth="1"/>
    <col min="4105" max="4105" width="14.5703125" style="92" customWidth="1"/>
    <col min="4106" max="4118" width="12.5703125" style="92" customWidth="1"/>
    <col min="4119" max="4120" width="8.7109375" style="92"/>
    <col min="4121" max="4121" width="13" style="92" customWidth="1"/>
    <col min="4122" max="4122" width="16.7109375" style="92" bestFit="1" customWidth="1"/>
    <col min="4123" max="4123" width="8.7109375" style="92"/>
    <col min="4124" max="4124" width="42.140625" style="92" customWidth="1"/>
    <col min="4125" max="4351" width="8.7109375" style="92"/>
    <col min="4352" max="4352" width="15.42578125" style="92" customWidth="1"/>
    <col min="4353" max="4353" width="30.85546875" style="92" customWidth="1"/>
    <col min="4354" max="4354" width="16" style="92" customWidth="1"/>
    <col min="4355" max="4355" width="6.5703125" style="92" customWidth="1"/>
    <col min="4356" max="4356" width="16.42578125" style="92" customWidth="1"/>
    <col min="4357" max="4357" width="17.5703125" style="92" bestFit="1" customWidth="1"/>
    <col min="4358" max="4358" width="15.85546875" style="92" customWidth="1"/>
    <col min="4359" max="4359" width="2.85546875" style="92" customWidth="1"/>
    <col min="4360" max="4360" width="26.42578125" style="92" customWidth="1"/>
    <col min="4361" max="4361" width="14.5703125" style="92" customWidth="1"/>
    <col min="4362" max="4374" width="12.5703125" style="92" customWidth="1"/>
    <col min="4375" max="4376" width="8.7109375" style="92"/>
    <col min="4377" max="4377" width="13" style="92" customWidth="1"/>
    <col min="4378" max="4378" width="16.7109375" style="92" bestFit="1" customWidth="1"/>
    <col min="4379" max="4379" width="8.7109375" style="92"/>
    <col min="4380" max="4380" width="42.140625" style="92" customWidth="1"/>
    <col min="4381" max="4607" width="8.7109375" style="92"/>
    <col min="4608" max="4608" width="15.42578125" style="92" customWidth="1"/>
    <col min="4609" max="4609" width="30.85546875" style="92" customWidth="1"/>
    <col min="4610" max="4610" width="16" style="92" customWidth="1"/>
    <col min="4611" max="4611" width="6.5703125" style="92" customWidth="1"/>
    <col min="4612" max="4612" width="16.42578125" style="92" customWidth="1"/>
    <col min="4613" max="4613" width="17.5703125" style="92" bestFit="1" customWidth="1"/>
    <col min="4614" max="4614" width="15.85546875" style="92" customWidth="1"/>
    <col min="4615" max="4615" width="2.85546875" style="92" customWidth="1"/>
    <col min="4616" max="4616" width="26.42578125" style="92" customWidth="1"/>
    <col min="4617" max="4617" width="14.5703125" style="92" customWidth="1"/>
    <col min="4618" max="4630" width="12.5703125" style="92" customWidth="1"/>
    <col min="4631" max="4632" width="8.7109375" style="92"/>
    <col min="4633" max="4633" width="13" style="92" customWidth="1"/>
    <col min="4634" max="4634" width="16.7109375" style="92" bestFit="1" customWidth="1"/>
    <col min="4635" max="4635" width="8.7109375" style="92"/>
    <col min="4636" max="4636" width="42.140625" style="92" customWidth="1"/>
    <col min="4637" max="4863" width="8.7109375" style="92"/>
    <col min="4864" max="4864" width="15.42578125" style="92" customWidth="1"/>
    <col min="4865" max="4865" width="30.85546875" style="92" customWidth="1"/>
    <col min="4866" max="4866" width="16" style="92" customWidth="1"/>
    <col min="4867" max="4867" width="6.5703125" style="92" customWidth="1"/>
    <col min="4868" max="4868" width="16.42578125" style="92" customWidth="1"/>
    <col min="4869" max="4869" width="17.5703125" style="92" bestFit="1" customWidth="1"/>
    <col min="4870" max="4870" width="15.85546875" style="92" customWidth="1"/>
    <col min="4871" max="4871" width="2.85546875" style="92" customWidth="1"/>
    <col min="4872" max="4872" width="26.42578125" style="92" customWidth="1"/>
    <col min="4873" max="4873" width="14.5703125" style="92" customWidth="1"/>
    <col min="4874" max="4886" width="12.5703125" style="92" customWidth="1"/>
    <col min="4887" max="4888" width="8.7109375" style="92"/>
    <col min="4889" max="4889" width="13" style="92" customWidth="1"/>
    <col min="4890" max="4890" width="16.7109375" style="92" bestFit="1" customWidth="1"/>
    <col min="4891" max="4891" width="8.7109375" style="92"/>
    <col min="4892" max="4892" width="42.140625" style="92" customWidth="1"/>
    <col min="4893" max="5119" width="8.7109375" style="92"/>
    <col min="5120" max="5120" width="15.42578125" style="92" customWidth="1"/>
    <col min="5121" max="5121" width="30.85546875" style="92" customWidth="1"/>
    <col min="5122" max="5122" width="16" style="92" customWidth="1"/>
    <col min="5123" max="5123" width="6.5703125" style="92" customWidth="1"/>
    <col min="5124" max="5124" width="16.42578125" style="92" customWidth="1"/>
    <col min="5125" max="5125" width="17.5703125" style="92" bestFit="1" customWidth="1"/>
    <col min="5126" max="5126" width="15.85546875" style="92" customWidth="1"/>
    <col min="5127" max="5127" width="2.85546875" style="92" customWidth="1"/>
    <col min="5128" max="5128" width="26.42578125" style="92" customWidth="1"/>
    <col min="5129" max="5129" width="14.5703125" style="92" customWidth="1"/>
    <col min="5130" max="5142" width="12.5703125" style="92" customWidth="1"/>
    <col min="5143" max="5144" width="8.7109375" style="92"/>
    <col min="5145" max="5145" width="13" style="92" customWidth="1"/>
    <col min="5146" max="5146" width="16.7109375" style="92" bestFit="1" customWidth="1"/>
    <col min="5147" max="5147" width="8.7109375" style="92"/>
    <col min="5148" max="5148" width="42.140625" style="92" customWidth="1"/>
    <col min="5149" max="5375" width="8.7109375" style="92"/>
    <col min="5376" max="5376" width="15.42578125" style="92" customWidth="1"/>
    <col min="5377" max="5377" width="30.85546875" style="92" customWidth="1"/>
    <col min="5378" max="5378" width="16" style="92" customWidth="1"/>
    <col min="5379" max="5379" width="6.5703125" style="92" customWidth="1"/>
    <col min="5380" max="5380" width="16.42578125" style="92" customWidth="1"/>
    <col min="5381" max="5381" width="17.5703125" style="92" bestFit="1" customWidth="1"/>
    <col min="5382" max="5382" width="15.85546875" style="92" customWidth="1"/>
    <col min="5383" max="5383" width="2.85546875" style="92" customWidth="1"/>
    <col min="5384" max="5384" width="26.42578125" style="92" customWidth="1"/>
    <col min="5385" max="5385" width="14.5703125" style="92" customWidth="1"/>
    <col min="5386" max="5398" width="12.5703125" style="92" customWidth="1"/>
    <col min="5399" max="5400" width="8.7109375" style="92"/>
    <col min="5401" max="5401" width="13" style="92" customWidth="1"/>
    <col min="5402" max="5402" width="16.7109375" style="92" bestFit="1" customWidth="1"/>
    <col min="5403" max="5403" width="8.7109375" style="92"/>
    <col min="5404" max="5404" width="42.140625" style="92" customWidth="1"/>
    <col min="5405" max="5631" width="8.7109375" style="92"/>
    <col min="5632" max="5632" width="15.42578125" style="92" customWidth="1"/>
    <col min="5633" max="5633" width="30.85546875" style="92" customWidth="1"/>
    <col min="5634" max="5634" width="16" style="92" customWidth="1"/>
    <col min="5635" max="5635" width="6.5703125" style="92" customWidth="1"/>
    <col min="5636" max="5636" width="16.42578125" style="92" customWidth="1"/>
    <col min="5637" max="5637" width="17.5703125" style="92" bestFit="1" customWidth="1"/>
    <col min="5638" max="5638" width="15.85546875" style="92" customWidth="1"/>
    <col min="5639" max="5639" width="2.85546875" style="92" customWidth="1"/>
    <col min="5640" max="5640" width="26.42578125" style="92" customWidth="1"/>
    <col min="5641" max="5641" width="14.5703125" style="92" customWidth="1"/>
    <col min="5642" max="5654" width="12.5703125" style="92" customWidth="1"/>
    <col min="5655" max="5656" width="8.7109375" style="92"/>
    <col min="5657" max="5657" width="13" style="92" customWidth="1"/>
    <col min="5658" max="5658" width="16.7109375" style="92" bestFit="1" customWidth="1"/>
    <col min="5659" max="5659" width="8.7109375" style="92"/>
    <col min="5660" max="5660" width="42.140625" style="92" customWidth="1"/>
    <col min="5661" max="5887" width="8.7109375" style="92"/>
    <col min="5888" max="5888" width="15.42578125" style="92" customWidth="1"/>
    <col min="5889" max="5889" width="30.85546875" style="92" customWidth="1"/>
    <col min="5890" max="5890" width="16" style="92" customWidth="1"/>
    <col min="5891" max="5891" width="6.5703125" style="92" customWidth="1"/>
    <col min="5892" max="5892" width="16.42578125" style="92" customWidth="1"/>
    <col min="5893" max="5893" width="17.5703125" style="92" bestFit="1" customWidth="1"/>
    <col min="5894" max="5894" width="15.85546875" style="92" customWidth="1"/>
    <col min="5895" max="5895" width="2.85546875" style="92" customWidth="1"/>
    <col min="5896" max="5896" width="26.42578125" style="92" customWidth="1"/>
    <col min="5897" max="5897" width="14.5703125" style="92" customWidth="1"/>
    <col min="5898" max="5910" width="12.5703125" style="92" customWidth="1"/>
    <col min="5911" max="5912" width="8.7109375" style="92"/>
    <col min="5913" max="5913" width="13" style="92" customWidth="1"/>
    <col min="5914" max="5914" width="16.7109375" style="92" bestFit="1" customWidth="1"/>
    <col min="5915" max="5915" width="8.7109375" style="92"/>
    <col min="5916" max="5916" width="42.140625" style="92" customWidth="1"/>
    <col min="5917" max="6143" width="8.7109375" style="92"/>
    <col min="6144" max="6144" width="15.42578125" style="92" customWidth="1"/>
    <col min="6145" max="6145" width="30.85546875" style="92" customWidth="1"/>
    <col min="6146" max="6146" width="16" style="92" customWidth="1"/>
    <col min="6147" max="6147" width="6.5703125" style="92" customWidth="1"/>
    <col min="6148" max="6148" width="16.42578125" style="92" customWidth="1"/>
    <col min="6149" max="6149" width="17.5703125" style="92" bestFit="1" customWidth="1"/>
    <col min="6150" max="6150" width="15.85546875" style="92" customWidth="1"/>
    <col min="6151" max="6151" width="2.85546875" style="92" customWidth="1"/>
    <col min="6152" max="6152" width="26.42578125" style="92" customWidth="1"/>
    <col min="6153" max="6153" width="14.5703125" style="92" customWidth="1"/>
    <col min="6154" max="6166" width="12.5703125" style="92" customWidth="1"/>
    <col min="6167" max="6168" width="8.7109375" style="92"/>
    <col min="6169" max="6169" width="13" style="92" customWidth="1"/>
    <col min="6170" max="6170" width="16.7109375" style="92" bestFit="1" customWidth="1"/>
    <col min="6171" max="6171" width="8.7109375" style="92"/>
    <col min="6172" max="6172" width="42.140625" style="92" customWidth="1"/>
    <col min="6173" max="6399" width="8.7109375" style="92"/>
    <col min="6400" max="6400" width="15.42578125" style="92" customWidth="1"/>
    <col min="6401" max="6401" width="30.85546875" style="92" customWidth="1"/>
    <col min="6402" max="6402" width="16" style="92" customWidth="1"/>
    <col min="6403" max="6403" width="6.5703125" style="92" customWidth="1"/>
    <col min="6404" max="6404" width="16.42578125" style="92" customWidth="1"/>
    <col min="6405" max="6405" width="17.5703125" style="92" bestFit="1" customWidth="1"/>
    <col min="6406" max="6406" width="15.85546875" style="92" customWidth="1"/>
    <col min="6407" max="6407" width="2.85546875" style="92" customWidth="1"/>
    <col min="6408" max="6408" width="26.42578125" style="92" customWidth="1"/>
    <col min="6409" max="6409" width="14.5703125" style="92" customWidth="1"/>
    <col min="6410" max="6422" width="12.5703125" style="92" customWidth="1"/>
    <col min="6423" max="6424" width="8.7109375" style="92"/>
    <col min="6425" max="6425" width="13" style="92" customWidth="1"/>
    <col min="6426" max="6426" width="16.7109375" style="92" bestFit="1" customWidth="1"/>
    <col min="6427" max="6427" width="8.7109375" style="92"/>
    <col min="6428" max="6428" width="42.140625" style="92" customWidth="1"/>
    <col min="6429" max="6655" width="8.7109375" style="92"/>
    <col min="6656" max="6656" width="15.42578125" style="92" customWidth="1"/>
    <col min="6657" max="6657" width="30.85546875" style="92" customWidth="1"/>
    <col min="6658" max="6658" width="16" style="92" customWidth="1"/>
    <col min="6659" max="6659" width="6.5703125" style="92" customWidth="1"/>
    <col min="6660" max="6660" width="16.42578125" style="92" customWidth="1"/>
    <col min="6661" max="6661" width="17.5703125" style="92" bestFit="1" customWidth="1"/>
    <col min="6662" max="6662" width="15.85546875" style="92" customWidth="1"/>
    <col min="6663" max="6663" width="2.85546875" style="92" customWidth="1"/>
    <col min="6664" max="6664" width="26.42578125" style="92" customWidth="1"/>
    <col min="6665" max="6665" width="14.5703125" style="92" customWidth="1"/>
    <col min="6666" max="6678" width="12.5703125" style="92" customWidth="1"/>
    <col min="6679" max="6680" width="8.7109375" style="92"/>
    <col min="6681" max="6681" width="13" style="92" customWidth="1"/>
    <col min="6682" max="6682" width="16.7109375" style="92" bestFit="1" customWidth="1"/>
    <col min="6683" max="6683" width="8.7109375" style="92"/>
    <col min="6684" max="6684" width="42.140625" style="92" customWidth="1"/>
    <col min="6685" max="6911" width="8.7109375" style="92"/>
    <col min="6912" max="6912" width="15.42578125" style="92" customWidth="1"/>
    <col min="6913" max="6913" width="30.85546875" style="92" customWidth="1"/>
    <col min="6914" max="6914" width="16" style="92" customWidth="1"/>
    <col min="6915" max="6915" width="6.5703125" style="92" customWidth="1"/>
    <col min="6916" max="6916" width="16.42578125" style="92" customWidth="1"/>
    <col min="6917" max="6917" width="17.5703125" style="92" bestFit="1" customWidth="1"/>
    <col min="6918" max="6918" width="15.85546875" style="92" customWidth="1"/>
    <col min="6919" max="6919" width="2.85546875" style="92" customWidth="1"/>
    <col min="6920" max="6920" width="26.42578125" style="92" customWidth="1"/>
    <col min="6921" max="6921" width="14.5703125" style="92" customWidth="1"/>
    <col min="6922" max="6934" width="12.5703125" style="92" customWidth="1"/>
    <col min="6935" max="6936" width="8.7109375" style="92"/>
    <col min="6937" max="6937" width="13" style="92" customWidth="1"/>
    <col min="6938" max="6938" width="16.7109375" style="92" bestFit="1" customWidth="1"/>
    <col min="6939" max="6939" width="8.7109375" style="92"/>
    <col min="6940" max="6940" width="42.140625" style="92" customWidth="1"/>
    <col min="6941" max="7167" width="8.7109375" style="92"/>
    <col min="7168" max="7168" width="15.42578125" style="92" customWidth="1"/>
    <col min="7169" max="7169" width="30.85546875" style="92" customWidth="1"/>
    <col min="7170" max="7170" width="16" style="92" customWidth="1"/>
    <col min="7171" max="7171" width="6.5703125" style="92" customWidth="1"/>
    <col min="7172" max="7172" width="16.42578125" style="92" customWidth="1"/>
    <col min="7173" max="7173" width="17.5703125" style="92" bestFit="1" customWidth="1"/>
    <col min="7174" max="7174" width="15.85546875" style="92" customWidth="1"/>
    <col min="7175" max="7175" width="2.85546875" style="92" customWidth="1"/>
    <col min="7176" max="7176" width="26.42578125" style="92" customWidth="1"/>
    <col min="7177" max="7177" width="14.5703125" style="92" customWidth="1"/>
    <col min="7178" max="7190" width="12.5703125" style="92" customWidth="1"/>
    <col min="7191" max="7192" width="8.7109375" style="92"/>
    <col min="7193" max="7193" width="13" style="92" customWidth="1"/>
    <col min="7194" max="7194" width="16.7109375" style="92" bestFit="1" customWidth="1"/>
    <col min="7195" max="7195" width="8.7109375" style="92"/>
    <col min="7196" max="7196" width="42.140625" style="92" customWidth="1"/>
    <col min="7197" max="7423" width="8.7109375" style="92"/>
    <col min="7424" max="7424" width="15.42578125" style="92" customWidth="1"/>
    <col min="7425" max="7425" width="30.85546875" style="92" customWidth="1"/>
    <col min="7426" max="7426" width="16" style="92" customWidth="1"/>
    <col min="7427" max="7427" width="6.5703125" style="92" customWidth="1"/>
    <col min="7428" max="7428" width="16.42578125" style="92" customWidth="1"/>
    <col min="7429" max="7429" width="17.5703125" style="92" bestFit="1" customWidth="1"/>
    <col min="7430" max="7430" width="15.85546875" style="92" customWidth="1"/>
    <col min="7431" max="7431" width="2.85546875" style="92" customWidth="1"/>
    <col min="7432" max="7432" width="26.42578125" style="92" customWidth="1"/>
    <col min="7433" max="7433" width="14.5703125" style="92" customWidth="1"/>
    <col min="7434" max="7446" width="12.5703125" style="92" customWidth="1"/>
    <col min="7447" max="7448" width="8.7109375" style="92"/>
    <col min="7449" max="7449" width="13" style="92" customWidth="1"/>
    <col min="7450" max="7450" width="16.7109375" style="92" bestFit="1" customWidth="1"/>
    <col min="7451" max="7451" width="8.7109375" style="92"/>
    <col min="7452" max="7452" width="42.140625" style="92" customWidth="1"/>
    <col min="7453" max="7679" width="8.7109375" style="92"/>
    <col min="7680" max="7680" width="15.42578125" style="92" customWidth="1"/>
    <col min="7681" max="7681" width="30.85546875" style="92" customWidth="1"/>
    <col min="7682" max="7682" width="16" style="92" customWidth="1"/>
    <col min="7683" max="7683" width="6.5703125" style="92" customWidth="1"/>
    <col min="7684" max="7684" width="16.42578125" style="92" customWidth="1"/>
    <col min="7685" max="7685" width="17.5703125" style="92" bestFit="1" customWidth="1"/>
    <col min="7686" max="7686" width="15.85546875" style="92" customWidth="1"/>
    <col min="7687" max="7687" width="2.85546875" style="92" customWidth="1"/>
    <col min="7688" max="7688" width="26.42578125" style="92" customWidth="1"/>
    <col min="7689" max="7689" width="14.5703125" style="92" customWidth="1"/>
    <col min="7690" max="7702" width="12.5703125" style="92" customWidth="1"/>
    <col min="7703" max="7704" width="8.7109375" style="92"/>
    <col min="7705" max="7705" width="13" style="92" customWidth="1"/>
    <col min="7706" max="7706" width="16.7109375" style="92" bestFit="1" customWidth="1"/>
    <col min="7707" max="7707" width="8.7109375" style="92"/>
    <col min="7708" max="7708" width="42.140625" style="92" customWidth="1"/>
    <col min="7709" max="7935" width="8.7109375" style="92"/>
    <col min="7936" max="7936" width="15.42578125" style="92" customWidth="1"/>
    <col min="7937" max="7937" width="30.85546875" style="92" customWidth="1"/>
    <col min="7938" max="7938" width="16" style="92" customWidth="1"/>
    <col min="7939" max="7939" width="6.5703125" style="92" customWidth="1"/>
    <col min="7940" max="7940" width="16.42578125" style="92" customWidth="1"/>
    <col min="7941" max="7941" width="17.5703125" style="92" bestFit="1" customWidth="1"/>
    <col min="7942" max="7942" width="15.85546875" style="92" customWidth="1"/>
    <col min="7943" max="7943" width="2.85546875" style="92" customWidth="1"/>
    <col min="7944" max="7944" width="26.42578125" style="92" customWidth="1"/>
    <col min="7945" max="7945" width="14.5703125" style="92" customWidth="1"/>
    <col min="7946" max="7958" width="12.5703125" style="92" customWidth="1"/>
    <col min="7959" max="7960" width="8.7109375" style="92"/>
    <col min="7961" max="7961" width="13" style="92" customWidth="1"/>
    <col min="7962" max="7962" width="16.7109375" style="92" bestFit="1" customWidth="1"/>
    <col min="7963" max="7963" width="8.7109375" style="92"/>
    <col min="7964" max="7964" width="42.140625" style="92" customWidth="1"/>
    <col min="7965" max="8191" width="8.7109375" style="92"/>
    <col min="8192" max="8192" width="15.42578125" style="92" customWidth="1"/>
    <col min="8193" max="8193" width="30.85546875" style="92" customWidth="1"/>
    <col min="8194" max="8194" width="16" style="92" customWidth="1"/>
    <col min="8195" max="8195" width="6.5703125" style="92" customWidth="1"/>
    <col min="8196" max="8196" width="16.42578125" style="92" customWidth="1"/>
    <col min="8197" max="8197" width="17.5703125" style="92" bestFit="1" customWidth="1"/>
    <col min="8198" max="8198" width="15.85546875" style="92" customWidth="1"/>
    <col min="8199" max="8199" width="2.85546875" style="92" customWidth="1"/>
    <col min="8200" max="8200" width="26.42578125" style="92" customWidth="1"/>
    <col min="8201" max="8201" width="14.5703125" style="92" customWidth="1"/>
    <col min="8202" max="8214" width="12.5703125" style="92" customWidth="1"/>
    <col min="8215" max="8216" width="8.7109375" style="92"/>
    <col min="8217" max="8217" width="13" style="92" customWidth="1"/>
    <col min="8218" max="8218" width="16.7109375" style="92" bestFit="1" customWidth="1"/>
    <col min="8219" max="8219" width="8.7109375" style="92"/>
    <col min="8220" max="8220" width="42.140625" style="92" customWidth="1"/>
    <col min="8221" max="8447" width="8.7109375" style="92"/>
    <col min="8448" max="8448" width="15.42578125" style="92" customWidth="1"/>
    <col min="8449" max="8449" width="30.85546875" style="92" customWidth="1"/>
    <col min="8450" max="8450" width="16" style="92" customWidth="1"/>
    <col min="8451" max="8451" width="6.5703125" style="92" customWidth="1"/>
    <col min="8452" max="8452" width="16.42578125" style="92" customWidth="1"/>
    <col min="8453" max="8453" width="17.5703125" style="92" bestFit="1" customWidth="1"/>
    <col min="8454" max="8454" width="15.85546875" style="92" customWidth="1"/>
    <col min="8455" max="8455" width="2.85546875" style="92" customWidth="1"/>
    <col min="8456" max="8456" width="26.42578125" style="92" customWidth="1"/>
    <col min="8457" max="8457" width="14.5703125" style="92" customWidth="1"/>
    <col min="8458" max="8470" width="12.5703125" style="92" customWidth="1"/>
    <col min="8471" max="8472" width="8.7109375" style="92"/>
    <col min="8473" max="8473" width="13" style="92" customWidth="1"/>
    <col min="8474" max="8474" width="16.7109375" style="92" bestFit="1" customWidth="1"/>
    <col min="8475" max="8475" width="8.7109375" style="92"/>
    <col min="8476" max="8476" width="42.140625" style="92" customWidth="1"/>
    <col min="8477" max="8703" width="8.7109375" style="92"/>
    <col min="8704" max="8704" width="15.42578125" style="92" customWidth="1"/>
    <col min="8705" max="8705" width="30.85546875" style="92" customWidth="1"/>
    <col min="8706" max="8706" width="16" style="92" customWidth="1"/>
    <col min="8707" max="8707" width="6.5703125" style="92" customWidth="1"/>
    <col min="8708" max="8708" width="16.42578125" style="92" customWidth="1"/>
    <col min="8709" max="8709" width="17.5703125" style="92" bestFit="1" customWidth="1"/>
    <col min="8710" max="8710" width="15.85546875" style="92" customWidth="1"/>
    <col min="8711" max="8711" width="2.85546875" style="92" customWidth="1"/>
    <col min="8712" max="8712" width="26.42578125" style="92" customWidth="1"/>
    <col min="8713" max="8713" width="14.5703125" style="92" customWidth="1"/>
    <col min="8714" max="8726" width="12.5703125" style="92" customWidth="1"/>
    <col min="8727" max="8728" width="8.7109375" style="92"/>
    <col min="8729" max="8729" width="13" style="92" customWidth="1"/>
    <col min="8730" max="8730" width="16.7109375" style="92" bestFit="1" customWidth="1"/>
    <col min="8731" max="8731" width="8.7109375" style="92"/>
    <col min="8732" max="8732" width="42.140625" style="92" customWidth="1"/>
    <col min="8733" max="8959" width="8.7109375" style="92"/>
    <col min="8960" max="8960" width="15.42578125" style="92" customWidth="1"/>
    <col min="8961" max="8961" width="30.85546875" style="92" customWidth="1"/>
    <col min="8962" max="8962" width="16" style="92" customWidth="1"/>
    <col min="8963" max="8963" width="6.5703125" style="92" customWidth="1"/>
    <col min="8964" max="8964" width="16.42578125" style="92" customWidth="1"/>
    <col min="8965" max="8965" width="17.5703125" style="92" bestFit="1" customWidth="1"/>
    <col min="8966" max="8966" width="15.85546875" style="92" customWidth="1"/>
    <col min="8967" max="8967" width="2.85546875" style="92" customWidth="1"/>
    <col min="8968" max="8968" width="26.42578125" style="92" customWidth="1"/>
    <col min="8969" max="8969" width="14.5703125" style="92" customWidth="1"/>
    <col min="8970" max="8982" width="12.5703125" style="92" customWidth="1"/>
    <col min="8983" max="8984" width="8.7109375" style="92"/>
    <col min="8985" max="8985" width="13" style="92" customWidth="1"/>
    <col min="8986" max="8986" width="16.7109375" style="92" bestFit="1" customWidth="1"/>
    <col min="8987" max="8987" width="8.7109375" style="92"/>
    <col min="8988" max="8988" width="42.140625" style="92" customWidth="1"/>
    <col min="8989" max="9215" width="8.7109375" style="92"/>
    <col min="9216" max="9216" width="15.42578125" style="92" customWidth="1"/>
    <col min="9217" max="9217" width="30.85546875" style="92" customWidth="1"/>
    <col min="9218" max="9218" width="16" style="92" customWidth="1"/>
    <col min="9219" max="9219" width="6.5703125" style="92" customWidth="1"/>
    <col min="9220" max="9220" width="16.42578125" style="92" customWidth="1"/>
    <col min="9221" max="9221" width="17.5703125" style="92" bestFit="1" customWidth="1"/>
    <col min="9222" max="9222" width="15.85546875" style="92" customWidth="1"/>
    <col min="9223" max="9223" width="2.85546875" style="92" customWidth="1"/>
    <col min="9224" max="9224" width="26.42578125" style="92" customWidth="1"/>
    <col min="9225" max="9225" width="14.5703125" style="92" customWidth="1"/>
    <col min="9226" max="9238" width="12.5703125" style="92" customWidth="1"/>
    <col min="9239" max="9240" width="8.7109375" style="92"/>
    <col min="9241" max="9241" width="13" style="92" customWidth="1"/>
    <col min="9242" max="9242" width="16.7109375" style="92" bestFit="1" customWidth="1"/>
    <col min="9243" max="9243" width="8.7109375" style="92"/>
    <col min="9244" max="9244" width="42.140625" style="92" customWidth="1"/>
    <col min="9245" max="9471" width="8.7109375" style="92"/>
    <col min="9472" max="9472" width="15.42578125" style="92" customWidth="1"/>
    <col min="9473" max="9473" width="30.85546875" style="92" customWidth="1"/>
    <col min="9474" max="9474" width="16" style="92" customWidth="1"/>
    <col min="9475" max="9475" width="6.5703125" style="92" customWidth="1"/>
    <col min="9476" max="9476" width="16.42578125" style="92" customWidth="1"/>
    <col min="9477" max="9477" width="17.5703125" style="92" bestFit="1" customWidth="1"/>
    <col min="9478" max="9478" width="15.85546875" style="92" customWidth="1"/>
    <col min="9479" max="9479" width="2.85546875" style="92" customWidth="1"/>
    <col min="9480" max="9480" width="26.42578125" style="92" customWidth="1"/>
    <col min="9481" max="9481" width="14.5703125" style="92" customWidth="1"/>
    <col min="9482" max="9494" width="12.5703125" style="92" customWidth="1"/>
    <col min="9495" max="9496" width="8.7109375" style="92"/>
    <col min="9497" max="9497" width="13" style="92" customWidth="1"/>
    <col min="9498" max="9498" width="16.7109375" style="92" bestFit="1" customWidth="1"/>
    <col min="9499" max="9499" width="8.7109375" style="92"/>
    <col min="9500" max="9500" width="42.140625" style="92" customWidth="1"/>
    <col min="9501" max="9727" width="8.7109375" style="92"/>
    <col min="9728" max="9728" width="15.42578125" style="92" customWidth="1"/>
    <col min="9729" max="9729" width="30.85546875" style="92" customWidth="1"/>
    <col min="9730" max="9730" width="16" style="92" customWidth="1"/>
    <col min="9731" max="9731" width="6.5703125" style="92" customWidth="1"/>
    <col min="9732" max="9732" width="16.42578125" style="92" customWidth="1"/>
    <col min="9733" max="9733" width="17.5703125" style="92" bestFit="1" customWidth="1"/>
    <col min="9734" max="9734" width="15.85546875" style="92" customWidth="1"/>
    <col min="9735" max="9735" width="2.85546875" style="92" customWidth="1"/>
    <col min="9736" max="9736" width="26.42578125" style="92" customWidth="1"/>
    <col min="9737" max="9737" width="14.5703125" style="92" customWidth="1"/>
    <col min="9738" max="9750" width="12.5703125" style="92" customWidth="1"/>
    <col min="9751" max="9752" width="8.7109375" style="92"/>
    <col min="9753" max="9753" width="13" style="92" customWidth="1"/>
    <col min="9754" max="9754" width="16.7109375" style="92" bestFit="1" customWidth="1"/>
    <col min="9755" max="9755" width="8.7109375" style="92"/>
    <col min="9756" max="9756" width="42.140625" style="92" customWidth="1"/>
    <col min="9757" max="9983" width="8.7109375" style="92"/>
    <col min="9984" max="9984" width="15.42578125" style="92" customWidth="1"/>
    <col min="9985" max="9985" width="30.85546875" style="92" customWidth="1"/>
    <col min="9986" max="9986" width="16" style="92" customWidth="1"/>
    <col min="9987" max="9987" width="6.5703125" style="92" customWidth="1"/>
    <col min="9988" max="9988" width="16.42578125" style="92" customWidth="1"/>
    <col min="9989" max="9989" width="17.5703125" style="92" bestFit="1" customWidth="1"/>
    <col min="9990" max="9990" width="15.85546875" style="92" customWidth="1"/>
    <col min="9991" max="9991" width="2.85546875" style="92" customWidth="1"/>
    <col min="9992" max="9992" width="26.42578125" style="92" customWidth="1"/>
    <col min="9993" max="9993" width="14.5703125" style="92" customWidth="1"/>
    <col min="9994" max="10006" width="12.5703125" style="92" customWidth="1"/>
    <col min="10007" max="10008" width="8.7109375" style="92"/>
    <col min="10009" max="10009" width="13" style="92" customWidth="1"/>
    <col min="10010" max="10010" width="16.7109375" style="92" bestFit="1" customWidth="1"/>
    <col min="10011" max="10011" width="8.7109375" style="92"/>
    <col min="10012" max="10012" width="42.140625" style="92" customWidth="1"/>
    <col min="10013" max="10239" width="8.7109375" style="92"/>
    <col min="10240" max="10240" width="15.42578125" style="92" customWidth="1"/>
    <col min="10241" max="10241" width="30.85546875" style="92" customWidth="1"/>
    <col min="10242" max="10242" width="16" style="92" customWidth="1"/>
    <col min="10243" max="10243" width="6.5703125" style="92" customWidth="1"/>
    <col min="10244" max="10244" width="16.42578125" style="92" customWidth="1"/>
    <col min="10245" max="10245" width="17.5703125" style="92" bestFit="1" customWidth="1"/>
    <col min="10246" max="10246" width="15.85546875" style="92" customWidth="1"/>
    <col min="10247" max="10247" width="2.85546875" style="92" customWidth="1"/>
    <col min="10248" max="10248" width="26.42578125" style="92" customWidth="1"/>
    <col min="10249" max="10249" width="14.5703125" style="92" customWidth="1"/>
    <col min="10250" max="10262" width="12.5703125" style="92" customWidth="1"/>
    <col min="10263" max="10264" width="8.7109375" style="92"/>
    <col min="10265" max="10265" width="13" style="92" customWidth="1"/>
    <col min="10266" max="10266" width="16.7109375" style="92" bestFit="1" customWidth="1"/>
    <col min="10267" max="10267" width="8.7109375" style="92"/>
    <col min="10268" max="10268" width="42.140625" style="92" customWidth="1"/>
    <col min="10269" max="10495" width="8.7109375" style="92"/>
    <col min="10496" max="10496" width="15.42578125" style="92" customWidth="1"/>
    <col min="10497" max="10497" width="30.85546875" style="92" customWidth="1"/>
    <col min="10498" max="10498" width="16" style="92" customWidth="1"/>
    <col min="10499" max="10499" width="6.5703125" style="92" customWidth="1"/>
    <col min="10500" max="10500" width="16.42578125" style="92" customWidth="1"/>
    <col min="10501" max="10501" width="17.5703125" style="92" bestFit="1" customWidth="1"/>
    <col min="10502" max="10502" width="15.85546875" style="92" customWidth="1"/>
    <col min="10503" max="10503" width="2.85546875" style="92" customWidth="1"/>
    <col min="10504" max="10504" width="26.42578125" style="92" customWidth="1"/>
    <col min="10505" max="10505" width="14.5703125" style="92" customWidth="1"/>
    <col min="10506" max="10518" width="12.5703125" style="92" customWidth="1"/>
    <col min="10519" max="10520" width="8.7109375" style="92"/>
    <col min="10521" max="10521" width="13" style="92" customWidth="1"/>
    <col min="10522" max="10522" width="16.7109375" style="92" bestFit="1" customWidth="1"/>
    <col min="10523" max="10523" width="8.7109375" style="92"/>
    <col min="10524" max="10524" width="42.140625" style="92" customWidth="1"/>
    <col min="10525" max="10751" width="8.7109375" style="92"/>
    <col min="10752" max="10752" width="15.42578125" style="92" customWidth="1"/>
    <col min="10753" max="10753" width="30.85546875" style="92" customWidth="1"/>
    <col min="10754" max="10754" width="16" style="92" customWidth="1"/>
    <col min="10755" max="10755" width="6.5703125" style="92" customWidth="1"/>
    <col min="10756" max="10756" width="16.42578125" style="92" customWidth="1"/>
    <col min="10757" max="10757" width="17.5703125" style="92" bestFit="1" customWidth="1"/>
    <col min="10758" max="10758" width="15.85546875" style="92" customWidth="1"/>
    <col min="10759" max="10759" width="2.85546875" style="92" customWidth="1"/>
    <col min="10760" max="10760" width="26.42578125" style="92" customWidth="1"/>
    <col min="10761" max="10761" width="14.5703125" style="92" customWidth="1"/>
    <col min="10762" max="10774" width="12.5703125" style="92" customWidth="1"/>
    <col min="10775" max="10776" width="8.7109375" style="92"/>
    <col min="10777" max="10777" width="13" style="92" customWidth="1"/>
    <col min="10778" max="10778" width="16.7109375" style="92" bestFit="1" customWidth="1"/>
    <col min="10779" max="10779" width="8.7109375" style="92"/>
    <col min="10780" max="10780" width="42.140625" style="92" customWidth="1"/>
    <col min="10781" max="11007" width="8.7109375" style="92"/>
    <col min="11008" max="11008" width="15.42578125" style="92" customWidth="1"/>
    <col min="11009" max="11009" width="30.85546875" style="92" customWidth="1"/>
    <col min="11010" max="11010" width="16" style="92" customWidth="1"/>
    <col min="11011" max="11011" width="6.5703125" style="92" customWidth="1"/>
    <col min="11012" max="11012" width="16.42578125" style="92" customWidth="1"/>
    <col min="11013" max="11013" width="17.5703125" style="92" bestFit="1" customWidth="1"/>
    <col min="11014" max="11014" width="15.85546875" style="92" customWidth="1"/>
    <col min="11015" max="11015" width="2.85546875" style="92" customWidth="1"/>
    <col min="11016" max="11016" width="26.42578125" style="92" customWidth="1"/>
    <col min="11017" max="11017" width="14.5703125" style="92" customWidth="1"/>
    <col min="11018" max="11030" width="12.5703125" style="92" customWidth="1"/>
    <col min="11031" max="11032" width="8.7109375" style="92"/>
    <col min="11033" max="11033" width="13" style="92" customWidth="1"/>
    <col min="11034" max="11034" width="16.7109375" style="92" bestFit="1" customWidth="1"/>
    <col min="11035" max="11035" width="8.7109375" style="92"/>
    <col min="11036" max="11036" width="42.140625" style="92" customWidth="1"/>
    <col min="11037" max="11263" width="8.7109375" style="92"/>
    <col min="11264" max="11264" width="15.42578125" style="92" customWidth="1"/>
    <col min="11265" max="11265" width="30.85546875" style="92" customWidth="1"/>
    <col min="11266" max="11266" width="16" style="92" customWidth="1"/>
    <col min="11267" max="11267" width="6.5703125" style="92" customWidth="1"/>
    <col min="11268" max="11268" width="16.42578125" style="92" customWidth="1"/>
    <col min="11269" max="11269" width="17.5703125" style="92" bestFit="1" customWidth="1"/>
    <col min="11270" max="11270" width="15.85546875" style="92" customWidth="1"/>
    <col min="11271" max="11271" width="2.85546875" style="92" customWidth="1"/>
    <col min="11272" max="11272" width="26.42578125" style="92" customWidth="1"/>
    <col min="11273" max="11273" width="14.5703125" style="92" customWidth="1"/>
    <col min="11274" max="11286" width="12.5703125" style="92" customWidth="1"/>
    <col min="11287" max="11288" width="8.7109375" style="92"/>
    <col min="11289" max="11289" width="13" style="92" customWidth="1"/>
    <col min="11290" max="11290" width="16.7109375" style="92" bestFit="1" customWidth="1"/>
    <col min="11291" max="11291" width="8.7109375" style="92"/>
    <col min="11292" max="11292" width="42.140625" style="92" customWidth="1"/>
    <col min="11293" max="11519" width="8.7109375" style="92"/>
    <col min="11520" max="11520" width="15.42578125" style="92" customWidth="1"/>
    <col min="11521" max="11521" width="30.85546875" style="92" customWidth="1"/>
    <col min="11522" max="11522" width="16" style="92" customWidth="1"/>
    <col min="11523" max="11523" width="6.5703125" style="92" customWidth="1"/>
    <col min="11524" max="11524" width="16.42578125" style="92" customWidth="1"/>
    <col min="11525" max="11525" width="17.5703125" style="92" bestFit="1" customWidth="1"/>
    <col min="11526" max="11526" width="15.85546875" style="92" customWidth="1"/>
    <col min="11527" max="11527" width="2.85546875" style="92" customWidth="1"/>
    <col min="11528" max="11528" width="26.42578125" style="92" customWidth="1"/>
    <col min="11529" max="11529" width="14.5703125" style="92" customWidth="1"/>
    <col min="11530" max="11542" width="12.5703125" style="92" customWidth="1"/>
    <col min="11543" max="11544" width="8.7109375" style="92"/>
    <col min="11545" max="11545" width="13" style="92" customWidth="1"/>
    <col min="11546" max="11546" width="16.7109375" style="92" bestFit="1" customWidth="1"/>
    <col min="11547" max="11547" width="8.7109375" style="92"/>
    <col min="11548" max="11548" width="42.140625" style="92" customWidth="1"/>
    <col min="11549" max="11775" width="8.7109375" style="92"/>
    <col min="11776" max="11776" width="15.42578125" style="92" customWidth="1"/>
    <col min="11777" max="11777" width="30.85546875" style="92" customWidth="1"/>
    <col min="11778" max="11778" width="16" style="92" customWidth="1"/>
    <col min="11779" max="11779" width="6.5703125" style="92" customWidth="1"/>
    <col min="11780" max="11780" width="16.42578125" style="92" customWidth="1"/>
    <col min="11781" max="11781" width="17.5703125" style="92" bestFit="1" customWidth="1"/>
    <col min="11782" max="11782" width="15.85546875" style="92" customWidth="1"/>
    <col min="11783" max="11783" width="2.85546875" style="92" customWidth="1"/>
    <col min="11784" max="11784" width="26.42578125" style="92" customWidth="1"/>
    <col min="11785" max="11785" width="14.5703125" style="92" customWidth="1"/>
    <col min="11786" max="11798" width="12.5703125" style="92" customWidth="1"/>
    <col min="11799" max="11800" width="8.7109375" style="92"/>
    <col min="11801" max="11801" width="13" style="92" customWidth="1"/>
    <col min="11802" max="11802" width="16.7109375" style="92" bestFit="1" customWidth="1"/>
    <col min="11803" max="11803" width="8.7109375" style="92"/>
    <col min="11804" max="11804" width="42.140625" style="92" customWidth="1"/>
    <col min="11805" max="12031" width="8.7109375" style="92"/>
    <col min="12032" max="12032" width="15.42578125" style="92" customWidth="1"/>
    <col min="12033" max="12033" width="30.85546875" style="92" customWidth="1"/>
    <col min="12034" max="12034" width="16" style="92" customWidth="1"/>
    <col min="12035" max="12035" width="6.5703125" style="92" customWidth="1"/>
    <col min="12036" max="12036" width="16.42578125" style="92" customWidth="1"/>
    <col min="12037" max="12037" width="17.5703125" style="92" bestFit="1" customWidth="1"/>
    <col min="12038" max="12038" width="15.85546875" style="92" customWidth="1"/>
    <col min="12039" max="12039" width="2.85546875" style="92" customWidth="1"/>
    <col min="12040" max="12040" width="26.42578125" style="92" customWidth="1"/>
    <col min="12041" max="12041" width="14.5703125" style="92" customWidth="1"/>
    <col min="12042" max="12054" width="12.5703125" style="92" customWidth="1"/>
    <col min="12055" max="12056" width="8.7109375" style="92"/>
    <col min="12057" max="12057" width="13" style="92" customWidth="1"/>
    <col min="12058" max="12058" width="16.7109375" style="92" bestFit="1" customWidth="1"/>
    <col min="12059" max="12059" width="8.7109375" style="92"/>
    <col min="12060" max="12060" width="42.140625" style="92" customWidth="1"/>
    <col min="12061" max="12287" width="8.7109375" style="92"/>
    <col min="12288" max="12288" width="15.42578125" style="92" customWidth="1"/>
    <col min="12289" max="12289" width="30.85546875" style="92" customWidth="1"/>
    <col min="12290" max="12290" width="16" style="92" customWidth="1"/>
    <col min="12291" max="12291" width="6.5703125" style="92" customWidth="1"/>
    <col min="12292" max="12292" width="16.42578125" style="92" customWidth="1"/>
    <col min="12293" max="12293" width="17.5703125" style="92" bestFit="1" customWidth="1"/>
    <col min="12294" max="12294" width="15.85546875" style="92" customWidth="1"/>
    <col min="12295" max="12295" width="2.85546875" style="92" customWidth="1"/>
    <col min="12296" max="12296" width="26.42578125" style="92" customWidth="1"/>
    <col min="12297" max="12297" width="14.5703125" style="92" customWidth="1"/>
    <col min="12298" max="12310" width="12.5703125" style="92" customWidth="1"/>
    <col min="12311" max="12312" width="8.7109375" style="92"/>
    <col min="12313" max="12313" width="13" style="92" customWidth="1"/>
    <col min="12314" max="12314" width="16.7109375" style="92" bestFit="1" customWidth="1"/>
    <col min="12315" max="12315" width="8.7109375" style="92"/>
    <col min="12316" max="12316" width="42.140625" style="92" customWidth="1"/>
    <col min="12317" max="12543" width="8.7109375" style="92"/>
    <col min="12544" max="12544" width="15.42578125" style="92" customWidth="1"/>
    <col min="12545" max="12545" width="30.85546875" style="92" customWidth="1"/>
    <col min="12546" max="12546" width="16" style="92" customWidth="1"/>
    <col min="12547" max="12547" width="6.5703125" style="92" customWidth="1"/>
    <col min="12548" max="12548" width="16.42578125" style="92" customWidth="1"/>
    <col min="12549" max="12549" width="17.5703125" style="92" bestFit="1" customWidth="1"/>
    <col min="12550" max="12550" width="15.85546875" style="92" customWidth="1"/>
    <col min="12551" max="12551" width="2.85546875" style="92" customWidth="1"/>
    <col min="12552" max="12552" width="26.42578125" style="92" customWidth="1"/>
    <col min="12553" max="12553" width="14.5703125" style="92" customWidth="1"/>
    <col min="12554" max="12566" width="12.5703125" style="92" customWidth="1"/>
    <col min="12567" max="12568" width="8.7109375" style="92"/>
    <col min="12569" max="12569" width="13" style="92" customWidth="1"/>
    <col min="12570" max="12570" width="16.7109375" style="92" bestFit="1" customWidth="1"/>
    <col min="12571" max="12571" width="8.7109375" style="92"/>
    <col min="12572" max="12572" width="42.140625" style="92" customWidth="1"/>
    <col min="12573" max="12799" width="8.7109375" style="92"/>
    <col min="12800" max="12800" width="15.42578125" style="92" customWidth="1"/>
    <col min="12801" max="12801" width="30.85546875" style="92" customWidth="1"/>
    <col min="12802" max="12802" width="16" style="92" customWidth="1"/>
    <col min="12803" max="12803" width="6.5703125" style="92" customWidth="1"/>
    <col min="12804" max="12804" width="16.42578125" style="92" customWidth="1"/>
    <col min="12805" max="12805" width="17.5703125" style="92" bestFit="1" customWidth="1"/>
    <col min="12806" max="12806" width="15.85546875" style="92" customWidth="1"/>
    <col min="12807" max="12807" width="2.85546875" style="92" customWidth="1"/>
    <col min="12808" max="12808" width="26.42578125" style="92" customWidth="1"/>
    <col min="12809" max="12809" width="14.5703125" style="92" customWidth="1"/>
    <col min="12810" max="12822" width="12.5703125" style="92" customWidth="1"/>
    <col min="12823" max="12824" width="8.7109375" style="92"/>
    <col min="12825" max="12825" width="13" style="92" customWidth="1"/>
    <col min="12826" max="12826" width="16.7109375" style="92" bestFit="1" customWidth="1"/>
    <col min="12827" max="12827" width="8.7109375" style="92"/>
    <col min="12828" max="12828" width="42.140625" style="92" customWidth="1"/>
    <col min="12829" max="13055" width="8.7109375" style="92"/>
    <col min="13056" max="13056" width="15.42578125" style="92" customWidth="1"/>
    <col min="13057" max="13057" width="30.85546875" style="92" customWidth="1"/>
    <col min="13058" max="13058" width="16" style="92" customWidth="1"/>
    <col min="13059" max="13059" width="6.5703125" style="92" customWidth="1"/>
    <col min="13060" max="13060" width="16.42578125" style="92" customWidth="1"/>
    <col min="13061" max="13061" width="17.5703125" style="92" bestFit="1" customWidth="1"/>
    <col min="13062" max="13062" width="15.85546875" style="92" customWidth="1"/>
    <col min="13063" max="13063" width="2.85546875" style="92" customWidth="1"/>
    <col min="13064" max="13064" width="26.42578125" style="92" customWidth="1"/>
    <col min="13065" max="13065" width="14.5703125" style="92" customWidth="1"/>
    <col min="13066" max="13078" width="12.5703125" style="92" customWidth="1"/>
    <col min="13079" max="13080" width="8.7109375" style="92"/>
    <col min="13081" max="13081" width="13" style="92" customWidth="1"/>
    <col min="13082" max="13082" width="16.7109375" style="92" bestFit="1" customWidth="1"/>
    <col min="13083" max="13083" width="8.7109375" style="92"/>
    <col min="13084" max="13084" width="42.140625" style="92" customWidth="1"/>
    <col min="13085" max="13311" width="8.7109375" style="92"/>
    <col min="13312" max="13312" width="15.42578125" style="92" customWidth="1"/>
    <col min="13313" max="13313" width="30.85546875" style="92" customWidth="1"/>
    <col min="13314" max="13314" width="16" style="92" customWidth="1"/>
    <col min="13315" max="13315" width="6.5703125" style="92" customWidth="1"/>
    <col min="13316" max="13316" width="16.42578125" style="92" customWidth="1"/>
    <col min="13317" max="13317" width="17.5703125" style="92" bestFit="1" customWidth="1"/>
    <col min="13318" max="13318" width="15.85546875" style="92" customWidth="1"/>
    <col min="13319" max="13319" width="2.85546875" style="92" customWidth="1"/>
    <col min="13320" max="13320" width="26.42578125" style="92" customWidth="1"/>
    <col min="13321" max="13321" width="14.5703125" style="92" customWidth="1"/>
    <col min="13322" max="13334" width="12.5703125" style="92" customWidth="1"/>
    <col min="13335" max="13336" width="8.7109375" style="92"/>
    <col min="13337" max="13337" width="13" style="92" customWidth="1"/>
    <col min="13338" max="13338" width="16.7109375" style="92" bestFit="1" customWidth="1"/>
    <col min="13339" max="13339" width="8.7109375" style="92"/>
    <col min="13340" max="13340" width="42.140625" style="92" customWidth="1"/>
    <col min="13341" max="13567" width="8.7109375" style="92"/>
    <col min="13568" max="13568" width="15.42578125" style="92" customWidth="1"/>
    <col min="13569" max="13569" width="30.85546875" style="92" customWidth="1"/>
    <col min="13570" max="13570" width="16" style="92" customWidth="1"/>
    <col min="13571" max="13571" width="6.5703125" style="92" customWidth="1"/>
    <col min="13572" max="13572" width="16.42578125" style="92" customWidth="1"/>
    <col min="13573" max="13573" width="17.5703125" style="92" bestFit="1" customWidth="1"/>
    <col min="13574" max="13574" width="15.85546875" style="92" customWidth="1"/>
    <col min="13575" max="13575" width="2.85546875" style="92" customWidth="1"/>
    <col min="13576" max="13576" width="26.42578125" style="92" customWidth="1"/>
    <col min="13577" max="13577" width="14.5703125" style="92" customWidth="1"/>
    <col min="13578" max="13590" width="12.5703125" style="92" customWidth="1"/>
    <col min="13591" max="13592" width="8.7109375" style="92"/>
    <col min="13593" max="13593" width="13" style="92" customWidth="1"/>
    <col min="13594" max="13594" width="16.7109375" style="92" bestFit="1" customWidth="1"/>
    <col min="13595" max="13595" width="8.7109375" style="92"/>
    <col min="13596" max="13596" width="42.140625" style="92" customWidth="1"/>
    <col min="13597" max="13823" width="8.7109375" style="92"/>
    <col min="13824" max="13824" width="15.42578125" style="92" customWidth="1"/>
    <col min="13825" max="13825" width="30.85546875" style="92" customWidth="1"/>
    <col min="13826" max="13826" width="16" style="92" customWidth="1"/>
    <col min="13827" max="13827" width="6.5703125" style="92" customWidth="1"/>
    <col min="13828" max="13828" width="16.42578125" style="92" customWidth="1"/>
    <col min="13829" max="13829" width="17.5703125" style="92" bestFit="1" customWidth="1"/>
    <col min="13830" max="13830" width="15.85546875" style="92" customWidth="1"/>
    <col min="13831" max="13831" width="2.85546875" style="92" customWidth="1"/>
    <col min="13832" max="13832" width="26.42578125" style="92" customWidth="1"/>
    <col min="13833" max="13833" width="14.5703125" style="92" customWidth="1"/>
    <col min="13834" max="13846" width="12.5703125" style="92" customWidth="1"/>
    <col min="13847" max="13848" width="8.7109375" style="92"/>
    <col min="13849" max="13849" width="13" style="92" customWidth="1"/>
    <col min="13850" max="13850" width="16.7109375" style="92" bestFit="1" customWidth="1"/>
    <col min="13851" max="13851" width="8.7109375" style="92"/>
    <col min="13852" max="13852" width="42.140625" style="92" customWidth="1"/>
    <col min="13853" max="14079" width="8.7109375" style="92"/>
    <col min="14080" max="14080" width="15.42578125" style="92" customWidth="1"/>
    <col min="14081" max="14081" width="30.85546875" style="92" customWidth="1"/>
    <col min="14082" max="14082" width="16" style="92" customWidth="1"/>
    <col min="14083" max="14083" width="6.5703125" style="92" customWidth="1"/>
    <col min="14084" max="14084" width="16.42578125" style="92" customWidth="1"/>
    <col min="14085" max="14085" width="17.5703125" style="92" bestFit="1" customWidth="1"/>
    <col min="14086" max="14086" width="15.85546875" style="92" customWidth="1"/>
    <col min="14087" max="14087" width="2.85546875" style="92" customWidth="1"/>
    <col min="14088" max="14088" width="26.42578125" style="92" customWidth="1"/>
    <col min="14089" max="14089" width="14.5703125" style="92" customWidth="1"/>
    <col min="14090" max="14102" width="12.5703125" style="92" customWidth="1"/>
    <col min="14103" max="14104" width="8.7109375" style="92"/>
    <col min="14105" max="14105" width="13" style="92" customWidth="1"/>
    <col min="14106" max="14106" width="16.7109375" style="92" bestFit="1" customWidth="1"/>
    <col min="14107" max="14107" width="8.7109375" style="92"/>
    <col min="14108" max="14108" width="42.140625" style="92" customWidth="1"/>
    <col min="14109" max="14335" width="8.7109375" style="92"/>
    <col min="14336" max="14336" width="15.42578125" style="92" customWidth="1"/>
    <col min="14337" max="14337" width="30.85546875" style="92" customWidth="1"/>
    <col min="14338" max="14338" width="16" style="92" customWidth="1"/>
    <col min="14339" max="14339" width="6.5703125" style="92" customWidth="1"/>
    <col min="14340" max="14340" width="16.42578125" style="92" customWidth="1"/>
    <col min="14341" max="14341" width="17.5703125" style="92" bestFit="1" customWidth="1"/>
    <col min="14342" max="14342" width="15.85546875" style="92" customWidth="1"/>
    <col min="14343" max="14343" width="2.85546875" style="92" customWidth="1"/>
    <col min="14344" max="14344" width="26.42578125" style="92" customWidth="1"/>
    <col min="14345" max="14345" width="14.5703125" style="92" customWidth="1"/>
    <col min="14346" max="14358" width="12.5703125" style="92" customWidth="1"/>
    <col min="14359" max="14360" width="8.7109375" style="92"/>
    <col min="14361" max="14361" width="13" style="92" customWidth="1"/>
    <col min="14362" max="14362" width="16.7109375" style="92" bestFit="1" customWidth="1"/>
    <col min="14363" max="14363" width="8.7109375" style="92"/>
    <col min="14364" max="14364" width="42.140625" style="92" customWidth="1"/>
    <col min="14365" max="14591" width="8.7109375" style="92"/>
    <col min="14592" max="14592" width="15.42578125" style="92" customWidth="1"/>
    <col min="14593" max="14593" width="30.85546875" style="92" customWidth="1"/>
    <col min="14594" max="14594" width="16" style="92" customWidth="1"/>
    <col min="14595" max="14595" width="6.5703125" style="92" customWidth="1"/>
    <col min="14596" max="14596" width="16.42578125" style="92" customWidth="1"/>
    <col min="14597" max="14597" width="17.5703125" style="92" bestFit="1" customWidth="1"/>
    <col min="14598" max="14598" width="15.85546875" style="92" customWidth="1"/>
    <col min="14599" max="14599" width="2.85546875" style="92" customWidth="1"/>
    <col min="14600" max="14600" width="26.42578125" style="92" customWidth="1"/>
    <col min="14601" max="14601" width="14.5703125" style="92" customWidth="1"/>
    <col min="14602" max="14614" width="12.5703125" style="92" customWidth="1"/>
    <col min="14615" max="14616" width="8.7109375" style="92"/>
    <col min="14617" max="14617" width="13" style="92" customWidth="1"/>
    <col min="14618" max="14618" width="16.7109375" style="92" bestFit="1" customWidth="1"/>
    <col min="14619" max="14619" width="8.7109375" style="92"/>
    <col min="14620" max="14620" width="42.140625" style="92" customWidth="1"/>
    <col min="14621" max="14847" width="8.7109375" style="92"/>
    <col min="14848" max="14848" width="15.42578125" style="92" customWidth="1"/>
    <col min="14849" max="14849" width="30.85546875" style="92" customWidth="1"/>
    <col min="14850" max="14850" width="16" style="92" customWidth="1"/>
    <col min="14851" max="14851" width="6.5703125" style="92" customWidth="1"/>
    <col min="14852" max="14852" width="16.42578125" style="92" customWidth="1"/>
    <col min="14853" max="14853" width="17.5703125" style="92" bestFit="1" customWidth="1"/>
    <col min="14854" max="14854" width="15.85546875" style="92" customWidth="1"/>
    <col min="14855" max="14855" width="2.85546875" style="92" customWidth="1"/>
    <col min="14856" max="14856" width="26.42578125" style="92" customWidth="1"/>
    <col min="14857" max="14857" width="14.5703125" style="92" customWidth="1"/>
    <col min="14858" max="14870" width="12.5703125" style="92" customWidth="1"/>
    <col min="14871" max="14872" width="8.7109375" style="92"/>
    <col min="14873" max="14873" width="13" style="92" customWidth="1"/>
    <col min="14874" max="14874" width="16.7109375" style="92" bestFit="1" customWidth="1"/>
    <col min="14875" max="14875" width="8.7109375" style="92"/>
    <col min="14876" max="14876" width="42.140625" style="92" customWidth="1"/>
    <col min="14877" max="15103" width="8.7109375" style="92"/>
    <col min="15104" max="15104" width="15.42578125" style="92" customWidth="1"/>
    <col min="15105" max="15105" width="30.85546875" style="92" customWidth="1"/>
    <col min="15106" max="15106" width="16" style="92" customWidth="1"/>
    <col min="15107" max="15107" width="6.5703125" style="92" customWidth="1"/>
    <col min="15108" max="15108" width="16.42578125" style="92" customWidth="1"/>
    <col min="15109" max="15109" width="17.5703125" style="92" bestFit="1" customWidth="1"/>
    <col min="15110" max="15110" width="15.85546875" style="92" customWidth="1"/>
    <col min="15111" max="15111" width="2.85546875" style="92" customWidth="1"/>
    <col min="15112" max="15112" width="26.42578125" style="92" customWidth="1"/>
    <col min="15113" max="15113" width="14.5703125" style="92" customWidth="1"/>
    <col min="15114" max="15126" width="12.5703125" style="92" customWidth="1"/>
    <col min="15127" max="15128" width="8.7109375" style="92"/>
    <col min="15129" max="15129" width="13" style="92" customWidth="1"/>
    <col min="15130" max="15130" width="16.7109375" style="92" bestFit="1" customWidth="1"/>
    <col min="15131" max="15131" width="8.7109375" style="92"/>
    <col min="15132" max="15132" width="42.140625" style="92" customWidth="1"/>
    <col min="15133" max="15359" width="8.7109375" style="92"/>
    <col min="15360" max="15360" width="15.42578125" style="92" customWidth="1"/>
    <col min="15361" max="15361" width="30.85546875" style="92" customWidth="1"/>
    <col min="15362" max="15362" width="16" style="92" customWidth="1"/>
    <col min="15363" max="15363" width="6.5703125" style="92" customWidth="1"/>
    <col min="15364" max="15364" width="16.42578125" style="92" customWidth="1"/>
    <col min="15365" max="15365" width="17.5703125" style="92" bestFit="1" customWidth="1"/>
    <col min="15366" max="15366" width="15.85546875" style="92" customWidth="1"/>
    <col min="15367" max="15367" width="2.85546875" style="92" customWidth="1"/>
    <col min="15368" max="15368" width="26.42578125" style="92" customWidth="1"/>
    <col min="15369" max="15369" width="14.5703125" style="92" customWidth="1"/>
    <col min="15370" max="15382" width="12.5703125" style="92" customWidth="1"/>
    <col min="15383" max="15384" width="8.7109375" style="92"/>
    <col min="15385" max="15385" width="13" style="92" customWidth="1"/>
    <col min="15386" max="15386" width="16.7109375" style="92" bestFit="1" customWidth="1"/>
    <col min="15387" max="15387" width="8.7109375" style="92"/>
    <col min="15388" max="15388" width="42.140625" style="92" customWidth="1"/>
    <col min="15389" max="15615" width="8.7109375" style="92"/>
    <col min="15616" max="15616" width="15.42578125" style="92" customWidth="1"/>
    <col min="15617" max="15617" width="30.85546875" style="92" customWidth="1"/>
    <col min="15618" max="15618" width="16" style="92" customWidth="1"/>
    <col min="15619" max="15619" width="6.5703125" style="92" customWidth="1"/>
    <col min="15620" max="15620" width="16.42578125" style="92" customWidth="1"/>
    <col min="15621" max="15621" width="17.5703125" style="92" bestFit="1" customWidth="1"/>
    <col min="15622" max="15622" width="15.85546875" style="92" customWidth="1"/>
    <col min="15623" max="15623" width="2.85546875" style="92" customWidth="1"/>
    <col min="15624" max="15624" width="26.42578125" style="92" customWidth="1"/>
    <col min="15625" max="15625" width="14.5703125" style="92" customWidth="1"/>
    <col min="15626" max="15638" width="12.5703125" style="92" customWidth="1"/>
    <col min="15639" max="15640" width="8.7109375" style="92"/>
    <col min="15641" max="15641" width="13" style="92" customWidth="1"/>
    <col min="15642" max="15642" width="16.7109375" style="92" bestFit="1" customWidth="1"/>
    <col min="15643" max="15643" width="8.7109375" style="92"/>
    <col min="15644" max="15644" width="42.140625" style="92" customWidth="1"/>
    <col min="15645" max="15871" width="8.7109375" style="92"/>
    <col min="15872" max="15872" width="15.42578125" style="92" customWidth="1"/>
    <col min="15873" max="15873" width="30.85546875" style="92" customWidth="1"/>
    <col min="15874" max="15874" width="16" style="92" customWidth="1"/>
    <col min="15875" max="15875" width="6.5703125" style="92" customWidth="1"/>
    <col min="15876" max="15876" width="16.42578125" style="92" customWidth="1"/>
    <col min="15877" max="15877" width="17.5703125" style="92" bestFit="1" customWidth="1"/>
    <col min="15878" max="15878" width="15.85546875" style="92" customWidth="1"/>
    <col min="15879" max="15879" width="2.85546875" style="92" customWidth="1"/>
    <col min="15880" max="15880" width="26.42578125" style="92" customWidth="1"/>
    <col min="15881" max="15881" width="14.5703125" style="92" customWidth="1"/>
    <col min="15882" max="15894" width="12.5703125" style="92" customWidth="1"/>
    <col min="15895" max="15896" width="8.7109375" style="92"/>
    <col min="15897" max="15897" width="13" style="92" customWidth="1"/>
    <col min="15898" max="15898" width="16.7109375" style="92" bestFit="1" customWidth="1"/>
    <col min="15899" max="15899" width="8.7109375" style="92"/>
    <col min="15900" max="15900" width="42.140625" style="92" customWidth="1"/>
    <col min="15901" max="16127" width="8.7109375" style="92"/>
    <col min="16128" max="16128" width="15.42578125" style="92" customWidth="1"/>
    <col min="16129" max="16129" width="30.85546875" style="92" customWidth="1"/>
    <col min="16130" max="16130" width="16" style="92" customWidth="1"/>
    <col min="16131" max="16131" width="6.5703125" style="92" customWidth="1"/>
    <col min="16132" max="16132" width="16.42578125" style="92" customWidth="1"/>
    <col min="16133" max="16133" width="17.5703125" style="92" bestFit="1" customWidth="1"/>
    <col min="16134" max="16134" width="15.85546875" style="92" customWidth="1"/>
    <col min="16135" max="16135" width="2.85546875" style="92" customWidth="1"/>
    <col min="16136" max="16136" width="26.42578125" style="92" customWidth="1"/>
    <col min="16137" max="16137" width="14.5703125" style="92" customWidth="1"/>
    <col min="16138" max="16150" width="12.5703125" style="92" customWidth="1"/>
    <col min="16151" max="16152" width="8.7109375" style="92"/>
    <col min="16153" max="16153" width="13" style="92" customWidth="1"/>
    <col min="16154" max="16154" width="16.7109375" style="92" bestFit="1" customWidth="1"/>
    <col min="16155" max="16155" width="8.7109375" style="92"/>
    <col min="16156" max="16156" width="42.140625" style="92" customWidth="1"/>
    <col min="16157" max="16384" width="8.7109375" style="92"/>
  </cols>
  <sheetData>
    <row r="1" spans="1:13" ht="28.5" customHeight="1">
      <c r="A1" s="675" t="s">
        <v>469</v>
      </c>
      <c r="B1" s="675"/>
      <c r="C1" s="675"/>
      <c r="D1" s="675"/>
      <c r="E1" s="675"/>
      <c r="F1" s="675"/>
      <c r="G1" s="675"/>
      <c r="H1" s="675"/>
      <c r="I1" s="675"/>
      <c r="J1" s="675"/>
      <c r="K1" s="675"/>
      <c r="L1" s="675"/>
      <c r="M1" s="675"/>
    </row>
    <row r="2" spans="1:13" ht="24.75" customHeight="1">
      <c r="A2" s="125"/>
      <c r="B2" s="742" t="s">
        <v>556</v>
      </c>
      <c r="C2" s="742"/>
      <c r="D2" s="742"/>
      <c r="E2" s="742"/>
      <c r="F2" s="742"/>
      <c r="G2" s="742"/>
      <c r="H2" s="742"/>
      <c r="I2" s="742"/>
      <c r="J2" s="742"/>
    </row>
    <row r="3" spans="1:13">
      <c r="A3" s="126"/>
      <c r="E3" s="196"/>
      <c r="F3" s="197" t="s">
        <v>267</v>
      </c>
      <c r="G3" s="197" t="s">
        <v>268</v>
      </c>
      <c r="H3" s="197"/>
    </row>
    <row r="4" spans="1:13">
      <c r="A4" s="126"/>
      <c r="B4" s="198" t="s">
        <v>479</v>
      </c>
      <c r="C4" s="199" t="s">
        <v>605</v>
      </c>
      <c r="E4" s="126" t="s">
        <v>238</v>
      </c>
      <c r="F4" s="200">
        <v>1</v>
      </c>
      <c r="G4" s="201">
        <f>100%-F4</f>
        <v>0</v>
      </c>
      <c r="H4" s="201"/>
    </row>
    <row r="5" spans="1:13">
      <c r="A5" s="126"/>
      <c r="E5" s="126" t="s">
        <v>269</v>
      </c>
      <c r="F5" s="200">
        <v>0.95</v>
      </c>
      <c r="G5" s="201">
        <f>100%-F5</f>
        <v>5.0000000000000044E-2</v>
      </c>
      <c r="H5" s="201"/>
      <c r="I5" s="735" t="s">
        <v>270</v>
      </c>
      <c r="J5" s="735"/>
    </row>
    <row r="6" spans="1:13" ht="51">
      <c r="A6" s="126"/>
      <c r="B6" s="202" t="s">
        <v>550</v>
      </c>
      <c r="C6" s="599" t="str">
        <f>C4</f>
        <v>Per day</v>
      </c>
      <c r="D6" s="197" t="s">
        <v>614</v>
      </c>
      <c r="E6" s="197" t="s">
        <v>272</v>
      </c>
      <c r="F6" s="197" t="s">
        <v>273</v>
      </c>
      <c r="G6" s="197" t="s">
        <v>274</v>
      </c>
      <c r="H6" s="197"/>
      <c r="I6" s="197" t="s">
        <v>551</v>
      </c>
      <c r="J6" s="197" t="s">
        <v>275</v>
      </c>
    </row>
    <row r="7" spans="1:13">
      <c r="A7" s="126"/>
      <c r="B7" s="203" t="s">
        <v>276</v>
      </c>
      <c r="C7" s="666" t="s">
        <v>615</v>
      </c>
      <c r="D7" s="204"/>
      <c r="E7" s="205"/>
      <c r="F7" s="205"/>
      <c r="G7" s="205"/>
      <c r="H7" s="205"/>
      <c r="I7" s="205"/>
      <c r="J7" s="205"/>
      <c r="L7" s="206"/>
    </row>
    <row r="8" spans="1:13" ht="14.25">
      <c r="A8" s="126"/>
      <c r="B8" s="618" t="s">
        <v>646</v>
      </c>
      <c r="C8" s="199">
        <v>120</v>
      </c>
      <c r="D8" s="96">
        <v>45</v>
      </c>
      <c r="E8" s="208">
        <f t="shared" ref="E8:E14" si="0">IF($C$4="Per day",C8*D8*360,IF($C$4="Per Week",C8*D8*52,C8*D8*12))</f>
        <v>1944000</v>
      </c>
      <c r="F8" s="208">
        <f t="shared" ref="F8:F14" si="1">$F$4*E8</f>
        <v>1944000</v>
      </c>
      <c r="G8" s="208">
        <f>E8-F8</f>
        <v>0</v>
      </c>
      <c r="H8" s="208"/>
      <c r="I8" s="199">
        <v>0</v>
      </c>
      <c r="J8" s="205">
        <f>I8*D8</f>
        <v>0</v>
      </c>
      <c r="L8" s="206"/>
    </row>
    <row r="9" spans="1:13" ht="14.25">
      <c r="A9" s="126"/>
      <c r="B9" s="618" t="s">
        <v>649</v>
      </c>
      <c r="C9" s="199">
        <v>230</v>
      </c>
      <c r="D9" s="96">
        <v>140</v>
      </c>
      <c r="E9" s="208">
        <f t="shared" si="0"/>
        <v>11592000</v>
      </c>
      <c r="F9" s="208">
        <f t="shared" si="1"/>
        <v>11592000</v>
      </c>
      <c r="G9" s="208">
        <f>E9-F9</f>
        <v>0</v>
      </c>
      <c r="H9" s="208"/>
      <c r="I9" s="199">
        <v>0</v>
      </c>
      <c r="J9" s="205">
        <f t="shared" ref="J9:J14" si="2">I9*D9</f>
        <v>0</v>
      </c>
      <c r="L9" s="206"/>
    </row>
    <row r="10" spans="1:13" ht="14.25">
      <c r="A10" s="126"/>
      <c r="B10" s="618" t="s">
        <v>647</v>
      </c>
      <c r="C10" s="199">
        <v>330</v>
      </c>
      <c r="D10" s="96">
        <v>30</v>
      </c>
      <c r="E10" s="208">
        <f t="shared" si="0"/>
        <v>3564000</v>
      </c>
      <c r="F10" s="208">
        <f t="shared" si="1"/>
        <v>3564000</v>
      </c>
      <c r="G10" s="208">
        <f t="shared" ref="G10:G14" si="3">E10-F10</f>
        <v>0</v>
      </c>
      <c r="H10" s="208"/>
      <c r="I10" s="199">
        <v>0</v>
      </c>
      <c r="J10" s="205">
        <f t="shared" si="2"/>
        <v>0</v>
      </c>
      <c r="L10" s="206"/>
    </row>
    <row r="11" spans="1:13" ht="14.25">
      <c r="A11" s="126"/>
      <c r="B11" s="618" t="s">
        <v>650</v>
      </c>
      <c r="C11" s="199">
        <v>200</v>
      </c>
      <c r="D11" s="96">
        <v>18</v>
      </c>
      <c r="E11" s="208">
        <f t="shared" si="0"/>
        <v>1296000</v>
      </c>
      <c r="F11" s="208">
        <f t="shared" si="1"/>
        <v>1296000</v>
      </c>
      <c r="G11" s="208">
        <f t="shared" si="3"/>
        <v>0</v>
      </c>
      <c r="H11" s="208"/>
      <c r="I11" s="199">
        <v>0</v>
      </c>
      <c r="J11" s="205">
        <f t="shared" si="2"/>
        <v>0</v>
      </c>
      <c r="L11" s="206"/>
    </row>
    <row r="12" spans="1:13" ht="14.25">
      <c r="A12" s="126"/>
      <c r="B12" s="209"/>
      <c r="C12" s="199"/>
      <c r="D12" s="96"/>
      <c r="E12" s="208">
        <f t="shared" si="0"/>
        <v>0</v>
      </c>
      <c r="F12" s="208">
        <f t="shared" si="1"/>
        <v>0</v>
      </c>
      <c r="G12" s="208">
        <f t="shared" si="3"/>
        <v>0</v>
      </c>
      <c r="H12" s="208"/>
      <c r="I12" s="199">
        <v>0</v>
      </c>
      <c r="J12" s="205">
        <f t="shared" si="2"/>
        <v>0</v>
      </c>
      <c r="L12" s="206"/>
    </row>
    <row r="13" spans="1:13" ht="14.25">
      <c r="A13" s="126"/>
      <c r="B13" s="207"/>
      <c r="C13" s="199"/>
      <c r="D13" s="96"/>
      <c r="E13" s="208">
        <f t="shared" si="0"/>
        <v>0</v>
      </c>
      <c r="F13" s="208">
        <f t="shared" si="1"/>
        <v>0</v>
      </c>
      <c r="G13" s="208">
        <f t="shared" si="3"/>
        <v>0</v>
      </c>
      <c r="H13" s="208"/>
      <c r="I13" s="199">
        <v>0</v>
      </c>
      <c r="J13" s="205">
        <f t="shared" si="2"/>
        <v>0</v>
      </c>
      <c r="L13" s="206"/>
    </row>
    <row r="14" spans="1:13" ht="14.25">
      <c r="A14" s="126"/>
      <c r="B14" s="207"/>
      <c r="C14" s="199"/>
      <c r="D14" s="96"/>
      <c r="E14" s="208">
        <f t="shared" si="0"/>
        <v>0</v>
      </c>
      <c r="F14" s="208">
        <f t="shared" si="1"/>
        <v>0</v>
      </c>
      <c r="G14" s="208">
        <f t="shared" si="3"/>
        <v>0</v>
      </c>
      <c r="H14" s="208"/>
      <c r="I14" s="199"/>
      <c r="J14" s="205">
        <f t="shared" si="2"/>
        <v>0</v>
      </c>
      <c r="L14" s="206"/>
    </row>
    <row r="15" spans="1:13">
      <c r="A15" s="126"/>
      <c r="B15" s="210" t="s">
        <v>91</v>
      </c>
      <c r="C15" s="211"/>
      <c r="D15" s="211"/>
      <c r="E15" s="211">
        <f>SUM(E8:E14)</f>
        <v>18396000</v>
      </c>
      <c r="F15" s="211">
        <f>SUM(F8:F14)</f>
        <v>18396000</v>
      </c>
      <c r="G15" s="211">
        <f>SUM(G8:G14)</f>
        <v>0</v>
      </c>
      <c r="H15" s="211"/>
      <c r="I15" s="208"/>
      <c r="J15" s="212">
        <f>SUM(J8:J14)</f>
        <v>0</v>
      </c>
    </row>
    <row r="16" spans="1:13">
      <c r="A16" s="126"/>
      <c r="B16" s="198" t="s">
        <v>480</v>
      </c>
      <c r="C16" s="199" t="s">
        <v>478</v>
      </c>
      <c r="D16" s="211"/>
      <c r="E16" s="211"/>
      <c r="F16" s="211"/>
      <c r="G16" s="211"/>
      <c r="H16" s="211"/>
      <c r="I16" s="208"/>
      <c r="J16" s="212"/>
    </row>
    <row r="17" spans="1:12" ht="36.950000000000003" customHeight="1">
      <c r="A17" s="213" t="s">
        <v>277</v>
      </c>
      <c r="B17" s="202" t="s">
        <v>552</v>
      </c>
      <c r="C17" s="599" t="str">
        <f>C16</f>
        <v>Per week</v>
      </c>
      <c r="D17" s="197" t="s">
        <v>271</v>
      </c>
      <c r="E17" s="197" t="s">
        <v>278</v>
      </c>
      <c r="F17" s="214" t="s">
        <v>279</v>
      </c>
      <c r="G17" s="214" t="s">
        <v>280</v>
      </c>
      <c r="H17" s="214"/>
      <c r="I17" s="202" t="s">
        <v>553</v>
      </c>
      <c r="J17" s="202" t="s">
        <v>281</v>
      </c>
    </row>
    <row r="18" spans="1:12">
      <c r="A18" s="99"/>
      <c r="B18" s="99" t="s">
        <v>651</v>
      </c>
      <c r="C18" s="199">
        <v>30</v>
      </c>
      <c r="D18" s="215">
        <v>6000</v>
      </c>
      <c r="E18" s="208">
        <f t="shared" ref="E18:E25" si="4">IF($C$16="Per day",C18*D18*360,IF($C$16="Per Week",C18*D18*52,C18*D18*12))</f>
        <v>9360000</v>
      </c>
      <c r="F18" s="208">
        <f t="shared" ref="F18:F25" si="5">$F$5*E18</f>
        <v>8892000</v>
      </c>
      <c r="G18" s="208">
        <f>E18-F18</f>
        <v>468000</v>
      </c>
      <c r="H18" s="208"/>
      <c r="I18" s="199">
        <f>120000/6000</f>
        <v>20</v>
      </c>
      <c r="J18" s="205">
        <f>I18*D18</f>
        <v>120000</v>
      </c>
    </row>
    <row r="19" spans="1:12">
      <c r="A19" s="99"/>
      <c r="B19" s="99" t="s">
        <v>648</v>
      </c>
      <c r="C19" s="199">
        <v>27</v>
      </c>
      <c r="D19" s="215">
        <v>3000</v>
      </c>
      <c r="E19" s="208">
        <f t="shared" si="4"/>
        <v>4212000</v>
      </c>
      <c r="F19" s="208">
        <f t="shared" si="5"/>
        <v>4001400</v>
      </c>
      <c r="G19" s="208">
        <f t="shared" ref="G19:G24" si="6">E19-F19</f>
        <v>210600</v>
      </c>
      <c r="H19" s="208"/>
      <c r="I19" s="199"/>
      <c r="J19" s="205">
        <f t="shared" ref="J19:J25" si="7">I19*D19</f>
        <v>0</v>
      </c>
    </row>
    <row r="20" spans="1:12">
      <c r="A20" s="99"/>
      <c r="B20" s="99" t="s">
        <v>652</v>
      </c>
      <c r="C20" s="199"/>
      <c r="D20" s="215"/>
      <c r="E20" s="208">
        <f t="shared" si="4"/>
        <v>0</v>
      </c>
      <c r="F20" s="208">
        <f t="shared" si="5"/>
        <v>0</v>
      </c>
      <c r="G20" s="208">
        <f>E20-F20</f>
        <v>0</v>
      </c>
      <c r="H20" s="208"/>
      <c r="I20" s="199"/>
      <c r="J20" s="205">
        <f t="shared" si="7"/>
        <v>0</v>
      </c>
    </row>
    <row r="21" spans="1:12">
      <c r="A21" s="99"/>
      <c r="B21" s="99"/>
      <c r="C21" s="199"/>
      <c r="D21" s="215"/>
      <c r="E21" s="208">
        <f t="shared" si="4"/>
        <v>0</v>
      </c>
      <c r="F21" s="208">
        <f t="shared" si="5"/>
        <v>0</v>
      </c>
      <c r="G21" s="208">
        <f>E21-F21</f>
        <v>0</v>
      </c>
      <c r="H21" s="208"/>
      <c r="I21" s="199"/>
      <c r="J21" s="205">
        <f t="shared" si="7"/>
        <v>0</v>
      </c>
    </row>
    <row r="22" spans="1:12">
      <c r="A22" s="99"/>
      <c r="B22" s="99"/>
      <c r="C22" s="199"/>
      <c r="D22" s="215"/>
      <c r="E22" s="208">
        <f t="shared" si="4"/>
        <v>0</v>
      </c>
      <c r="F22" s="208">
        <f t="shared" si="5"/>
        <v>0</v>
      </c>
      <c r="G22" s="208">
        <f t="shared" si="6"/>
        <v>0</v>
      </c>
      <c r="H22" s="208"/>
      <c r="I22" s="199"/>
      <c r="J22" s="205">
        <f t="shared" si="7"/>
        <v>0</v>
      </c>
    </row>
    <row r="23" spans="1:12" ht="15">
      <c r="A23" s="99"/>
      <c r="B23" s="99"/>
      <c r="C23" s="199"/>
      <c r="D23" s="215"/>
      <c r="E23" s="208">
        <f t="shared" si="4"/>
        <v>0</v>
      </c>
      <c r="F23" s="208">
        <f t="shared" si="5"/>
        <v>0</v>
      </c>
      <c r="G23" s="208">
        <f t="shared" si="6"/>
        <v>0</v>
      </c>
      <c r="H23" s="208"/>
      <c r="I23" s="199"/>
      <c r="J23" s="205">
        <f t="shared" si="7"/>
        <v>0</v>
      </c>
      <c r="L23" s="216"/>
    </row>
    <row r="24" spans="1:12">
      <c r="A24" s="99"/>
      <c r="B24" s="217"/>
      <c r="C24" s="199"/>
      <c r="D24" s="215"/>
      <c r="E24" s="208">
        <f t="shared" si="4"/>
        <v>0</v>
      </c>
      <c r="F24" s="208">
        <f t="shared" si="5"/>
        <v>0</v>
      </c>
      <c r="G24" s="208">
        <f t="shared" si="6"/>
        <v>0</v>
      </c>
      <c r="H24" s="208"/>
      <c r="I24" s="199"/>
      <c r="J24" s="205">
        <f t="shared" si="7"/>
        <v>0</v>
      </c>
      <c r="L24" s="218"/>
    </row>
    <row r="25" spans="1:12">
      <c r="A25" s="99"/>
      <c r="B25" s="99"/>
      <c r="C25" s="199"/>
      <c r="D25" s="215"/>
      <c r="E25" s="208">
        <f t="shared" si="4"/>
        <v>0</v>
      </c>
      <c r="F25" s="208">
        <f t="shared" si="5"/>
        <v>0</v>
      </c>
      <c r="G25" s="208">
        <f>E25-F25</f>
        <v>0</v>
      </c>
      <c r="H25" s="208"/>
      <c r="I25" s="199"/>
      <c r="J25" s="205">
        <f t="shared" si="7"/>
        <v>0</v>
      </c>
    </row>
    <row r="26" spans="1:12">
      <c r="A26" s="211">
        <f>SUM(A18:A25)</f>
        <v>0</v>
      </c>
      <c r="B26" s="210" t="s">
        <v>91</v>
      </c>
      <c r="C26" s="211">
        <v>0</v>
      </c>
      <c r="D26" s="211"/>
      <c r="E26" s="211">
        <f>SUM(E18:E25)</f>
        <v>13572000</v>
      </c>
      <c r="F26" s="211">
        <f>SUM(F18:F25)</f>
        <v>12893400</v>
      </c>
      <c r="G26" s="211">
        <f>SUM(G18:G25)</f>
        <v>678600</v>
      </c>
      <c r="H26" s="211"/>
      <c r="I26" s="208"/>
      <c r="J26" s="212">
        <f>SUM(J18:J25)</f>
        <v>120000</v>
      </c>
      <c r="L26" s="206"/>
    </row>
    <row r="27" spans="1:12" ht="38.25">
      <c r="B27" s="219"/>
      <c r="C27" s="219"/>
      <c r="D27" s="219"/>
      <c r="E27" s="219"/>
      <c r="F27" s="219"/>
      <c r="G27" s="202" t="s">
        <v>282</v>
      </c>
      <c r="H27" s="202"/>
      <c r="I27" s="197" t="s">
        <v>554</v>
      </c>
      <c r="J27" s="202" t="s">
        <v>281</v>
      </c>
    </row>
    <row r="28" spans="1:12">
      <c r="B28" s="219"/>
      <c r="C28" s="219"/>
      <c r="D28" s="219"/>
      <c r="E28" s="219"/>
      <c r="F28" s="219"/>
      <c r="G28" s="220"/>
      <c r="H28" s="208"/>
      <c r="I28" s="220"/>
      <c r="J28" s="205">
        <f>I28</f>
        <v>0</v>
      </c>
    </row>
    <row r="29" spans="1:12">
      <c r="B29" s="219"/>
      <c r="C29" s="219"/>
      <c r="D29" s="219"/>
      <c r="E29" s="219"/>
      <c r="F29" s="219"/>
      <c r="G29" s="221"/>
      <c r="H29" s="208"/>
      <c r="I29" s="220"/>
      <c r="J29" s="205">
        <f>G28</f>
        <v>0</v>
      </c>
    </row>
    <row r="30" spans="1:12">
      <c r="B30" s="219"/>
      <c r="C30" s="219"/>
      <c r="D30" s="219"/>
      <c r="E30" s="219"/>
      <c r="F30" s="222"/>
      <c r="G30" s="221"/>
      <c r="H30" s="208"/>
      <c r="I30" s="220"/>
      <c r="J30" s="205">
        <f>I30</f>
        <v>0</v>
      </c>
    </row>
    <row r="31" spans="1:12">
      <c r="B31" s="210"/>
      <c r="C31" s="210"/>
      <c r="D31" s="210"/>
      <c r="E31" s="210"/>
      <c r="F31" s="210"/>
      <c r="G31" s="208"/>
      <c r="H31" s="208"/>
      <c r="I31" s="210" t="s">
        <v>91</v>
      </c>
      <c r="J31" s="208">
        <f>SUM(J28:J30)</f>
        <v>0</v>
      </c>
    </row>
    <row r="33" spans="1:8" ht="17.45" customHeight="1">
      <c r="A33" s="744" t="s">
        <v>557</v>
      </c>
      <c r="B33" s="744"/>
      <c r="C33" s="744"/>
      <c r="D33" s="744"/>
      <c r="E33" s="744"/>
      <c r="F33" s="744"/>
      <c r="G33" s="744"/>
      <c r="H33" s="154"/>
    </row>
    <row r="34" spans="1:8" ht="18.75">
      <c r="A34" s="125"/>
      <c r="B34" s="123"/>
      <c r="C34" s="741" t="s">
        <v>217</v>
      </c>
      <c r="D34" s="741"/>
      <c r="E34" s="741"/>
      <c r="F34" s="741" t="s">
        <v>218</v>
      </c>
      <c r="G34" s="741"/>
      <c r="H34" s="156"/>
    </row>
    <row r="35" spans="1:8">
      <c r="A35" s="126"/>
      <c r="B35" s="126"/>
      <c r="C35" s="132" t="s">
        <v>173</v>
      </c>
      <c r="D35" s="158" t="s">
        <v>219</v>
      </c>
      <c r="E35" s="132" t="s">
        <v>186</v>
      </c>
      <c r="F35" s="126" t="str">
        <f>C35</f>
        <v>Historical</v>
      </c>
      <c r="G35" s="126" t="str">
        <f>E35</f>
        <v>Projected</v>
      </c>
      <c r="H35" s="154"/>
    </row>
    <row r="36" spans="1:8">
      <c r="A36" s="126"/>
      <c r="B36" s="161" t="s">
        <v>220</v>
      </c>
      <c r="C36" s="126" t="str">
        <f>C71</f>
        <v>Estimation</v>
      </c>
      <c r="D36" s="126"/>
      <c r="E36" s="132"/>
      <c r="F36" s="126"/>
      <c r="G36" s="126"/>
    </row>
    <row r="37" spans="1:8" ht="15">
      <c r="A37" s="126"/>
      <c r="B37" s="170" t="s">
        <v>239</v>
      </c>
      <c r="C37" s="134">
        <f>B113</f>
        <v>45229</v>
      </c>
      <c r="D37" s="126"/>
      <c r="E37" s="134">
        <f>EDATE(C37,12)</f>
        <v>45595</v>
      </c>
      <c r="F37" s="134">
        <f>B113</f>
        <v>45229</v>
      </c>
      <c r="G37" s="134">
        <f>EDATE(F37,12)</f>
        <v>45595</v>
      </c>
      <c r="H37" s="165"/>
    </row>
    <row r="38" spans="1:8" ht="6.95" customHeight="1">
      <c r="A38" s="126"/>
      <c r="B38" s="170"/>
      <c r="C38" s="174"/>
      <c r="D38" s="126"/>
      <c r="E38" s="174"/>
      <c r="F38" s="126"/>
      <c r="G38" s="126"/>
    </row>
    <row r="39" spans="1:8">
      <c r="A39" s="126"/>
      <c r="B39" s="133" t="s">
        <v>244</v>
      </c>
      <c r="C39" s="178">
        <f>E15</f>
        <v>18396000</v>
      </c>
      <c r="D39" s="179"/>
      <c r="E39" s="178">
        <f>C39*D99</f>
        <v>18396000</v>
      </c>
      <c r="F39" s="178">
        <f>F15</f>
        <v>18396000</v>
      </c>
      <c r="G39" s="178">
        <f>F39*D99</f>
        <v>18396000</v>
      </c>
    </row>
    <row r="40" spans="1:8">
      <c r="A40" s="126"/>
      <c r="B40" s="126" t="s">
        <v>245</v>
      </c>
      <c r="C40" s="178">
        <f>IF(C39&gt;=500000,C39/1.15*15%-(E26/1.15*15%),C39/1.1*10%)</f>
        <v>629217.3913043479</v>
      </c>
      <c r="D40" s="179"/>
      <c r="E40" s="178">
        <f>IF(E39&gt;=500000,E39/1.15*15%-(D100*(E26/1.15*15%)),E39/1.1*10%)</f>
        <v>629217.3913043479</v>
      </c>
      <c r="F40" s="178">
        <f>IF(F39&gt;=500000,F39/1.15*15%-(F26/1.15*15%),F39/1.1*10%)</f>
        <v>717730.43478260865</v>
      </c>
      <c r="G40" s="178">
        <f>IF(G39&gt;=500000,G39/1.15*15%-(D100*(F26/1.15*15%)),G39/1.1*10%)</f>
        <v>717730.43478260865</v>
      </c>
    </row>
    <row r="41" spans="1:8">
      <c r="A41" s="126"/>
      <c r="B41" s="126" t="s">
        <v>247</v>
      </c>
      <c r="C41" s="180">
        <f>C39-C40</f>
        <v>17766782.608695652</v>
      </c>
      <c r="D41" s="179"/>
      <c r="E41" s="181">
        <f>E39-E40</f>
        <v>17766782.608695652</v>
      </c>
      <c r="F41" s="180">
        <f>F39-F40</f>
        <v>17678269.565217391</v>
      </c>
      <c r="G41" s="181">
        <f>G39-G40</f>
        <v>17678269.565217391</v>
      </c>
    </row>
    <row r="42" spans="1:8">
      <c r="A42" s="126"/>
      <c r="B42" s="126"/>
      <c r="C42" s="182"/>
      <c r="D42" s="179"/>
      <c r="E42" s="183"/>
      <c r="F42" s="182"/>
      <c r="G42" s="183"/>
    </row>
    <row r="43" spans="1:8">
      <c r="A43" s="126"/>
      <c r="B43" s="133" t="s">
        <v>251</v>
      </c>
      <c r="C43" s="184"/>
      <c r="D43" s="184"/>
      <c r="E43" s="184"/>
      <c r="F43" s="184"/>
      <c r="G43" s="184"/>
    </row>
    <row r="44" spans="1:8">
      <c r="A44" s="126"/>
      <c r="B44" s="185" t="s">
        <v>253</v>
      </c>
      <c r="C44" s="179">
        <f>A26+E26-(J26+J31+J15)</f>
        <v>13452000</v>
      </c>
      <c r="D44" s="179"/>
      <c r="E44" s="178">
        <f t="shared" ref="E44:E52" si="8">C44*D100</f>
        <v>13452000</v>
      </c>
      <c r="F44" s="179">
        <f>A26+F26-(J26+J31+J15)</f>
        <v>12773400</v>
      </c>
      <c r="G44" s="178">
        <f t="shared" ref="G44:G52" si="9">F44*D100</f>
        <v>12773400</v>
      </c>
    </row>
    <row r="45" spans="1:8">
      <c r="A45" s="126"/>
      <c r="B45" s="185" t="s">
        <v>242</v>
      </c>
      <c r="C45" s="551"/>
      <c r="D45" s="179"/>
      <c r="E45" s="178">
        <f t="shared" si="8"/>
        <v>0</v>
      </c>
      <c r="F45" s="551">
        <f>C45</f>
        <v>0</v>
      </c>
      <c r="G45" s="178">
        <f t="shared" si="9"/>
        <v>0</v>
      </c>
    </row>
    <row r="46" spans="1:8">
      <c r="A46" s="126"/>
      <c r="B46" s="126" t="s">
        <v>87</v>
      </c>
      <c r="C46" s="551"/>
      <c r="D46" s="179"/>
      <c r="E46" s="178">
        <f t="shared" si="8"/>
        <v>0</v>
      </c>
      <c r="F46" s="551">
        <f>C46</f>
        <v>0</v>
      </c>
      <c r="G46" s="178">
        <f t="shared" si="9"/>
        <v>0</v>
      </c>
    </row>
    <row r="47" spans="1:8" ht="15.6" customHeight="1">
      <c r="A47" s="126"/>
      <c r="B47" s="185" t="s">
        <v>246</v>
      </c>
      <c r="C47" s="551"/>
      <c r="D47" s="179"/>
      <c r="E47" s="178">
        <f t="shared" si="8"/>
        <v>0</v>
      </c>
      <c r="F47" s="551">
        <f>C47</f>
        <v>0</v>
      </c>
      <c r="G47" s="178">
        <f t="shared" si="9"/>
        <v>0</v>
      </c>
    </row>
    <row r="48" spans="1:8">
      <c r="A48" s="126"/>
      <c r="B48" s="185" t="s">
        <v>249</v>
      </c>
      <c r="C48" s="551"/>
      <c r="D48" s="179"/>
      <c r="E48" s="178">
        <f t="shared" si="8"/>
        <v>0</v>
      </c>
      <c r="F48" s="551">
        <f t="shared" ref="F48:F50" si="10">C48</f>
        <v>0</v>
      </c>
      <c r="G48" s="178">
        <f t="shared" si="9"/>
        <v>0</v>
      </c>
    </row>
    <row r="49" spans="1:24">
      <c r="A49" s="126"/>
      <c r="B49" s="185" t="s">
        <v>250</v>
      </c>
      <c r="C49" s="551"/>
      <c r="D49" s="179"/>
      <c r="E49" s="178">
        <f t="shared" si="8"/>
        <v>0</v>
      </c>
      <c r="F49" s="551">
        <f t="shared" si="10"/>
        <v>0</v>
      </c>
      <c r="G49" s="178">
        <f t="shared" si="9"/>
        <v>0</v>
      </c>
    </row>
    <row r="50" spans="1:24">
      <c r="A50" s="126"/>
      <c r="B50" s="185" t="s">
        <v>252</v>
      </c>
      <c r="C50" s="551"/>
      <c r="D50" s="179"/>
      <c r="E50" s="178">
        <f t="shared" si="8"/>
        <v>0</v>
      </c>
      <c r="F50" s="551">
        <f t="shared" si="10"/>
        <v>0</v>
      </c>
      <c r="G50" s="178">
        <f t="shared" si="9"/>
        <v>0</v>
      </c>
    </row>
    <row r="51" spans="1:24">
      <c r="A51" s="126"/>
      <c r="B51" s="185" t="s">
        <v>254</v>
      </c>
      <c r="C51" s="551"/>
      <c r="D51" s="179"/>
      <c r="E51" s="178">
        <f t="shared" si="8"/>
        <v>0</v>
      </c>
      <c r="F51" s="551">
        <f>C51</f>
        <v>0</v>
      </c>
      <c r="G51" s="178">
        <f t="shared" si="9"/>
        <v>0</v>
      </c>
    </row>
    <row r="52" spans="1:24">
      <c r="A52" s="126"/>
      <c r="B52" s="185" t="s">
        <v>255</v>
      </c>
      <c r="C52" s="551"/>
      <c r="D52" s="179"/>
      <c r="E52" s="178">
        <f t="shared" si="8"/>
        <v>0</v>
      </c>
      <c r="F52" s="551">
        <f>C52</f>
        <v>0</v>
      </c>
      <c r="G52" s="178">
        <f t="shared" si="9"/>
        <v>0</v>
      </c>
    </row>
    <row r="53" spans="1:24">
      <c r="A53" s="126"/>
      <c r="B53" s="133" t="s">
        <v>256</v>
      </c>
      <c r="C53" s="186">
        <f>SUM(C44:C52)</f>
        <v>13452000</v>
      </c>
      <c r="D53" s="186"/>
      <c r="E53" s="186">
        <f>SUM(E44:E52)</f>
        <v>13452000</v>
      </c>
      <c r="F53" s="186">
        <f>SUM(F44:F52)</f>
        <v>12773400</v>
      </c>
      <c r="G53" s="186">
        <f>SUM(G44:G52)</f>
        <v>12773400</v>
      </c>
    </row>
    <row r="54" spans="1:24">
      <c r="A54" s="126"/>
      <c r="B54" s="133" t="s">
        <v>258</v>
      </c>
      <c r="C54" s="181">
        <f>C41-C53</f>
        <v>4314782.6086956523</v>
      </c>
      <c r="D54" s="181"/>
      <c r="E54" s="181">
        <f>E41-E53</f>
        <v>4314782.6086956523</v>
      </c>
      <c r="F54" s="181">
        <f>F41-F53</f>
        <v>4904869.5652173907</v>
      </c>
      <c r="G54" s="181">
        <f>G41-G53</f>
        <v>4904869.5652173907</v>
      </c>
    </row>
    <row r="55" spans="1:24">
      <c r="A55" s="126"/>
      <c r="B55" s="133"/>
      <c r="C55" s="187"/>
      <c r="D55" s="179"/>
      <c r="E55" s="187"/>
      <c r="F55" s="187"/>
      <c r="G55" s="187"/>
      <c r="X55" s="206"/>
    </row>
    <row r="56" spans="1:24">
      <c r="A56" s="126"/>
      <c r="B56" s="126" t="s">
        <v>259</v>
      </c>
      <c r="C56" s="178">
        <f>30%*C54</f>
        <v>1294434.7826086956</v>
      </c>
      <c r="D56" s="178"/>
      <c r="E56" s="178">
        <f>30%*E54</f>
        <v>1294434.7826086956</v>
      </c>
      <c r="F56" s="178">
        <f>30%*F54</f>
        <v>1471460.8695652171</v>
      </c>
      <c r="G56" s="178">
        <f>30%*G54</f>
        <v>1471460.8695652171</v>
      </c>
    </row>
    <row r="57" spans="1:24" ht="7.5" customHeight="1">
      <c r="A57" s="126"/>
      <c r="B57" s="126"/>
      <c r="C57" s="185"/>
      <c r="D57" s="185"/>
      <c r="E57" s="188"/>
      <c r="F57" s="185"/>
      <c r="G57" s="188"/>
    </row>
    <row r="58" spans="1:24" ht="13.5" thickBot="1">
      <c r="A58" s="126"/>
      <c r="B58" s="133" t="s">
        <v>260</v>
      </c>
      <c r="C58" s="189">
        <f>C54-C56</f>
        <v>3020347.826086957</v>
      </c>
      <c r="D58" s="185"/>
      <c r="E58" s="189">
        <f>E54-E56</f>
        <v>3020347.826086957</v>
      </c>
      <c r="F58" s="189">
        <f>F54-F56</f>
        <v>3433408.6956521738</v>
      </c>
      <c r="G58" s="189">
        <f>G54-G56</f>
        <v>3433408.6956521738</v>
      </c>
    </row>
    <row r="59" spans="1:24">
      <c r="A59" s="126"/>
      <c r="B59" s="126"/>
      <c r="C59" s="126"/>
      <c r="D59" s="126"/>
      <c r="E59" s="126"/>
      <c r="F59" s="126"/>
      <c r="G59" s="126"/>
    </row>
    <row r="60" spans="1:24">
      <c r="A60" s="126"/>
      <c r="B60" s="126"/>
      <c r="C60" s="133" t="s">
        <v>610</v>
      </c>
      <c r="D60" s="126"/>
      <c r="E60" s="126"/>
      <c r="F60" s="126"/>
      <c r="G60" s="126"/>
    </row>
    <row r="61" spans="1:24">
      <c r="A61" s="126"/>
      <c r="B61" s="133" t="s">
        <v>447</v>
      </c>
      <c r="C61" s="182"/>
      <c r="D61" s="185"/>
      <c r="E61" s="182"/>
      <c r="F61" s="182"/>
      <c r="G61" s="126"/>
    </row>
    <row r="62" spans="1:24">
      <c r="A62" s="126"/>
      <c r="B62" s="489" t="s">
        <v>446</v>
      </c>
      <c r="C62" s="188"/>
      <c r="D62" s="126"/>
      <c r="E62" s="188"/>
      <c r="F62" s="550"/>
      <c r="G62" s="126"/>
    </row>
    <row r="63" spans="1:24">
      <c r="A63" s="126"/>
      <c r="B63" s="489" t="s">
        <v>611</v>
      </c>
      <c r="C63" s="188"/>
      <c r="D63" s="126"/>
      <c r="E63" s="188"/>
      <c r="F63" s="550"/>
      <c r="G63" s="126"/>
    </row>
    <row r="64" spans="1:24">
      <c r="A64" s="126"/>
      <c r="B64" s="489" t="s">
        <v>263</v>
      </c>
      <c r="C64" s="188"/>
      <c r="D64" s="126"/>
      <c r="E64" s="188"/>
      <c r="F64" s="550"/>
      <c r="G64" s="126"/>
    </row>
    <row r="65" spans="1:24">
      <c r="A65" s="126"/>
      <c r="B65" s="490" t="s">
        <v>449</v>
      </c>
      <c r="C65" s="188"/>
      <c r="D65" s="126"/>
      <c r="E65" s="188"/>
      <c r="F65" s="550"/>
      <c r="G65" s="126"/>
      <c r="X65" s="206"/>
    </row>
    <row r="66" spans="1:24">
      <c r="A66" s="126"/>
      <c r="B66" s="490" t="s">
        <v>450</v>
      </c>
      <c r="C66" s="188"/>
      <c r="D66" s="126"/>
      <c r="E66" s="188"/>
      <c r="F66" s="620"/>
      <c r="G66" s="126"/>
    </row>
    <row r="67" spans="1:24">
      <c r="A67" s="126"/>
      <c r="B67" s="489" t="s">
        <v>451</v>
      </c>
      <c r="C67" s="126"/>
      <c r="D67" s="126"/>
      <c r="E67" s="188"/>
      <c r="F67" s="552"/>
      <c r="G67" s="126"/>
    </row>
    <row r="68" spans="1:24">
      <c r="A68" s="126"/>
      <c r="B68" s="133" t="s">
        <v>448</v>
      </c>
      <c r="C68" s="133"/>
      <c r="D68" s="133"/>
      <c r="E68" s="491"/>
      <c r="F68" s="492">
        <f>SUM(F62:F67)</f>
        <v>0</v>
      </c>
      <c r="G68" s="126"/>
    </row>
    <row r="70" spans="1:24" ht="18.75">
      <c r="A70" s="123" t="s">
        <v>558</v>
      </c>
      <c r="B70" s="124"/>
      <c r="C70" s="124"/>
      <c r="D70" s="125"/>
      <c r="E70" s="124"/>
      <c r="F70" s="124"/>
      <c r="G70" s="124"/>
      <c r="H70" s="124"/>
      <c r="I70" s="124"/>
      <c r="J70" s="124"/>
      <c r="K70" s="125"/>
      <c r="L70" s="125"/>
      <c r="M70" s="125"/>
    </row>
    <row r="71" spans="1:24" ht="15" customHeight="1">
      <c r="A71" s="126"/>
      <c r="B71" s="127" t="s">
        <v>171</v>
      </c>
      <c r="C71" s="128" t="s">
        <v>68</v>
      </c>
      <c r="D71" s="126"/>
      <c r="E71" s="129" t="s">
        <v>172</v>
      </c>
      <c r="F71" s="130">
        <v>45229</v>
      </c>
      <c r="G71" s="131"/>
      <c r="H71" s="596"/>
      <c r="I71" s="131"/>
      <c r="J71" s="131"/>
      <c r="K71" s="131"/>
      <c r="L71" s="131"/>
      <c r="M71" s="131"/>
    </row>
    <row r="72" spans="1:24" ht="17.45" customHeight="1">
      <c r="A72" s="126"/>
      <c r="B72" s="126"/>
      <c r="C72" s="132" t="s">
        <v>173</v>
      </c>
      <c r="D72" s="126"/>
      <c r="E72" s="126"/>
      <c r="F72" s="126"/>
      <c r="G72" s="126"/>
      <c r="H72" s="597"/>
      <c r="I72" s="126"/>
      <c r="J72" s="131"/>
      <c r="K72" s="131"/>
      <c r="L72" s="131"/>
      <c r="M72" s="131"/>
    </row>
    <row r="73" spans="1:24">
      <c r="A73" s="735" t="s">
        <v>174</v>
      </c>
      <c r="B73" s="736"/>
      <c r="C73" s="134">
        <f>F71</f>
        <v>45229</v>
      </c>
      <c r="D73" s="135"/>
      <c r="E73" s="133" t="s">
        <v>175</v>
      </c>
      <c r="F73" s="133"/>
      <c r="G73" s="126"/>
      <c r="H73" s="114"/>
      <c r="I73" s="126"/>
      <c r="J73" s="131"/>
      <c r="K73" s="131"/>
      <c r="L73" s="131"/>
      <c r="M73" s="131"/>
    </row>
    <row r="74" spans="1:24">
      <c r="A74" s="638" t="s">
        <v>176</v>
      </c>
      <c r="B74" s="126"/>
      <c r="C74" s="126"/>
      <c r="D74" s="135"/>
      <c r="E74" s="126" t="s">
        <v>177</v>
      </c>
      <c r="F74" s="126"/>
      <c r="G74" s="126"/>
      <c r="H74" s="114"/>
      <c r="I74" s="126"/>
      <c r="J74" s="131"/>
      <c r="K74" s="131"/>
      <c r="L74" s="131"/>
      <c r="M74" s="131"/>
    </row>
    <row r="75" spans="1:24">
      <c r="A75" s="639"/>
      <c r="B75" s="136" t="s">
        <v>90</v>
      </c>
      <c r="C75" s="562"/>
      <c r="D75" s="135"/>
      <c r="E75" s="137" t="s">
        <v>178</v>
      </c>
      <c r="F75" s="126"/>
      <c r="G75" s="135">
        <f>G26</f>
        <v>678600</v>
      </c>
      <c r="H75" s="114"/>
      <c r="I75" s="126"/>
      <c r="J75" s="131"/>
      <c r="K75" s="131"/>
      <c r="L75" s="131"/>
      <c r="M75" s="131"/>
    </row>
    <row r="76" spans="1:24" ht="18.75">
      <c r="A76" s="639"/>
      <c r="B76" s="138" t="s">
        <v>179</v>
      </c>
      <c r="C76" s="562"/>
      <c r="D76" s="135"/>
      <c r="E76" s="137" t="s">
        <v>180</v>
      </c>
      <c r="F76" s="126"/>
      <c r="G76" s="562">
        <v>0</v>
      </c>
      <c r="H76" s="114"/>
      <c r="I76" s="123" t="s">
        <v>181</v>
      </c>
      <c r="J76" s="123"/>
      <c r="K76" s="123"/>
      <c r="L76" s="123"/>
      <c r="M76" s="131"/>
    </row>
    <row r="77" spans="1:24" ht="18.75">
      <c r="A77" s="639"/>
      <c r="B77" s="136" t="s">
        <v>182</v>
      </c>
      <c r="C77" s="135">
        <f>G15</f>
        <v>0</v>
      </c>
      <c r="D77" s="135"/>
      <c r="E77" s="137" t="s">
        <v>183</v>
      </c>
      <c r="F77" s="126"/>
      <c r="G77" s="562"/>
      <c r="H77" s="114"/>
      <c r="I77" s="123"/>
      <c r="J77" s="123"/>
      <c r="K77" s="123"/>
      <c r="L77" s="123"/>
      <c r="M77" s="131"/>
    </row>
    <row r="78" spans="1:24">
      <c r="A78" s="639"/>
      <c r="B78" s="136" t="s">
        <v>184</v>
      </c>
      <c r="C78" s="562">
        <v>0</v>
      </c>
      <c r="D78" s="135"/>
      <c r="E78" s="137" t="s">
        <v>185</v>
      </c>
      <c r="F78" s="126"/>
      <c r="G78" s="135"/>
      <c r="H78" s="114"/>
      <c r="I78" s="139"/>
      <c r="J78" s="140" t="s">
        <v>173</v>
      </c>
      <c r="K78" s="141"/>
      <c r="L78" s="140" t="s">
        <v>186</v>
      </c>
      <c r="M78" s="131"/>
    </row>
    <row r="79" spans="1:24">
      <c r="A79" s="639"/>
      <c r="B79" s="136" t="s">
        <v>187</v>
      </c>
      <c r="C79" s="135">
        <f>J15+J26+J31</f>
        <v>120000</v>
      </c>
      <c r="D79" s="135"/>
      <c r="E79" s="133" t="s">
        <v>188</v>
      </c>
      <c r="F79" s="126"/>
      <c r="G79" s="142">
        <f>SUM(G75:G78)</f>
        <v>678600</v>
      </c>
      <c r="H79" s="114"/>
      <c r="I79" s="143" t="s">
        <v>189</v>
      </c>
      <c r="J79" s="144">
        <f>(C75+C76)/G79*100</f>
        <v>0</v>
      </c>
      <c r="K79" s="144"/>
      <c r="L79" s="626">
        <f>O135/((G79*D100)+'(1)Basic Info and loan request'!C42/'(1)Basic Info and loan request'!C44*12)</f>
        <v>2.6852875767653481</v>
      </c>
      <c r="M79" s="131"/>
    </row>
    <row r="80" spans="1:24">
      <c r="A80" s="639"/>
      <c r="B80" s="136" t="s">
        <v>190</v>
      </c>
      <c r="C80" s="562">
        <v>0</v>
      </c>
      <c r="D80" s="135"/>
      <c r="E80" s="133"/>
      <c r="F80" s="126"/>
      <c r="G80" s="142"/>
      <c r="H80" s="114"/>
      <c r="I80" s="143" t="s">
        <v>191</v>
      </c>
      <c r="J80" s="144">
        <f>G85/G89</f>
        <v>-1.2148227712137487</v>
      </c>
      <c r="K80" s="144"/>
      <c r="L80" s="144">
        <f>((G85*D100)+B139)/(G89+E58)</f>
        <v>0.76311634363707637</v>
      </c>
      <c r="M80" s="131"/>
    </row>
    <row r="81" spans="1:17">
      <c r="A81" s="639"/>
      <c r="B81" s="136" t="s">
        <v>192</v>
      </c>
      <c r="C81" s="562">
        <v>0</v>
      </c>
      <c r="D81" s="135"/>
      <c r="E81" s="126" t="s">
        <v>193</v>
      </c>
      <c r="F81" s="126"/>
      <c r="G81" s="126"/>
      <c r="H81" s="114"/>
      <c r="I81" s="143"/>
      <c r="J81" s="144"/>
      <c r="K81" s="144"/>
      <c r="L81" s="144"/>
      <c r="M81" s="131"/>
    </row>
    <row r="82" spans="1:17" ht="13.5" thickBot="1">
      <c r="A82" s="639"/>
      <c r="B82" s="145" t="s">
        <v>194</v>
      </c>
      <c r="C82" s="142">
        <f>SUM(C75:C81)</f>
        <v>120000</v>
      </c>
      <c r="D82" s="135"/>
      <c r="E82" s="137" t="s">
        <v>195</v>
      </c>
      <c r="F82" s="126"/>
      <c r="G82" s="562"/>
      <c r="H82" s="114"/>
      <c r="I82" s="146"/>
      <c r="J82" s="147"/>
      <c r="K82" s="147"/>
      <c r="L82" s="147"/>
      <c r="M82" s="131"/>
    </row>
    <row r="83" spans="1:17">
      <c r="A83" s="638" t="s">
        <v>196</v>
      </c>
      <c r="B83" s="126"/>
      <c r="C83" s="135"/>
      <c r="D83" s="135"/>
      <c r="E83" s="137" t="s">
        <v>197</v>
      </c>
      <c r="F83" s="126"/>
      <c r="G83" s="562"/>
      <c r="H83" s="114"/>
      <c r="I83" s="139"/>
      <c r="J83" s="148"/>
      <c r="K83" s="148"/>
      <c r="L83" s="148"/>
      <c r="M83" s="131"/>
    </row>
    <row r="84" spans="1:17">
      <c r="A84" s="639"/>
      <c r="B84" s="149" t="s">
        <v>198</v>
      </c>
      <c r="C84" s="562"/>
      <c r="D84" s="135"/>
      <c r="E84" s="133" t="s">
        <v>199</v>
      </c>
      <c r="F84" s="126"/>
      <c r="G84" s="142">
        <f>SUM(G82:G83)</f>
        <v>0</v>
      </c>
      <c r="H84" s="114"/>
      <c r="I84" s="139" t="s">
        <v>200</v>
      </c>
      <c r="J84" s="148">
        <f>C58/C41</f>
        <v>0.16999970634011691</v>
      </c>
      <c r="K84" s="148"/>
      <c r="L84" s="148">
        <f>E58/E41</f>
        <v>0.16999970634011691</v>
      </c>
      <c r="M84" s="131"/>
    </row>
    <row r="85" spans="1:17" ht="25.5">
      <c r="A85" s="126"/>
      <c r="B85" s="549" t="s">
        <v>201</v>
      </c>
      <c r="C85" s="562"/>
      <c r="D85" s="135"/>
      <c r="E85" s="133" t="s">
        <v>481</v>
      </c>
      <c r="F85" s="126"/>
      <c r="G85" s="142">
        <f>G79+G84</f>
        <v>678600</v>
      </c>
      <c r="H85" s="114"/>
      <c r="I85" s="139" t="s">
        <v>203</v>
      </c>
      <c r="J85" s="148">
        <f>(F58+F68)*'(1)Basic Info and loan request'!F48/'(1)Basic Info and loan request'!F46/'(7)Repayment Schedule'!C97</f>
        <v>4.7758727751559844</v>
      </c>
      <c r="K85" s="148"/>
      <c r="L85" s="148">
        <f>M148*'(1)Basic Info and loan request'!F48/'(1)Basic Info and loan request'!F46/'(7)Repayment Schedule'!C97</f>
        <v>6.4450732223513825</v>
      </c>
      <c r="M85" s="131"/>
    </row>
    <row r="86" spans="1:17">
      <c r="A86" s="126"/>
      <c r="B86" s="149" t="s">
        <v>204</v>
      </c>
      <c r="C86" s="562"/>
      <c r="D86" s="135"/>
      <c r="E86" s="126" t="s">
        <v>202</v>
      </c>
      <c r="F86" s="126"/>
      <c r="G86" s="126"/>
      <c r="H86" s="114"/>
      <c r="I86" s="139"/>
      <c r="J86" s="148"/>
      <c r="K86" s="148"/>
      <c r="L86" s="148"/>
      <c r="M86" s="131"/>
    </row>
    <row r="87" spans="1:17">
      <c r="A87" s="126"/>
      <c r="B87" s="150" t="s">
        <v>206</v>
      </c>
      <c r="C87" s="142">
        <f>SUM(C84:C86)</f>
        <v>0</v>
      </c>
      <c r="D87" s="135"/>
      <c r="E87" s="137" t="s">
        <v>205</v>
      </c>
      <c r="F87" s="126"/>
      <c r="G87" s="135">
        <f>C91-G85-G88</f>
        <v>-3578947.826086957</v>
      </c>
      <c r="H87" s="114"/>
      <c r="I87" s="139" t="s">
        <v>208</v>
      </c>
      <c r="J87" s="148">
        <f>F58*'(1)Basic Info and loan request'!F48/'(1)Basic Info and loan request'!F46/'(7)Repayment Schedule'!C97</f>
        <v>4.7758727751559844</v>
      </c>
      <c r="K87" s="148"/>
      <c r="L87" s="148">
        <f>(O135*'(1)Basic Info and loan request'!F48/'(1)Basic Info and loan request'!F46/'(7)Repayment Schedule'!C97)</f>
        <v>4.7758727751559844</v>
      </c>
      <c r="M87" s="131"/>
    </row>
    <row r="88" spans="1:17">
      <c r="A88" s="126"/>
      <c r="B88" s="150"/>
      <c r="C88" s="142"/>
      <c r="D88" s="126"/>
      <c r="E88" s="137" t="s">
        <v>207</v>
      </c>
      <c r="F88" s="126"/>
      <c r="G88" s="135">
        <f>C58</f>
        <v>3020347.826086957</v>
      </c>
      <c r="H88" s="114"/>
      <c r="I88" s="126"/>
      <c r="J88" s="131"/>
      <c r="K88" s="131"/>
      <c r="L88" s="131"/>
      <c r="M88" s="131"/>
    </row>
    <row r="89" spans="1:17">
      <c r="A89" s="126"/>
      <c r="B89" s="126"/>
      <c r="C89" s="135"/>
      <c r="D89" s="126"/>
      <c r="E89" s="133" t="s">
        <v>209</v>
      </c>
      <c r="F89" s="126"/>
      <c r="G89" s="142">
        <f>SUM(G87:G88)</f>
        <v>-558600</v>
      </c>
      <c r="H89" s="114"/>
      <c r="I89" s="126"/>
      <c r="J89" s="131"/>
      <c r="K89" s="131"/>
      <c r="L89" s="131"/>
      <c r="M89" s="131"/>
    </row>
    <row r="90" spans="1:17">
      <c r="A90" s="126"/>
      <c r="B90" s="126"/>
      <c r="C90" s="135"/>
      <c r="D90" s="126"/>
      <c r="E90" s="133"/>
      <c r="F90" s="126"/>
      <c r="G90" s="133"/>
      <c r="H90" s="114"/>
      <c r="I90" s="135"/>
      <c r="J90" s="131"/>
      <c r="K90" s="131"/>
      <c r="L90" s="131"/>
      <c r="M90" s="131"/>
    </row>
    <row r="91" spans="1:17" ht="13.5" thickBot="1">
      <c r="A91" s="126"/>
      <c r="B91" s="151" t="s">
        <v>210</v>
      </c>
      <c r="C91" s="152">
        <f>C82+C87</f>
        <v>120000</v>
      </c>
      <c r="D91" s="126"/>
      <c r="E91" s="133" t="s">
        <v>211</v>
      </c>
      <c r="F91" s="126"/>
      <c r="G91" s="152">
        <f>G85+G89</f>
        <v>120000</v>
      </c>
      <c r="H91" s="114"/>
      <c r="I91" s="126"/>
      <c r="J91" s="131"/>
      <c r="K91" s="131"/>
      <c r="L91" s="131"/>
      <c r="M91" s="131"/>
    </row>
    <row r="92" spans="1:17">
      <c r="A92" s="640"/>
      <c r="B92" s="640"/>
      <c r="C92" s="640"/>
      <c r="D92" s="640"/>
      <c r="E92" s="640"/>
      <c r="F92" s="640"/>
      <c r="G92" s="640"/>
      <c r="H92" s="640"/>
      <c r="I92" s="640"/>
      <c r="J92" s="640"/>
      <c r="K92" s="640"/>
      <c r="L92" s="640"/>
      <c r="M92" s="640"/>
      <c r="N92" s="640"/>
      <c r="O92" s="640"/>
      <c r="P92" s="640"/>
      <c r="Q92" s="640"/>
    </row>
    <row r="93" spans="1:17" ht="15" hidden="1">
      <c r="A93" s="640" t="s">
        <v>212</v>
      </c>
      <c r="B93" s="640"/>
      <c r="C93" s="641" t="s">
        <v>213</v>
      </c>
      <c r="D93" s="641" t="s">
        <v>214</v>
      </c>
      <c r="E93" s="641"/>
      <c r="F93" s="641" t="s">
        <v>215</v>
      </c>
      <c r="G93" s="642"/>
      <c r="H93" s="642"/>
      <c r="I93" s="640"/>
      <c r="J93" s="640"/>
      <c r="K93" s="640"/>
      <c r="L93" s="640"/>
      <c r="M93" s="640"/>
      <c r="N93" s="640"/>
      <c r="O93" s="640"/>
      <c r="P93" s="640"/>
      <c r="Q93" s="640"/>
    </row>
    <row r="94" spans="1:17" hidden="1">
      <c r="A94" s="640"/>
      <c r="B94" s="640"/>
      <c r="C94" s="643"/>
      <c r="D94" s="643"/>
      <c r="E94" s="640" t="s">
        <v>216</v>
      </c>
      <c r="F94" s="644"/>
      <c r="G94" s="645"/>
      <c r="H94" s="645"/>
      <c r="I94" s="640"/>
      <c r="J94" s="640"/>
      <c r="K94" s="640"/>
      <c r="L94" s="640"/>
      <c r="M94" s="640"/>
      <c r="N94" s="640"/>
      <c r="O94" s="640"/>
      <c r="P94" s="640"/>
      <c r="Q94" s="640"/>
    </row>
    <row r="95" spans="1:17">
      <c r="A95" s="640"/>
      <c r="B95" s="640"/>
      <c r="C95" s="640"/>
      <c r="D95" s="640"/>
      <c r="E95" s="640"/>
      <c r="F95" s="640"/>
      <c r="G95" s="640"/>
      <c r="H95" s="640"/>
      <c r="I95" s="640"/>
      <c r="J95" s="640"/>
      <c r="K95" s="640"/>
      <c r="L95" s="640"/>
      <c r="M95" s="640"/>
      <c r="N95" s="640"/>
      <c r="O95" s="640"/>
      <c r="P95" s="640"/>
      <c r="Q95" s="640"/>
    </row>
    <row r="96" spans="1:17" ht="12.95" customHeight="1">
      <c r="A96" s="747" t="s">
        <v>559</v>
      </c>
      <c r="B96" s="747"/>
      <c r="C96" s="747"/>
      <c r="D96" s="747"/>
      <c r="E96" s="747"/>
      <c r="F96" s="747"/>
      <c r="G96" s="748"/>
    </row>
    <row r="97" spans="1:15" ht="12.6" customHeight="1">
      <c r="A97" s="747"/>
      <c r="B97" s="747"/>
      <c r="C97" s="747"/>
      <c r="D97" s="747"/>
      <c r="E97" s="747"/>
      <c r="F97" s="747"/>
      <c r="G97" s="748"/>
    </row>
    <row r="98" spans="1:15">
      <c r="A98" s="126"/>
      <c r="B98" s="601" t="s">
        <v>221</v>
      </c>
      <c r="C98" s="600" t="s">
        <v>222</v>
      </c>
      <c r="D98" s="600" t="s">
        <v>223</v>
      </c>
      <c r="E98" s="732" t="s">
        <v>224</v>
      </c>
      <c r="F98" s="733"/>
      <c r="G98" s="734"/>
    </row>
    <row r="99" spans="1:15">
      <c r="A99" s="126"/>
      <c r="B99" s="602" t="s">
        <v>238</v>
      </c>
      <c r="C99" s="168"/>
      <c r="D99" s="593">
        <f>100%+C99</f>
        <v>1</v>
      </c>
      <c r="E99" s="737"/>
      <c r="F99" s="738"/>
      <c r="G99" s="739"/>
    </row>
    <row r="100" spans="1:15">
      <c r="A100" s="126"/>
      <c r="B100" s="602" t="s">
        <v>241</v>
      </c>
      <c r="C100" s="173"/>
      <c r="D100" s="593">
        <f t="shared" ref="D100:D108" si="11">100%+C100</f>
        <v>1</v>
      </c>
      <c r="E100" s="737"/>
      <c r="F100" s="738"/>
      <c r="G100" s="739"/>
    </row>
    <row r="101" spans="1:15">
      <c r="A101" s="126"/>
      <c r="B101" s="603" t="s">
        <v>242</v>
      </c>
      <c r="C101" s="173"/>
      <c r="D101" s="593">
        <f t="shared" si="11"/>
        <v>1</v>
      </c>
      <c r="E101" s="737"/>
      <c r="F101" s="738"/>
      <c r="G101" s="739"/>
    </row>
    <row r="102" spans="1:15">
      <c r="A102" s="126"/>
      <c r="B102" s="604" t="s">
        <v>87</v>
      </c>
      <c r="C102" s="173"/>
      <c r="D102" s="593">
        <f t="shared" si="11"/>
        <v>1</v>
      </c>
      <c r="E102" s="737"/>
      <c r="F102" s="738"/>
      <c r="G102" s="739"/>
    </row>
    <row r="103" spans="1:15">
      <c r="A103" s="126"/>
      <c r="B103" s="603" t="s">
        <v>246</v>
      </c>
      <c r="C103" s="173"/>
      <c r="D103" s="593">
        <f t="shared" si="11"/>
        <v>1</v>
      </c>
      <c r="E103" s="737"/>
      <c r="F103" s="738"/>
      <c r="G103" s="739"/>
    </row>
    <row r="104" spans="1:15">
      <c r="A104" s="126"/>
      <c r="B104" s="603" t="s">
        <v>249</v>
      </c>
      <c r="C104" s="173"/>
      <c r="D104" s="593">
        <f t="shared" si="11"/>
        <v>1</v>
      </c>
      <c r="E104" s="737"/>
      <c r="F104" s="738"/>
      <c r="G104" s="739"/>
    </row>
    <row r="105" spans="1:15">
      <c r="A105" s="126"/>
      <c r="B105" s="603" t="s">
        <v>250</v>
      </c>
      <c r="C105" s="662"/>
      <c r="D105" s="593">
        <f t="shared" si="11"/>
        <v>1</v>
      </c>
      <c r="E105" s="737"/>
      <c r="F105" s="738"/>
      <c r="G105" s="739"/>
    </row>
    <row r="106" spans="1:15">
      <c r="A106" s="126"/>
      <c r="B106" s="603" t="s">
        <v>252</v>
      </c>
      <c r="C106" s="662"/>
      <c r="D106" s="593">
        <f t="shared" si="11"/>
        <v>1</v>
      </c>
      <c r="E106" s="737"/>
      <c r="F106" s="738"/>
      <c r="G106" s="739"/>
    </row>
    <row r="107" spans="1:15">
      <c r="A107" s="126"/>
      <c r="B107" s="603" t="s">
        <v>254</v>
      </c>
      <c r="C107" s="662"/>
      <c r="D107" s="593">
        <f t="shared" si="11"/>
        <v>1</v>
      </c>
      <c r="E107" s="737"/>
      <c r="F107" s="738"/>
      <c r="G107" s="739"/>
    </row>
    <row r="108" spans="1:15" ht="13.5" thickBot="1">
      <c r="A108" s="126"/>
      <c r="B108" s="605" t="s">
        <v>255</v>
      </c>
      <c r="C108" s="662"/>
      <c r="D108" s="606">
        <f t="shared" si="11"/>
        <v>1</v>
      </c>
      <c r="E108" s="737"/>
      <c r="F108" s="738"/>
      <c r="G108" s="739"/>
    </row>
    <row r="109" spans="1:15" ht="13.5" thickTop="1">
      <c r="A109" s="640"/>
      <c r="B109" s="640"/>
      <c r="C109" s="640"/>
      <c r="D109" s="640"/>
      <c r="E109" s="640"/>
      <c r="F109" s="640"/>
      <c r="G109" s="640"/>
      <c r="H109" s="640"/>
      <c r="I109" s="640"/>
      <c r="J109" s="640"/>
      <c r="K109" s="640"/>
      <c r="L109" s="640"/>
      <c r="M109" s="640"/>
      <c r="N109" s="640"/>
      <c r="O109" s="640"/>
    </row>
    <row r="110" spans="1:15">
      <c r="A110" s="640"/>
      <c r="B110" s="640"/>
      <c r="C110" s="640"/>
      <c r="D110" s="640"/>
      <c r="E110" s="640"/>
      <c r="F110" s="640"/>
      <c r="G110" s="640"/>
      <c r="H110" s="640"/>
      <c r="I110" s="640"/>
      <c r="J110" s="640"/>
      <c r="K110" s="640"/>
      <c r="L110" s="640"/>
      <c r="M110" s="640"/>
      <c r="N110" s="640"/>
      <c r="O110" s="640"/>
    </row>
    <row r="111" spans="1:15" ht="18.75">
      <c r="A111" s="125"/>
      <c r="B111" s="123"/>
      <c r="C111" s="124"/>
      <c r="D111" s="124"/>
      <c r="E111" s="124"/>
      <c r="F111" s="124"/>
      <c r="G111" s="155"/>
      <c r="H111" s="125"/>
      <c r="I111" s="123"/>
      <c r="J111" s="124"/>
      <c r="K111" s="124"/>
      <c r="L111" s="124"/>
      <c r="M111" s="124"/>
      <c r="N111" s="155"/>
      <c r="O111" s="125"/>
    </row>
    <row r="112" spans="1:15" ht="18.75">
      <c r="A112" s="123" t="s">
        <v>560</v>
      </c>
      <c r="B112" s="123"/>
      <c r="C112" s="124"/>
      <c r="D112" s="124"/>
      <c r="E112" s="124"/>
      <c r="F112" s="124"/>
      <c r="G112" s="155"/>
      <c r="H112" s="125"/>
      <c r="I112" s="123"/>
      <c r="J112" s="124"/>
      <c r="K112" s="124"/>
      <c r="L112" s="124"/>
      <c r="M112" s="124"/>
      <c r="N112" s="155"/>
      <c r="O112" s="125"/>
    </row>
    <row r="113" spans="1:15">
      <c r="A113" s="159" t="s">
        <v>172</v>
      </c>
      <c r="B113" s="160">
        <f>F71</f>
        <v>45229</v>
      </c>
    </row>
    <row r="114" spans="1:15">
      <c r="A114" s="162"/>
      <c r="B114" s="163">
        <f>EOMONTH(($B$113),1)</f>
        <v>45260</v>
      </c>
      <c r="C114" s="163">
        <f>EOMONTH(($B$113),2)</f>
        <v>45291</v>
      </c>
      <c r="D114" s="163">
        <f>EOMONTH(($B$113),3)</f>
        <v>45322</v>
      </c>
      <c r="E114" s="163">
        <f>EOMONTH(($B$113),4)</f>
        <v>45351</v>
      </c>
      <c r="F114" s="163">
        <f>EOMONTH(($B$113),5)</f>
        <v>45382</v>
      </c>
      <c r="G114" s="163">
        <f>EOMONTH(($B$113),6)</f>
        <v>45412</v>
      </c>
      <c r="H114" s="163">
        <f>EOMONTH(($B$113),7)</f>
        <v>45443</v>
      </c>
      <c r="I114" s="163">
        <f>EOMONTH(($B$113),8)</f>
        <v>45473</v>
      </c>
      <c r="J114" s="163">
        <f>EOMONTH(($B$113),9)</f>
        <v>45504</v>
      </c>
      <c r="K114" s="163">
        <f>EOMONTH(($B$113),10)</f>
        <v>45535</v>
      </c>
      <c r="L114" s="163">
        <f>EOMONTH(($B$113),11)</f>
        <v>45565</v>
      </c>
      <c r="M114" s="163">
        <f>EOMONTH(($B$113),12)</f>
        <v>45596</v>
      </c>
      <c r="N114" s="164"/>
      <c r="O114" s="554"/>
    </row>
    <row r="115" spans="1:15">
      <c r="A115" s="166"/>
      <c r="B115" s="167" t="s">
        <v>225</v>
      </c>
      <c r="C115" s="167" t="s">
        <v>226</v>
      </c>
      <c r="D115" s="167" t="s">
        <v>227</v>
      </c>
      <c r="E115" s="167" t="s">
        <v>228</v>
      </c>
      <c r="F115" s="167" t="s">
        <v>229</v>
      </c>
      <c r="G115" s="167" t="s">
        <v>230</v>
      </c>
      <c r="H115" s="167" t="s">
        <v>231</v>
      </c>
      <c r="I115" s="167" t="s">
        <v>232</v>
      </c>
      <c r="J115" s="167" t="s">
        <v>233</v>
      </c>
      <c r="K115" s="167" t="s">
        <v>234</v>
      </c>
      <c r="L115" s="167" t="s">
        <v>235</v>
      </c>
      <c r="M115" s="167" t="s">
        <v>236</v>
      </c>
      <c r="N115" s="164" t="s">
        <v>126</v>
      </c>
      <c r="O115" s="555" t="s">
        <v>237</v>
      </c>
    </row>
    <row r="116" spans="1:15" ht="25.5" customHeight="1">
      <c r="A116" s="171" t="s">
        <v>240</v>
      </c>
      <c r="B116" s="172">
        <f>C75+C76</f>
        <v>0</v>
      </c>
      <c r="C116" s="172">
        <f t="shared" ref="C116:M116" si="12">B148</f>
        <v>1486117.3913043479</v>
      </c>
      <c r="D116" s="172">
        <f t="shared" si="12"/>
        <v>1772234.7826086958</v>
      </c>
      <c r="E116" s="172">
        <f t="shared" si="12"/>
        <v>2058352.1739130437</v>
      </c>
      <c r="F116" s="172">
        <f t="shared" si="12"/>
        <v>2344469.5652173916</v>
      </c>
      <c r="G116" s="172">
        <f t="shared" si="12"/>
        <v>2630586.9565217393</v>
      </c>
      <c r="H116" s="172">
        <f t="shared" si="12"/>
        <v>2916704.3478260869</v>
      </c>
      <c r="I116" s="172">
        <f t="shared" si="12"/>
        <v>3202821.7391304346</v>
      </c>
      <c r="J116" s="172">
        <f t="shared" si="12"/>
        <v>3488939.1304347822</v>
      </c>
      <c r="K116" s="172">
        <f t="shared" si="12"/>
        <v>3775056.5217391299</v>
      </c>
      <c r="L116" s="172">
        <f t="shared" si="12"/>
        <v>4061173.9130434776</v>
      </c>
      <c r="M116" s="172">
        <f t="shared" si="12"/>
        <v>4347291.3043478252</v>
      </c>
      <c r="N116" s="172"/>
      <c r="O116" s="556"/>
    </row>
    <row r="117" spans="1:15" ht="33.6" customHeight="1">
      <c r="A117" s="636" t="s">
        <v>555</v>
      </c>
      <c r="B117" s="175">
        <v>1</v>
      </c>
      <c r="C117" s="175">
        <v>1</v>
      </c>
      <c r="D117" s="175">
        <v>1</v>
      </c>
      <c r="E117" s="175">
        <v>1</v>
      </c>
      <c r="F117" s="175">
        <v>1</v>
      </c>
      <c r="G117" s="175">
        <v>1</v>
      </c>
      <c r="H117" s="175">
        <v>1</v>
      </c>
      <c r="I117" s="175">
        <v>1</v>
      </c>
      <c r="J117" s="175">
        <v>1</v>
      </c>
      <c r="K117" s="175">
        <v>1</v>
      </c>
      <c r="L117" s="175">
        <v>1</v>
      </c>
      <c r="M117" s="175">
        <v>1</v>
      </c>
      <c r="N117" s="164"/>
      <c r="O117" s="557"/>
    </row>
    <row r="118" spans="1:15" ht="14.45" customHeight="1">
      <c r="A118" s="745" t="s">
        <v>243</v>
      </c>
      <c r="B118" s="745"/>
      <c r="C118" s="176"/>
      <c r="D118" s="176"/>
      <c r="E118" s="176"/>
      <c r="F118" s="176"/>
      <c r="G118" s="176"/>
      <c r="H118" s="176"/>
      <c r="I118" s="176"/>
      <c r="J118" s="176"/>
      <c r="K118" s="176"/>
      <c r="L118" s="176"/>
      <c r="M118" s="176"/>
      <c r="N118" s="177"/>
      <c r="O118" s="177"/>
    </row>
    <row r="119" spans="1:15" ht="15">
      <c r="A119" s="126" t="str">
        <f>B39</f>
        <v>Sales-Gross</v>
      </c>
      <c r="B119" s="548">
        <f t="shared" ref="B119:M119" si="13">(($F39+$G39)/2/12)*B$117</f>
        <v>1533000</v>
      </c>
      <c r="C119" s="548">
        <f t="shared" si="13"/>
        <v>1533000</v>
      </c>
      <c r="D119" s="548">
        <f t="shared" si="13"/>
        <v>1533000</v>
      </c>
      <c r="E119" s="548">
        <f t="shared" si="13"/>
        <v>1533000</v>
      </c>
      <c r="F119" s="548">
        <f t="shared" si="13"/>
        <v>1533000</v>
      </c>
      <c r="G119" s="548">
        <f t="shared" si="13"/>
        <v>1533000</v>
      </c>
      <c r="H119" s="548">
        <f t="shared" si="13"/>
        <v>1533000</v>
      </c>
      <c r="I119" s="548">
        <f t="shared" si="13"/>
        <v>1533000</v>
      </c>
      <c r="J119" s="548">
        <f t="shared" si="13"/>
        <v>1533000</v>
      </c>
      <c r="K119" s="548">
        <f t="shared" si="13"/>
        <v>1533000</v>
      </c>
      <c r="L119" s="548">
        <f t="shared" si="13"/>
        <v>1533000</v>
      </c>
      <c r="M119" s="548">
        <f t="shared" si="13"/>
        <v>1533000</v>
      </c>
      <c r="N119" s="164">
        <f>AVERAGE(B119:M119)</f>
        <v>1533000</v>
      </c>
      <c r="O119" s="556">
        <f>SUM(B119:M119)</f>
        <v>18396000</v>
      </c>
    </row>
    <row r="120" spans="1:15" ht="15">
      <c r="A120" s="126" t="str">
        <f>B40</f>
        <v>VAT/TOT</v>
      </c>
      <c r="B120" s="548">
        <f t="shared" ref="B120:M120" si="14">($G40/12)*B$117</f>
        <v>59810.869565217385</v>
      </c>
      <c r="C120" s="548">
        <f t="shared" si="14"/>
        <v>59810.869565217385</v>
      </c>
      <c r="D120" s="548">
        <f t="shared" si="14"/>
        <v>59810.869565217385</v>
      </c>
      <c r="E120" s="548">
        <f t="shared" si="14"/>
        <v>59810.869565217385</v>
      </c>
      <c r="F120" s="548">
        <f t="shared" si="14"/>
        <v>59810.869565217385</v>
      </c>
      <c r="G120" s="548">
        <f t="shared" si="14"/>
        <v>59810.869565217385</v>
      </c>
      <c r="H120" s="548">
        <f t="shared" si="14"/>
        <v>59810.869565217385</v>
      </c>
      <c r="I120" s="548">
        <f t="shared" si="14"/>
        <v>59810.869565217385</v>
      </c>
      <c r="J120" s="548">
        <f t="shared" si="14"/>
        <v>59810.869565217385</v>
      </c>
      <c r="K120" s="548">
        <f t="shared" si="14"/>
        <v>59810.869565217385</v>
      </c>
      <c r="L120" s="548">
        <f t="shared" si="14"/>
        <v>59810.869565217385</v>
      </c>
      <c r="M120" s="548">
        <f t="shared" si="14"/>
        <v>59810.869565217385</v>
      </c>
      <c r="N120" s="164">
        <f t="shared" ref="N120:N132" si="15">AVERAGE(B120:M120)</f>
        <v>59810.869565217399</v>
      </c>
      <c r="O120" s="556">
        <f t="shared" ref="O120:O132" si="16">SUM(B120:M120)</f>
        <v>717730.43478260876</v>
      </c>
    </row>
    <row r="121" spans="1:15">
      <c r="A121" s="621" t="s">
        <v>248</v>
      </c>
      <c r="B121" s="622">
        <f>B119-B120</f>
        <v>1473189.1304347827</v>
      </c>
      <c r="C121" s="622">
        <f t="shared" ref="C121:E121" si="17">C119-C120</f>
        <v>1473189.1304347827</v>
      </c>
      <c r="D121" s="622">
        <f t="shared" si="17"/>
        <v>1473189.1304347827</v>
      </c>
      <c r="E121" s="622">
        <f t="shared" si="17"/>
        <v>1473189.1304347827</v>
      </c>
      <c r="F121" s="622">
        <f t="shared" ref="F121" si="18">F119-F120</f>
        <v>1473189.1304347827</v>
      </c>
      <c r="G121" s="622">
        <f t="shared" ref="G121:H121" si="19">G119-G120</f>
        <v>1473189.1304347827</v>
      </c>
      <c r="H121" s="622">
        <f t="shared" si="19"/>
        <v>1473189.1304347827</v>
      </c>
      <c r="I121" s="622">
        <f t="shared" ref="I121" si="20">I119-I120</f>
        <v>1473189.1304347827</v>
      </c>
      <c r="J121" s="622">
        <f t="shared" ref="J121:K121" si="21">J119-J120</f>
        <v>1473189.1304347827</v>
      </c>
      <c r="K121" s="622">
        <f t="shared" si="21"/>
        <v>1473189.1304347827</v>
      </c>
      <c r="L121" s="622">
        <f t="shared" ref="L121" si="22">L119-L120</f>
        <v>1473189.1304347827</v>
      </c>
      <c r="M121" s="622">
        <f>M119-M120</f>
        <v>1473189.1304347827</v>
      </c>
      <c r="N121" s="622">
        <f t="shared" ref="N121" si="23">N119-N120</f>
        <v>1473189.1304347827</v>
      </c>
      <c r="O121" s="622">
        <f>O119-O120</f>
        <v>17678269.565217391</v>
      </c>
    </row>
    <row r="122" spans="1:15" ht="7.5" customHeight="1">
      <c r="A122" s="126"/>
      <c r="B122" s="548"/>
      <c r="C122" s="548"/>
      <c r="D122" s="548"/>
      <c r="E122" s="548"/>
      <c r="F122" s="548"/>
      <c r="G122" s="548"/>
      <c r="H122" s="548"/>
      <c r="I122" s="548"/>
      <c r="J122" s="548"/>
      <c r="K122" s="548"/>
      <c r="L122" s="548"/>
      <c r="M122" s="548"/>
      <c r="N122" s="164"/>
      <c r="O122" s="556"/>
    </row>
    <row r="123" spans="1:15" ht="16.5" customHeight="1">
      <c r="A123" s="746" t="str">
        <f t="shared" ref="A123:A132" si="24">B43</f>
        <v>Other Expences: (refer appication form 9.3)</v>
      </c>
      <c r="B123" s="746"/>
      <c r="C123" s="548"/>
      <c r="D123" s="548"/>
      <c r="E123" s="548"/>
      <c r="F123" s="548"/>
      <c r="G123" s="548"/>
      <c r="H123" s="548"/>
      <c r="I123" s="548"/>
      <c r="J123" s="548"/>
      <c r="K123" s="548"/>
      <c r="L123" s="548"/>
      <c r="M123" s="548"/>
      <c r="N123" s="164"/>
      <c r="O123" s="556"/>
    </row>
    <row r="124" spans="1:15" ht="17.45" customHeight="1">
      <c r="A124" s="549" t="str">
        <f t="shared" si="24"/>
        <v>Cost of goods sold</v>
      </c>
      <c r="B124" s="548">
        <f t="shared" ref="B124:M124" si="25">(($F44+$G44)/2/12)*B$117</f>
        <v>1064450</v>
      </c>
      <c r="C124" s="548">
        <f t="shared" si="25"/>
        <v>1064450</v>
      </c>
      <c r="D124" s="548">
        <f t="shared" si="25"/>
        <v>1064450</v>
      </c>
      <c r="E124" s="548">
        <f t="shared" si="25"/>
        <v>1064450</v>
      </c>
      <c r="F124" s="548">
        <f t="shared" si="25"/>
        <v>1064450</v>
      </c>
      <c r="G124" s="548">
        <f t="shared" si="25"/>
        <v>1064450</v>
      </c>
      <c r="H124" s="548">
        <f t="shared" si="25"/>
        <v>1064450</v>
      </c>
      <c r="I124" s="548">
        <f t="shared" si="25"/>
        <v>1064450</v>
      </c>
      <c r="J124" s="548">
        <f t="shared" si="25"/>
        <v>1064450</v>
      </c>
      <c r="K124" s="548">
        <f t="shared" si="25"/>
        <v>1064450</v>
      </c>
      <c r="L124" s="548">
        <f t="shared" si="25"/>
        <v>1064450</v>
      </c>
      <c r="M124" s="548">
        <f t="shared" si="25"/>
        <v>1064450</v>
      </c>
      <c r="N124" s="164">
        <f t="shared" si="15"/>
        <v>1064450</v>
      </c>
      <c r="O124" s="556">
        <f t="shared" si="16"/>
        <v>12773400</v>
      </c>
    </row>
    <row r="125" spans="1:15" ht="15">
      <c r="A125" s="549" t="str">
        <f t="shared" si="24"/>
        <v>Salaries</v>
      </c>
      <c r="B125" s="548">
        <f t="shared" ref="B125:M125" si="26">(($F45+$G45)/2/12)*B$117</f>
        <v>0</v>
      </c>
      <c r="C125" s="548">
        <f t="shared" si="26"/>
        <v>0</v>
      </c>
      <c r="D125" s="548">
        <f t="shared" si="26"/>
        <v>0</v>
      </c>
      <c r="E125" s="548">
        <f t="shared" si="26"/>
        <v>0</v>
      </c>
      <c r="F125" s="548">
        <f t="shared" si="26"/>
        <v>0</v>
      </c>
      <c r="G125" s="548">
        <f t="shared" si="26"/>
        <v>0</v>
      </c>
      <c r="H125" s="548">
        <f t="shared" si="26"/>
        <v>0</v>
      </c>
      <c r="I125" s="548">
        <f t="shared" si="26"/>
        <v>0</v>
      </c>
      <c r="J125" s="548">
        <f t="shared" si="26"/>
        <v>0</v>
      </c>
      <c r="K125" s="548">
        <f t="shared" si="26"/>
        <v>0</v>
      </c>
      <c r="L125" s="548">
        <f t="shared" si="26"/>
        <v>0</v>
      </c>
      <c r="M125" s="548">
        <f t="shared" si="26"/>
        <v>0</v>
      </c>
      <c r="N125" s="164">
        <f>AVERAGE(B125:M125)</f>
        <v>0</v>
      </c>
      <c r="O125" s="556">
        <f>SUM(B125:M125)</f>
        <v>0</v>
      </c>
    </row>
    <row r="126" spans="1:15" ht="15">
      <c r="A126" s="549" t="str">
        <f t="shared" si="24"/>
        <v>Rent</v>
      </c>
      <c r="B126" s="548">
        <f t="shared" ref="B126:M126" si="27">(($F46+$G46)/2/12)*B$117</f>
        <v>0</v>
      </c>
      <c r="C126" s="548">
        <f t="shared" si="27"/>
        <v>0</v>
      </c>
      <c r="D126" s="548">
        <f t="shared" si="27"/>
        <v>0</v>
      </c>
      <c r="E126" s="548">
        <f t="shared" si="27"/>
        <v>0</v>
      </c>
      <c r="F126" s="548">
        <f t="shared" si="27"/>
        <v>0</v>
      </c>
      <c r="G126" s="548">
        <f t="shared" si="27"/>
        <v>0</v>
      </c>
      <c r="H126" s="548">
        <f t="shared" si="27"/>
        <v>0</v>
      </c>
      <c r="I126" s="548">
        <f t="shared" si="27"/>
        <v>0</v>
      </c>
      <c r="J126" s="548">
        <f t="shared" si="27"/>
        <v>0</v>
      </c>
      <c r="K126" s="548">
        <f t="shared" si="27"/>
        <v>0</v>
      </c>
      <c r="L126" s="548">
        <f t="shared" si="27"/>
        <v>0</v>
      </c>
      <c r="M126" s="548">
        <f t="shared" si="27"/>
        <v>0</v>
      </c>
      <c r="N126" s="164">
        <f>AVERAGE(B126:M126)</f>
        <v>0</v>
      </c>
      <c r="O126" s="556">
        <f t="shared" si="16"/>
        <v>0</v>
      </c>
    </row>
    <row r="127" spans="1:15" ht="16.5" customHeight="1">
      <c r="A127" s="549" t="str">
        <f t="shared" si="24"/>
        <v>Utilities (electiricy, water, etc)</v>
      </c>
      <c r="B127" s="548">
        <f t="shared" ref="B127:M127" si="28">(($F47+$G47)/2/12)*B$117</f>
        <v>0</v>
      </c>
      <c r="C127" s="548">
        <f t="shared" si="28"/>
        <v>0</v>
      </c>
      <c r="D127" s="548">
        <f t="shared" si="28"/>
        <v>0</v>
      </c>
      <c r="E127" s="548">
        <f t="shared" si="28"/>
        <v>0</v>
      </c>
      <c r="F127" s="548">
        <f t="shared" si="28"/>
        <v>0</v>
      </c>
      <c r="G127" s="548">
        <f t="shared" si="28"/>
        <v>0</v>
      </c>
      <c r="H127" s="548">
        <f t="shared" si="28"/>
        <v>0</v>
      </c>
      <c r="I127" s="548">
        <f t="shared" si="28"/>
        <v>0</v>
      </c>
      <c r="J127" s="548">
        <f t="shared" si="28"/>
        <v>0</v>
      </c>
      <c r="K127" s="548">
        <f t="shared" si="28"/>
        <v>0</v>
      </c>
      <c r="L127" s="548">
        <f t="shared" si="28"/>
        <v>0</v>
      </c>
      <c r="M127" s="548">
        <f t="shared" si="28"/>
        <v>0</v>
      </c>
      <c r="N127" s="164">
        <f t="shared" si="15"/>
        <v>0</v>
      </c>
      <c r="O127" s="556">
        <f t="shared" si="16"/>
        <v>0</v>
      </c>
    </row>
    <row r="128" spans="1:15" ht="17.100000000000001" customHeight="1">
      <c r="A128" s="549" t="str">
        <f t="shared" si="24"/>
        <v>Transport (including fuel)</v>
      </c>
      <c r="B128" s="548">
        <f t="shared" ref="B128:M128" si="29">(($F48+$G48)/2/12)*B$117</f>
        <v>0</v>
      </c>
      <c r="C128" s="548">
        <f t="shared" si="29"/>
        <v>0</v>
      </c>
      <c r="D128" s="548">
        <f t="shared" si="29"/>
        <v>0</v>
      </c>
      <c r="E128" s="548">
        <f t="shared" si="29"/>
        <v>0</v>
      </c>
      <c r="F128" s="548">
        <f t="shared" si="29"/>
        <v>0</v>
      </c>
      <c r="G128" s="548">
        <f t="shared" si="29"/>
        <v>0</v>
      </c>
      <c r="H128" s="548">
        <f t="shared" si="29"/>
        <v>0</v>
      </c>
      <c r="I128" s="548">
        <f t="shared" si="29"/>
        <v>0</v>
      </c>
      <c r="J128" s="548">
        <f t="shared" si="29"/>
        <v>0</v>
      </c>
      <c r="K128" s="548">
        <f t="shared" si="29"/>
        <v>0</v>
      </c>
      <c r="L128" s="548">
        <f t="shared" si="29"/>
        <v>0</v>
      </c>
      <c r="M128" s="548">
        <f t="shared" si="29"/>
        <v>0</v>
      </c>
      <c r="N128" s="164">
        <f t="shared" si="15"/>
        <v>0</v>
      </c>
      <c r="O128" s="556">
        <f t="shared" si="16"/>
        <v>0</v>
      </c>
    </row>
    <row r="129" spans="1:15" ht="17.100000000000001" customHeight="1">
      <c r="A129" s="549" t="str">
        <f t="shared" si="24"/>
        <v>Repair and mentainance</v>
      </c>
      <c r="B129" s="548">
        <f t="shared" ref="B129:M129" si="30">(($F49+$G49)/2/12)*B$117</f>
        <v>0</v>
      </c>
      <c r="C129" s="548">
        <f t="shared" si="30"/>
        <v>0</v>
      </c>
      <c r="D129" s="548">
        <f t="shared" si="30"/>
        <v>0</v>
      </c>
      <c r="E129" s="548">
        <f t="shared" si="30"/>
        <v>0</v>
      </c>
      <c r="F129" s="548">
        <f t="shared" si="30"/>
        <v>0</v>
      </c>
      <c r="G129" s="548">
        <f t="shared" si="30"/>
        <v>0</v>
      </c>
      <c r="H129" s="548">
        <f t="shared" si="30"/>
        <v>0</v>
      </c>
      <c r="I129" s="548">
        <f t="shared" si="30"/>
        <v>0</v>
      </c>
      <c r="J129" s="548">
        <f t="shared" si="30"/>
        <v>0</v>
      </c>
      <c r="K129" s="548">
        <f t="shared" si="30"/>
        <v>0</v>
      </c>
      <c r="L129" s="548">
        <f t="shared" si="30"/>
        <v>0</v>
      </c>
      <c r="M129" s="548">
        <f t="shared" si="30"/>
        <v>0</v>
      </c>
      <c r="N129" s="164">
        <f t="shared" si="15"/>
        <v>0</v>
      </c>
      <c r="O129" s="556">
        <f t="shared" si="16"/>
        <v>0</v>
      </c>
    </row>
    <row r="130" spans="1:15" ht="14.45" customHeight="1">
      <c r="A130" s="549" t="str">
        <f t="shared" si="24"/>
        <v>Interest on loan</v>
      </c>
      <c r="B130" s="548">
        <f t="shared" ref="B130:M130" si="31">(($F50+$G50)/2/12)*B$117</f>
        <v>0</v>
      </c>
      <c r="C130" s="548">
        <f t="shared" si="31"/>
        <v>0</v>
      </c>
      <c r="D130" s="548">
        <f t="shared" si="31"/>
        <v>0</v>
      </c>
      <c r="E130" s="548">
        <f t="shared" si="31"/>
        <v>0</v>
      </c>
      <c r="F130" s="548">
        <f t="shared" si="31"/>
        <v>0</v>
      </c>
      <c r="G130" s="548">
        <f t="shared" si="31"/>
        <v>0</v>
      </c>
      <c r="H130" s="548">
        <f t="shared" si="31"/>
        <v>0</v>
      </c>
      <c r="I130" s="548">
        <f t="shared" si="31"/>
        <v>0</v>
      </c>
      <c r="J130" s="548">
        <f t="shared" si="31"/>
        <v>0</v>
      </c>
      <c r="K130" s="548">
        <f t="shared" si="31"/>
        <v>0</v>
      </c>
      <c r="L130" s="548">
        <f t="shared" si="31"/>
        <v>0</v>
      </c>
      <c r="M130" s="548">
        <f t="shared" si="31"/>
        <v>0</v>
      </c>
      <c r="N130" s="164">
        <f t="shared" si="15"/>
        <v>0</v>
      </c>
      <c r="O130" s="556">
        <f t="shared" si="16"/>
        <v>0</v>
      </c>
    </row>
    <row r="131" spans="1:15" ht="15" customHeight="1">
      <c r="A131" s="549" t="str">
        <f t="shared" si="24"/>
        <v>Rent expense(lease)</v>
      </c>
      <c r="B131" s="548">
        <f t="shared" ref="B131:M131" si="32">(($F51+$G51)/2/12)*B$117</f>
        <v>0</v>
      </c>
      <c r="C131" s="548">
        <f t="shared" si="32"/>
        <v>0</v>
      </c>
      <c r="D131" s="548">
        <f t="shared" si="32"/>
        <v>0</v>
      </c>
      <c r="E131" s="548">
        <f t="shared" si="32"/>
        <v>0</v>
      </c>
      <c r="F131" s="548">
        <f t="shared" si="32"/>
        <v>0</v>
      </c>
      <c r="G131" s="548">
        <f t="shared" si="32"/>
        <v>0</v>
      </c>
      <c r="H131" s="548">
        <f t="shared" si="32"/>
        <v>0</v>
      </c>
      <c r="I131" s="548">
        <f t="shared" si="32"/>
        <v>0</v>
      </c>
      <c r="J131" s="548">
        <f t="shared" si="32"/>
        <v>0</v>
      </c>
      <c r="K131" s="548">
        <f t="shared" si="32"/>
        <v>0</v>
      </c>
      <c r="L131" s="548">
        <f t="shared" si="32"/>
        <v>0</v>
      </c>
      <c r="M131" s="548">
        <f t="shared" si="32"/>
        <v>0</v>
      </c>
      <c r="N131" s="164">
        <f t="shared" si="15"/>
        <v>0</v>
      </c>
      <c r="O131" s="556">
        <f t="shared" si="16"/>
        <v>0</v>
      </c>
    </row>
    <row r="132" spans="1:15" ht="14.45" customHeight="1">
      <c r="A132" s="549" t="str">
        <f t="shared" si="24"/>
        <v>Other expenses</v>
      </c>
      <c r="B132" s="548">
        <f t="shared" ref="B132:M132" si="33">(($F52+$G52)/2/12)*B$117</f>
        <v>0</v>
      </c>
      <c r="C132" s="548">
        <f t="shared" si="33"/>
        <v>0</v>
      </c>
      <c r="D132" s="548">
        <f t="shared" si="33"/>
        <v>0</v>
      </c>
      <c r="E132" s="548">
        <f t="shared" si="33"/>
        <v>0</v>
      </c>
      <c r="F132" s="548">
        <f t="shared" si="33"/>
        <v>0</v>
      </c>
      <c r="G132" s="548">
        <f t="shared" si="33"/>
        <v>0</v>
      </c>
      <c r="H132" s="548">
        <f t="shared" si="33"/>
        <v>0</v>
      </c>
      <c r="I132" s="548">
        <f t="shared" si="33"/>
        <v>0</v>
      </c>
      <c r="J132" s="548">
        <f t="shared" si="33"/>
        <v>0</v>
      </c>
      <c r="K132" s="548">
        <f t="shared" si="33"/>
        <v>0</v>
      </c>
      <c r="L132" s="548">
        <f t="shared" si="33"/>
        <v>0</v>
      </c>
      <c r="M132" s="548">
        <f t="shared" si="33"/>
        <v>0</v>
      </c>
      <c r="N132" s="164">
        <f t="shared" si="15"/>
        <v>0</v>
      </c>
      <c r="O132" s="556">
        <f t="shared" si="16"/>
        <v>0</v>
      </c>
    </row>
    <row r="133" spans="1:15" ht="15">
      <c r="A133" s="126" t="str">
        <f>B56</f>
        <v>Profit taxes</v>
      </c>
      <c r="B133" s="548">
        <f t="shared" ref="B133:M133" si="34">(($F56+$G56)/2/12)*B$117</f>
        <v>122621.73913043475</v>
      </c>
      <c r="C133" s="548">
        <f t="shared" si="34"/>
        <v>122621.73913043475</v>
      </c>
      <c r="D133" s="548">
        <f t="shared" si="34"/>
        <v>122621.73913043475</v>
      </c>
      <c r="E133" s="548">
        <f t="shared" si="34"/>
        <v>122621.73913043475</v>
      </c>
      <c r="F133" s="548">
        <f t="shared" si="34"/>
        <v>122621.73913043475</v>
      </c>
      <c r="G133" s="548">
        <f t="shared" si="34"/>
        <v>122621.73913043475</v>
      </c>
      <c r="H133" s="548">
        <f t="shared" si="34"/>
        <v>122621.73913043475</v>
      </c>
      <c r="I133" s="548">
        <f t="shared" si="34"/>
        <v>122621.73913043475</v>
      </c>
      <c r="J133" s="548">
        <f t="shared" si="34"/>
        <v>122621.73913043475</v>
      </c>
      <c r="K133" s="548">
        <f t="shared" si="34"/>
        <v>122621.73913043475</v>
      </c>
      <c r="L133" s="548">
        <f t="shared" si="34"/>
        <v>122621.73913043475</v>
      </c>
      <c r="M133" s="548">
        <f t="shared" si="34"/>
        <v>122621.73913043475</v>
      </c>
      <c r="N133" s="164">
        <f t="shared" ref="N133" si="35">AVERAGE(B133:M133)</f>
        <v>122621.7391304348</v>
      </c>
      <c r="O133" s="556">
        <f>SUM(B133:M133)</f>
        <v>1471460.8695652175</v>
      </c>
    </row>
    <row r="134" spans="1:15">
      <c r="A134" s="623" t="s">
        <v>257</v>
      </c>
      <c r="B134" s="624">
        <f>SUM(B123:B133)</f>
        <v>1187071.7391304348</v>
      </c>
      <c r="C134" s="624">
        <f t="shared" ref="C134:L134" si="36">SUM(C123:C133)</f>
        <v>1187071.7391304348</v>
      </c>
      <c r="D134" s="624">
        <f t="shared" si="36"/>
        <v>1187071.7391304348</v>
      </c>
      <c r="E134" s="624">
        <f t="shared" si="36"/>
        <v>1187071.7391304348</v>
      </c>
      <c r="F134" s="624">
        <f t="shared" si="36"/>
        <v>1187071.7391304348</v>
      </c>
      <c r="G134" s="624">
        <f t="shared" si="36"/>
        <v>1187071.7391304348</v>
      </c>
      <c r="H134" s="624">
        <f t="shared" si="36"/>
        <v>1187071.7391304348</v>
      </c>
      <c r="I134" s="624">
        <f t="shared" si="36"/>
        <v>1187071.7391304348</v>
      </c>
      <c r="J134" s="624">
        <f t="shared" si="36"/>
        <v>1187071.7391304348</v>
      </c>
      <c r="K134" s="624">
        <f t="shared" si="36"/>
        <v>1187071.7391304348</v>
      </c>
      <c r="L134" s="624">
        <f t="shared" si="36"/>
        <v>1187071.7391304348</v>
      </c>
      <c r="M134" s="624">
        <f>SUM(M123:M133)</f>
        <v>1187071.7391304348</v>
      </c>
      <c r="N134" s="624">
        <f>AVERAGE(B134:M134)</f>
        <v>1187071.739130435</v>
      </c>
      <c r="O134" s="625">
        <f>SUM(B134:M134)</f>
        <v>14244860.869565221</v>
      </c>
    </row>
    <row r="135" spans="1:15">
      <c r="A135" s="190" t="s">
        <v>261</v>
      </c>
      <c r="B135" s="191">
        <f>B121-B134</f>
        <v>286117.3913043479</v>
      </c>
      <c r="C135" s="191">
        <f t="shared" ref="C135:M135" si="37">C121-C134</f>
        <v>286117.3913043479</v>
      </c>
      <c r="D135" s="191">
        <f t="shared" si="37"/>
        <v>286117.3913043479</v>
      </c>
      <c r="E135" s="191">
        <f t="shared" si="37"/>
        <v>286117.3913043479</v>
      </c>
      <c r="F135" s="191">
        <f t="shared" si="37"/>
        <v>286117.3913043479</v>
      </c>
      <c r="G135" s="191">
        <f t="shared" si="37"/>
        <v>286117.3913043479</v>
      </c>
      <c r="H135" s="191">
        <f t="shared" si="37"/>
        <v>286117.3913043479</v>
      </c>
      <c r="I135" s="191">
        <f t="shared" si="37"/>
        <v>286117.3913043479</v>
      </c>
      <c r="J135" s="191">
        <f t="shared" si="37"/>
        <v>286117.3913043479</v>
      </c>
      <c r="K135" s="191">
        <f t="shared" si="37"/>
        <v>286117.3913043479</v>
      </c>
      <c r="L135" s="191">
        <f t="shared" si="37"/>
        <v>286117.3913043479</v>
      </c>
      <c r="M135" s="191">
        <f t="shared" si="37"/>
        <v>286117.3913043479</v>
      </c>
      <c r="N135" s="177">
        <f>AVERAGE(B135:M135)</f>
        <v>286117.39130434784</v>
      </c>
      <c r="O135" s="560">
        <f>SUM(B135:M135)</f>
        <v>3433408.6956521738</v>
      </c>
    </row>
    <row r="136" spans="1:15" ht="15">
      <c r="A136" s="126"/>
      <c r="B136" s="548"/>
      <c r="C136" s="548"/>
      <c r="D136" s="548"/>
      <c r="E136" s="548"/>
      <c r="F136" s="548"/>
      <c r="G136" s="548"/>
      <c r="H136" s="548"/>
      <c r="I136" s="548"/>
      <c r="J136" s="548"/>
      <c r="K136" s="548"/>
      <c r="L136" s="548"/>
      <c r="M136" s="548"/>
      <c r="N136" s="164"/>
      <c r="O136" s="553"/>
    </row>
    <row r="137" spans="1:15">
      <c r="A137" s="192" t="s">
        <v>262</v>
      </c>
      <c r="B137" s="192"/>
      <c r="C137" s="192"/>
      <c r="D137" s="192"/>
      <c r="E137" s="192"/>
      <c r="F137" s="192"/>
      <c r="G137" s="192"/>
      <c r="H137" s="192"/>
      <c r="I137" s="192"/>
      <c r="J137" s="192"/>
      <c r="K137" s="192"/>
      <c r="L137" s="192"/>
      <c r="M137" s="192"/>
      <c r="N137" s="177"/>
      <c r="O137" s="193"/>
    </row>
    <row r="138" spans="1:15" ht="30" customHeight="1">
      <c r="A138" s="646" t="str">
        <f t="shared" ref="A138:A143" si="38">B62</f>
        <v>Sale(purchase) of fixed asset</v>
      </c>
      <c r="B138" s="525"/>
      <c r="C138" s="525"/>
      <c r="D138" s="550"/>
      <c r="E138" s="550"/>
      <c r="F138" s="550"/>
      <c r="G138" s="550"/>
      <c r="H138" s="550"/>
      <c r="I138" s="550"/>
      <c r="J138" s="550"/>
      <c r="K138" s="550"/>
      <c r="L138" s="550"/>
      <c r="M138" s="550"/>
      <c r="N138" s="484" t="e">
        <f>AVERAGE(B138:M138)</f>
        <v>#DIV/0!</v>
      </c>
      <c r="O138" s="558">
        <f t="shared" ref="O138:O142" si="39">SUM(B138:M138)</f>
        <v>0</v>
      </c>
    </row>
    <row r="139" spans="1:15" ht="23.45" customHeight="1">
      <c r="A139" s="646" t="str">
        <f t="shared" si="38"/>
        <v>Loan (Repayment)-Principal+interest</v>
      </c>
      <c r="B139" s="484">
        <f>'(1)Basic Info and loan request'!C42</f>
        <v>1200000</v>
      </c>
      <c r="C139" s="550"/>
      <c r="D139" s="550"/>
      <c r="E139" s="550"/>
      <c r="F139" s="550"/>
      <c r="G139" s="550"/>
      <c r="H139" s="550"/>
      <c r="I139" s="550"/>
      <c r="J139" s="550"/>
      <c r="K139" s="550"/>
      <c r="L139" s="550"/>
      <c r="M139" s="550"/>
      <c r="N139" s="484">
        <f t="shared" ref="N139:N142" si="40">AVERAGE(B139:M139)</f>
        <v>1200000</v>
      </c>
      <c r="O139" s="558">
        <f t="shared" si="39"/>
        <v>1200000</v>
      </c>
    </row>
    <row r="140" spans="1:15">
      <c r="A140" s="637" t="str">
        <f t="shared" si="38"/>
        <v>Eqqub(Repayment)</v>
      </c>
      <c r="B140" s="550"/>
      <c r="C140" s="550"/>
      <c r="D140" s="550"/>
      <c r="E140" s="550"/>
      <c r="F140" s="550"/>
      <c r="G140" s="550"/>
      <c r="H140" s="550"/>
      <c r="I140" s="550"/>
      <c r="J140" s="550"/>
      <c r="K140" s="550"/>
      <c r="L140" s="550"/>
      <c r="M140" s="550"/>
      <c r="N140" s="484" t="e">
        <f t="shared" si="40"/>
        <v>#DIV/0!</v>
      </c>
      <c r="O140" s="558">
        <f t="shared" si="39"/>
        <v>0</v>
      </c>
    </row>
    <row r="141" spans="1:15" ht="25.5">
      <c r="A141" s="646" t="str">
        <f t="shared" si="38"/>
        <v>Other business Inflow(outflow)</v>
      </c>
      <c r="B141" s="525"/>
      <c r="C141" s="550"/>
      <c r="D141" s="550"/>
      <c r="E141" s="550"/>
      <c r="F141" s="550"/>
      <c r="G141" s="550"/>
      <c r="H141" s="550"/>
      <c r="I141" s="550"/>
      <c r="J141" s="550"/>
      <c r="K141" s="550"/>
      <c r="L141" s="550"/>
      <c r="M141" s="550"/>
      <c r="N141" s="484" t="e">
        <f t="shared" si="40"/>
        <v>#DIV/0!</v>
      </c>
      <c r="O141" s="558">
        <f t="shared" si="39"/>
        <v>0</v>
      </c>
    </row>
    <row r="142" spans="1:15" ht="51">
      <c r="A142" s="646" t="str">
        <f t="shared" si="38"/>
        <v>Other household income(expenses)</v>
      </c>
      <c r="B142" s="619"/>
      <c r="C142" s="550"/>
      <c r="D142" s="550"/>
      <c r="E142" s="550"/>
      <c r="F142" s="550"/>
      <c r="G142" s="550"/>
      <c r="H142" s="550"/>
      <c r="I142" s="550"/>
      <c r="J142" s="550"/>
      <c r="K142" s="550"/>
      <c r="L142" s="550"/>
      <c r="M142" s="550"/>
      <c r="N142" s="484" t="e">
        <f t="shared" si="40"/>
        <v>#DIV/0!</v>
      </c>
      <c r="O142" s="558">
        <f t="shared" si="39"/>
        <v>0</v>
      </c>
    </row>
    <row r="143" spans="1:15" ht="25.5">
      <c r="A143" s="646" t="str">
        <f t="shared" si="38"/>
        <v>Other Inflows or (outflows)</v>
      </c>
      <c r="B143" s="525"/>
      <c r="C143" s="550"/>
      <c r="D143" s="550"/>
      <c r="E143" s="550"/>
      <c r="F143" s="550"/>
      <c r="G143" s="550"/>
      <c r="H143" s="550"/>
      <c r="I143" s="550"/>
      <c r="J143" s="550"/>
      <c r="K143" s="550"/>
      <c r="L143" s="550"/>
      <c r="M143" s="550"/>
      <c r="N143" s="484" t="e">
        <f>AVERAGE(B143:M143)</f>
        <v>#DIV/0!</v>
      </c>
      <c r="O143" s="558">
        <f>SUM(B143:M143)</f>
        <v>0</v>
      </c>
    </row>
    <row r="144" spans="1:15">
      <c r="A144" s="190" t="s">
        <v>264</v>
      </c>
      <c r="B144" s="485">
        <f t="shared" ref="B144:M144" si="41">SUM(B138:B143)</f>
        <v>1200000</v>
      </c>
      <c r="C144" s="485">
        <f t="shared" si="41"/>
        <v>0</v>
      </c>
      <c r="D144" s="485">
        <f t="shared" si="41"/>
        <v>0</v>
      </c>
      <c r="E144" s="485">
        <f t="shared" si="41"/>
        <v>0</v>
      </c>
      <c r="F144" s="485">
        <f t="shared" si="41"/>
        <v>0</v>
      </c>
      <c r="G144" s="485">
        <f t="shared" si="41"/>
        <v>0</v>
      </c>
      <c r="H144" s="485">
        <f t="shared" si="41"/>
        <v>0</v>
      </c>
      <c r="I144" s="485">
        <f t="shared" si="41"/>
        <v>0</v>
      </c>
      <c r="J144" s="485">
        <f t="shared" si="41"/>
        <v>0</v>
      </c>
      <c r="K144" s="485">
        <f t="shared" si="41"/>
        <v>0</v>
      </c>
      <c r="L144" s="485">
        <f t="shared" si="41"/>
        <v>0</v>
      </c>
      <c r="M144" s="485">
        <f t="shared" si="41"/>
        <v>0</v>
      </c>
      <c r="N144" s="485">
        <f>AVERAGE(B144:M144)</f>
        <v>100000</v>
      </c>
      <c r="O144" s="559">
        <f>SUM(B144:M144)</f>
        <v>1200000</v>
      </c>
    </row>
    <row r="145" spans="1:15">
      <c r="A145" s="126"/>
      <c r="B145" s="126"/>
      <c r="C145" s="126"/>
      <c r="D145" s="126"/>
      <c r="E145" s="126"/>
      <c r="F145" s="126"/>
      <c r="G145" s="126"/>
      <c r="H145" s="126"/>
      <c r="I145" s="126"/>
      <c r="J145" s="126"/>
      <c r="K145" s="126"/>
      <c r="L145" s="126"/>
      <c r="M145" s="126"/>
      <c r="N145" s="484"/>
      <c r="O145" s="484"/>
    </row>
    <row r="146" spans="1:15" ht="28.5" customHeight="1" thickBot="1">
      <c r="A146" s="194" t="s">
        <v>265</v>
      </c>
      <c r="B146" s="486">
        <f t="shared" ref="B146:M146" si="42">B135+B144</f>
        <v>1486117.3913043479</v>
      </c>
      <c r="C146" s="486">
        <f t="shared" si="42"/>
        <v>286117.3913043479</v>
      </c>
      <c r="D146" s="486">
        <f t="shared" si="42"/>
        <v>286117.3913043479</v>
      </c>
      <c r="E146" s="486">
        <f t="shared" si="42"/>
        <v>286117.3913043479</v>
      </c>
      <c r="F146" s="486">
        <f t="shared" si="42"/>
        <v>286117.3913043479</v>
      </c>
      <c r="G146" s="486">
        <f t="shared" si="42"/>
        <v>286117.3913043479</v>
      </c>
      <c r="H146" s="486">
        <f t="shared" si="42"/>
        <v>286117.3913043479</v>
      </c>
      <c r="I146" s="486">
        <f t="shared" si="42"/>
        <v>286117.3913043479</v>
      </c>
      <c r="J146" s="486">
        <f t="shared" si="42"/>
        <v>286117.3913043479</v>
      </c>
      <c r="K146" s="486">
        <f t="shared" si="42"/>
        <v>286117.3913043479</v>
      </c>
      <c r="L146" s="486">
        <f t="shared" si="42"/>
        <v>286117.3913043479</v>
      </c>
      <c r="M146" s="486">
        <f t="shared" si="42"/>
        <v>286117.3913043479</v>
      </c>
      <c r="N146" s="486">
        <f t="shared" ref="N146" si="43">AVERAGE(B146:M146)</f>
        <v>386117.39130434772</v>
      </c>
      <c r="O146" s="486">
        <f>SUM(B146:M146)</f>
        <v>4633408.6956521729</v>
      </c>
    </row>
    <row r="147" spans="1:15">
      <c r="A147" s="195"/>
      <c r="B147" s="487"/>
      <c r="C147" s="487"/>
      <c r="D147" s="487"/>
      <c r="E147" s="487"/>
      <c r="F147" s="487"/>
      <c r="G147" s="487"/>
      <c r="H147" s="487"/>
      <c r="I147" s="487"/>
      <c r="J147" s="487"/>
      <c r="K147" s="487"/>
      <c r="L147" s="487"/>
      <c r="M147" s="487"/>
      <c r="N147" s="484"/>
      <c r="O147" s="484"/>
    </row>
    <row r="148" spans="1:15" ht="15" customHeight="1" thickBot="1">
      <c r="A148" s="194" t="s">
        <v>266</v>
      </c>
      <c r="B148" s="488">
        <f>B116+B146</f>
        <v>1486117.3913043479</v>
      </c>
      <c r="C148" s="488">
        <f>B148+C146</f>
        <v>1772234.7826086958</v>
      </c>
      <c r="D148" s="488">
        <f>C148+D146</f>
        <v>2058352.1739130437</v>
      </c>
      <c r="E148" s="488">
        <f>D148+E146</f>
        <v>2344469.5652173916</v>
      </c>
      <c r="F148" s="488">
        <f t="shared" ref="F148:L148" si="44">E148+F146</f>
        <v>2630586.9565217393</v>
      </c>
      <c r="G148" s="488">
        <f t="shared" si="44"/>
        <v>2916704.3478260869</v>
      </c>
      <c r="H148" s="488">
        <f t="shared" si="44"/>
        <v>3202821.7391304346</v>
      </c>
      <c r="I148" s="488">
        <f t="shared" si="44"/>
        <v>3488939.1304347822</v>
      </c>
      <c r="J148" s="488">
        <f t="shared" si="44"/>
        <v>3775056.5217391299</v>
      </c>
      <c r="K148" s="488">
        <f t="shared" si="44"/>
        <v>4061173.9130434776</v>
      </c>
      <c r="L148" s="488">
        <f t="shared" si="44"/>
        <v>4347291.3043478252</v>
      </c>
      <c r="M148" s="488">
        <f>L148+M146</f>
        <v>4633408.6956521729</v>
      </c>
      <c r="N148" s="486">
        <f>AVERAGE(B148:M148)</f>
        <v>3059763.0434782603</v>
      </c>
      <c r="O148" s="486">
        <f>O135+O144</f>
        <v>4633408.6956521738</v>
      </c>
    </row>
    <row r="151" spans="1:15" hidden="1"/>
    <row r="152" spans="1:15" hidden="1"/>
    <row r="153" spans="1:15" hidden="1"/>
    <row r="154" spans="1:15" hidden="1"/>
    <row r="155" spans="1:15" hidden="1"/>
    <row r="156" spans="1:15" hidden="1"/>
    <row r="157" spans="1:15" hidden="1"/>
    <row r="158" spans="1:15" hidden="1"/>
    <row r="159" spans="1:15" hidden="1"/>
    <row r="160" spans="1:15" hidden="1"/>
    <row r="161" spans="3:9" hidden="1"/>
    <row r="162" spans="3:9" hidden="1"/>
    <row r="163" spans="3:9" hidden="1"/>
    <row r="164" spans="3:9" hidden="1"/>
    <row r="165" spans="3:9" hidden="1"/>
    <row r="166" spans="3:9" hidden="1"/>
    <row r="167" spans="3:9" hidden="1">
      <c r="G167" s="206"/>
      <c r="H167" s="206"/>
    </row>
    <row r="168" spans="3:9" ht="13.5" hidden="1">
      <c r="E168" s="218"/>
      <c r="F168" s="218"/>
      <c r="G168" s="206"/>
      <c r="H168" s="206"/>
      <c r="I168" s="223"/>
    </row>
    <row r="169" spans="3:9" ht="13.5" hidden="1">
      <c r="E169" s="218"/>
      <c r="I169" s="223"/>
    </row>
    <row r="170" spans="3:9" ht="13.5" hidden="1">
      <c r="I170" s="223"/>
    </row>
    <row r="171" spans="3:9" ht="13.5" hidden="1">
      <c r="I171" s="223"/>
    </row>
    <row r="172" spans="3:9" hidden="1"/>
    <row r="173" spans="3:9" hidden="1">
      <c r="C173" s="224"/>
      <c r="D173" s="225"/>
      <c r="E173" s="743"/>
      <c r="F173" s="743"/>
      <c r="G173" s="743"/>
      <c r="H173" s="226"/>
    </row>
    <row r="174" spans="3:9" hidden="1">
      <c r="C174" s="224"/>
      <c r="D174" s="225"/>
      <c r="E174" s="225"/>
      <c r="F174" s="225"/>
      <c r="G174" s="225"/>
      <c r="H174" s="225"/>
    </row>
    <row r="175" spans="3:9" hidden="1">
      <c r="C175" s="227"/>
      <c r="D175" s="224"/>
      <c r="E175" s="228"/>
      <c r="F175" s="228"/>
      <c r="G175" s="228"/>
      <c r="H175" s="228"/>
    </row>
    <row r="176" spans="3:9" hidden="1">
      <c r="C176" s="227"/>
      <c r="D176" s="224"/>
      <c r="E176" s="228"/>
      <c r="F176" s="228"/>
      <c r="G176" s="228"/>
      <c r="H176" s="228"/>
    </row>
    <row r="177" spans="3:8" hidden="1">
      <c r="C177" s="227"/>
      <c r="D177" s="224"/>
      <c r="E177" s="228"/>
      <c r="F177" s="228"/>
      <c r="G177" s="228"/>
      <c r="H177" s="228"/>
    </row>
    <row r="178" spans="3:8" hidden="1">
      <c r="C178" s="229"/>
      <c r="D178" s="224"/>
      <c r="E178" s="228"/>
      <c r="F178" s="228"/>
      <c r="G178" s="228"/>
      <c r="H178" s="228"/>
    </row>
    <row r="179" spans="3:8" hidden="1">
      <c r="C179" s="230"/>
      <c r="D179" s="224"/>
      <c r="E179" s="228"/>
      <c r="F179" s="228"/>
      <c r="G179" s="228"/>
      <c r="H179" s="228"/>
    </row>
    <row r="180" spans="3:8" hidden="1">
      <c r="C180" s="230"/>
      <c r="D180" s="224"/>
      <c r="E180" s="231"/>
      <c r="F180" s="231"/>
      <c r="G180" s="231"/>
      <c r="H180" s="231"/>
    </row>
    <row r="181" spans="3:8" hidden="1"/>
    <row r="182" spans="3:8" hidden="1">
      <c r="E182" s="740"/>
      <c r="F182" s="740"/>
      <c r="G182" s="740"/>
      <c r="H182" s="232"/>
    </row>
    <row r="183" spans="3:8" hidden="1">
      <c r="C183" s="224"/>
      <c r="D183" s="224"/>
      <c r="E183" s="225"/>
      <c r="F183" s="225"/>
      <c r="G183" s="225"/>
      <c r="H183" s="225"/>
    </row>
    <row r="184" spans="3:8" hidden="1">
      <c r="C184" s="233"/>
      <c r="D184" s="224"/>
      <c r="E184" s="234"/>
      <c r="F184" s="235"/>
      <c r="G184" s="234"/>
      <c r="H184" s="234"/>
    </row>
    <row r="185" spans="3:8" hidden="1">
      <c r="C185" s="233"/>
      <c r="D185" s="224"/>
      <c r="E185" s="234"/>
      <c r="F185" s="235"/>
      <c r="G185" s="234"/>
      <c r="H185" s="234"/>
    </row>
    <row r="186" spans="3:8" hidden="1">
      <c r="C186" s="230"/>
      <c r="D186" s="224"/>
      <c r="E186" s="231"/>
      <c r="F186" s="231"/>
      <c r="G186" s="231"/>
      <c r="H186" s="231"/>
    </row>
    <row r="187" spans="3:8" hidden="1">
      <c r="C187" s="236"/>
    </row>
    <row r="188" spans="3:8" hidden="1"/>
    <row r="189" spans="3:8" hidden="1"/>
    <row r="190" spans="3:8" hidden="1"/>
    <row r="191" spans="3:8" hidden="1"/>
    <row r="192" spans="3:8" hidden="1"/>
    <row r="193" hidden="1"/>
    <row r="194" hidden="1"/>
    <row r="195" hidden="1"/>
    <row r="196" hidden="1"/>
    <row r="197" hidden="1"/>
    <row r="198" hidden="1"/>
    <row r="199" hidden="1"/>
  </sheetData>
  <sheetProtection password="CA61" sheet="1" objects="1" scenarios="1"/>
  <protectedRanges>
    <protectedRange sqref="E99:E108" name="Range2"/>
    <protectedRange sqref="F71 C71 C75:C76 C78 C80:C81 C84:C86 G76:G77 G87 C45:C52 F62:F67 C4 F4:F5 I8:I14 C99:C108 I18:I25 A18:D25 C16 F45:F52 G82:G83 B117:M117 B138:M143 B8:D14 I28:I30 G28:G30" name="Range1"/>
  </protectedRanges>
  <mergeCells count="23">
    <mergeCell ref="E107:G107"/>
    <mergeCell ref="E108:G108"/>
    <mergeCell ref="A1:M1"/>
    <mergeCell ref="E182:G182"/>
    <mergeCell ref="C34:E34"/>
    <mergeCell ref="F34:G34"/>
    <mergeCell ref="B2:J2"/>
    <mergeCell ref="I5:J5"/>
    <mergeCell ref="E173:G173"/>
    <mergeCell ref="A33:G33"/>
    <mergeCell ref="A118:B118"/>
    <mergeCell ref="A123:B123"/>
    <mergeCell ref="A96:G97"/>
    <mergeCell ref="E99:G99"/>
    <mergeCell ref="E100:G100"/>
    <mergeCell ref="E101:G101"/>
    <mergeCell ref="E98:G98"/>
    <mergeCell ref="A73:B73"/>
    <mergeCell ref="E104:G104"/>
    <mergeCell ref="E105:G105"/>
    <mergeCell ref="E106:G106"/>
    <mergeCell ref="E102:G102"/>
    <mergeCell ref="E103:G103"/>
  </mergeCells>
  <dataValidations count="8">
    <dataValidation type="list" allowBlank="1" showInputMessage="1" showErrorMessage="1" sqref="WVJ983178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C65674 IX65674 ST65674 ACP65674 AML65674 AWH65674 BGD65674 BPZ65674 BZV65674 CJR65674 CTN65674 DDJ65674 DNF65674 DXB65674 EGX65674 EQT65674 FAP65674 FKL65674 FUH65674 GED65674 GNZ65674 GXV65674 HHR65674 HRN65674 IBJ65674 ILF65674 IVB65674 JEX65674 JOT65674 JYP65674 KIL65674 KSH65674 LCD65674 LLZ65674 LVV65674 MFR65674 MPN65674 MZJ65674 NJF65674 NTB65674 OCX65674 OMT65674 OWP65674 PGL65674 PQH65674 QAD65674 QJZ65674 QTV65674 RDR65674 RNN65674 RXJ65674 SHF65674 SRB65674 TAX65674 TKT65674 TUP65674 UEL65674 UOH65674 UYD65674 VHZ65674 VRV65674 WBR65674 WLN65674 WVJ65674 C131210 IX131210 ST131210 ACP131210 AML131210 AWH131210 BGD131210 BPZ131210 BZV131210 CJR131210 CTN131210 DDJ131210 DNF131210 DXB131210 EGX131210 EQT131210 FAP131210 FKL131210 FUH131210 GED131210 GNZ131210 GXV131210 HHR131210 HRN131210 IBJ131210 ILF131210 IVB131210 JEX131210 JOT131210 JYP131210 KIL131210 KSH131210 LCD131210 LLZ131210 LVV131210 MFR131210 MPN131210 MZJ131210 NJF131210 NTB131210 OCX131210 OMT131210 OWP131210 PGL131210 PQH131210 QAD131210 QJZ131210 QTV131210 RDR131210 RNN131210 RXJ131210 SHF131210 SRB131210 TAX131210 TKT131210 TUP131210 UEL131210 UOH131210 UYD131210 VHZ131210 VRV131210 WBR131210 WLN131210 WVJ131210 C196746 IX196746 ST196746 ACP196746 AML196746 AWH196746 BGD196746 BPZ196746 BZV196746 CJR196746 CTN196746 DDJ196746 DNF196746 DXB196746 EGX196746 EQT196746 FAP196746 FKL196746 FUH196746 GED196746 GNZ196746 GXV196746 HHR196746 HRN196746 IBJ196746 ILF196746 IVB196746 JEX196746 JOT196746 JYP196746 KIL196746 KSH196746 LCD196746 LLZ196746 LVV196746 MFR196746 MPN196746 MZJ196746 NJF196746 NTB196746 OCX196746 OMT196746 OWP196746 PGL196746 PQH196746 QAD196746 QJZ196746 QTV196746 RDR196746 RNN196746 RXJ196746 SHF196746 SRB196746 TAX196746 TKT196746 TUP196746 UEL196746 UOH196746 UYD196746 VHZ196746 VRV196746 WBR196746 WLN196746 WVJ196746 C262282 IX262282 ST262282 ACP262282 AML262282 AWH262282 BGD262282 BPZ262282 BZV262282 CJR262282 CTN262282 DDJ262282 DNF262282 DXB262282 EGX262282 EQT262282 FAP262282 FKL262282 FUH262282 GED262282 GNZ262282 GXV262282 HHR262282 HRN262282 IBJ262282 ILF262282 IVB262282 JEX262282 JOT262282 JYP262282 KIL262282 KSH262282 LCD262282 LLZ262282 LVV262282 MFR262282 MPN262282 MZJ262282 NJF262282 NTB262282 OCX262282 OMT262282 OWP262282 PGL262282 PQH262282 QAD262282 QJZ262282 QTV262282 RDR262282 RNN262282 RXJ262282 SHF262282 SRB262282 TAX262282 TKT262282 TUP262282 UEL262282 UOH262282 UYD262282 VHZ262282 VRV262282 WBR262282 WLN262282 WVJ262282 C327818 IX327818 ST327818 ACP327818 AML327818 AWH327818 BGD327818 BPZ327818 BZV327818 CJR327818 CTN327818 DDJ327818 DNF327818 DXB327818 EGX327818 EQT327818 FAP327818 FKL327818 FUH327818 GED327818 GNZ327818 GXV327818 HHR327818 HRN327818 IBJ327818 ILF327818 IVB327818 JEX327818 JOT327818 JYP327818 KIL327818 KSH327818 LCD327818 LLZ327818 LVV327818 MFR327818 MPN327818 MZJ327818 NJF327818 NTB327818 OCX327818 OMT327818 OWP327818 PGL327818 PQH327818 QAD327818 QJZ327818 QTV327818 RDR327818 RNN327818 RXJ327818 SHF327818 SRB327818 TAX327818 TKT327818 TUP327818 UEL327818 UOH327818 UYD327818 VHZ327818 VRV327818 WBR327818 WLN327818 WVJ327818 C393354 IX393354 ST393354 ACP393354 AML393354 AWH393354 BGD393354 BPZ393354 BZV393354 CJR393354 CTN393354 DDJ393354 DNF393354 DXB393354 EGX393354 EQT393354 FAP393354 FKL393354 FUH393354 GED393354 GNZ393354 GXV393354 HHR393354 HRN393354 IBJ393354 ILF393354 IVB393354 JEX393354 JOT393354 JYP393354 KIL393354 KSH393354 LCD393354 LLZ393354 LVV393354 MFR393354 MPN393354 MZJ393354 NJF393354 NTB393354 OCX393354 OMT393354 OWP393354 PGL393354 PQH393354 QAD393354 QJZ393354 QTV393354 RDR393354 RNN393354 RXJ393354 SHF393354 SRB393354 TAX393354 TKT393354 TUP393354 UEL393354 UOH393354 UYD393354 VHZ393354 VRV393354 WBR393354 WLN393354 WVJ393354 C458890 IX458890 ST458890 ACP458890 AML458890 AWH458890 BGD458890 BPZ458890 BZV458890 CJR458890 CTN458890 DDJ458890 DNF458890 DXB458890 EGX458890 EQT458890 FAP458890 FKL458890 FUH458890 GED458890 GNZ458890 GXV458890 HHR458890 HRN458890 IBJ458890 ILF458890 IVB458890 JEX458890 JOT458890 JYP458890 KIL458890 KSH458890 LCD458890 LLZ458890 LVV458890 MFR458890 MPN458890 MZJ458890 NJF458890 NTB458890 OCX458890 OMT458890 OWP458890 PGL458890 PQH458890 QAD458890 QJZ458890 QTV458890 RDR458890 RNN458890 RXJ458890 SHF458890 SRB458890 TAX458890 TKT458890 TUP458890 UEL458890 UOH458890 UYD458890 VHZ458890 VRV458890 WBR458890 WLN458890 WVJ458890 C524426 IX524426 ST524426 ACP524426 AML524426 AWH524426 BGD524426 BPZ524426 BZV524426 CJR524426 CTN524426 DDJ524426 DNF524426 DXB524426 EGX524426 EQT524426 FAP524426 FKL524426 FUH524426 GED524426 GNZ524426 GXV524426 HHR524426 HRN524426 IBJ524426 ILF524426 IVB524426 JEX524426 JOT524426 JYP524426 KIL524426 KSH524426 LCD524426 LLZ524426 LVV524426 MFR524426 MPN524426 MZJ524426 NJF524426 NTB524426 OCX524426 OMT524426 OWP524426 PGL524426 PQH524426 QAD524426 QJZ524426 QTV524426 RDR524426 RNN524426 RXJ524426 SHF524426 SRB524426 TAX524426 TKT524426 TUP524426 UEL524426 UOH524426 UYD524426 VHZ524426 VRV524426 WBR524426 WLN524426 WVJ524426 C589962 IX589962 ST589962 ACP589962 AML589962 AWH589962 BGD589962 BPZ589962 BZV589962 CJR589962 CTN589962 DDJ589962 DNF589962 DXB589962 EGX589962 EQT589962 FAP589962 FKL589962 FUH589962 GED589962 GNZ589962 GXV589962 HHR589962 HRN589962 IBJ589962 ILF589962 IVB589962 JEX589962 JOT589962 JYP589962 KIL589962 KSH589962 LCD589962 LLZ589962 LVV589962 MFR589962 MPN589962 MZJ589962 NJF589962 NTB589962 OCX589962 OMT589962 OWP589962 PGL589962 PQH589962 QAD589962 QJZ589962 QTV589962 RDR589962 RNN589962 RXJ589962 SHF589962 SRB589962 TAX589962 TKT589962 TUP589962 UEL589962 UOH589962 UYD589962 VHZ589962 VRV589962 WBR589962 WLN589962 WVJ589962 C655498 IX655498 ST655498 ACP655498 AML655498 AWH655498 BGD655498 BPZ655498 BZV655498 CJR655498 CTN655498 DDJ655498 DNF655498 DXB655498 EGX655498 EQT655498 FAP655498 FKL655498 FUH655498 GED655498 GNZ655498 GXV655498 HHR655498 HRN655498 IBJ655498 ILF655498 IVB655498 JEX655498 JOT655498 JYP655498 KIL655498 KSH655498 LCD655498 LLZ655498 LVV655498 MFR655498 MPN655498 MZJ655498 NJF655498 NTB655498 OCX655498 OMT655498 OWP655498 PGL655498 PQH655498 QAD655498 QJZ655498 QTV655498 RDR655498 RNN655498 RXJ655498 SHF655498 SRB655498 TAX655498 TKT655498 TUP655498 UEL655498 UOH655498 UYD655498 VHZ655498 VRV655498 WBR655498 WLN655498 WVJ655498 C721034 IX721034 ST721034 ACP721034 AML721034 AWH721034 BGD721034 BPZ721034 BZV721034 CJR721034 CTN721034 DDJ721034 DNF721034 DXB721034 EGX721034 EQT721034 FAP721034 FKL721034 FUH721034 GED721034 GNZ721034 GXV721034 HHR721034 HRN721034 IBJ721034 ILF721034 IVB721034 JEX721034 JOT721034 JYP721034 KIL721034 KSH721034 LCD721034 LLZ721034 LVV721034 MFR721034 MPN721034 MZJ721034 NJF721034 NTB721034 OCX721034 OMT721034 OWP721034 PGL721034 PQH721034 QAD721034 QJZ721034 QTV721034 RDR721034 RNN721034 RXJ721034 SHF721034 SRB721034 TAX721034 TKT721034 TUP721034 UEL721034 UOH721034 UYD721034 VHZ721034 VRV721034 WBR721034 WLN721034 WVJ721034 C786570 IX786570 ST786570 ACP786570 AML786570 AWH786570 BGD786570 BPZ786570 BZV786570 CJR786570 CTN786570 DDJ786570 DNF786570 DXB786570 EGX786570 EQT786570 FAP786570 FKL786570 FUH786570 GED786570 GNZ786570 GXV786570 HHR786570 HRN786570 IBJ786570 ILF786570 IVB786570 JEX786570 JOT786570 JYP786570 KIL786570 KSH786570 LCD786570 LLZ786570 LVV786570 MFR786570 MPN786570 MZJ786570 NJF786570 NTB786570 OCX786570 OMT786570 OWP786570 PGL786570 PQH786570 QAD786570 QJZ786570 QTV786570 RDR786570 RNN786570 RXJ786570 SHF786570 SRB786570 TAX786570 TKT786570 TUP786570 UEL786570 UOH786570 UYD786570 VHZ786570 VRV786570 WBR786570 WLN786570 WVJ786570 C852106 IX852106 ST852106 ACP852106 AML852106 AWH852106 BGD852106 BPZ852106 BZV852106 CJR852106 CTN852106 DDJ852106 DNF852106 DXB852106 EGX852106 EQT852106 FAP852106 FKL852106 FUH852106 GED852106 GNZ852106 GXV852106 HHR852106 HRN852106 IBJ852106 ILF852106 IVB852106 JEX852106 JOT852106 JYP852106 KIL852106 KSH852106 LCD852106 LLZ852106 LVV852106 MFR852106 MPN852106 MZJ852106 NJF852106 NTB852106 OCX852106 OMT852106 OWP852106 PGL852106 PQH852106 QAD852106 QJZ852106 QTV852106 RDR852106 RNN852106 RXJ852106 SHF852106 SRB852106 TAX852106 TKT852106 TUP852106 UEL852106 UOH852106 UYD852106 VHZ852106 VRV852106 WBR852106 WLN852106 WVJ852106 C917642 IX917642 ST917642 ACP917642 AML917642 AWH917642 BGD917642 BPZ917642 BZV917642 CJR917642 CTN917642 DDJ917642 DNF917642 DXB917642 EGX917642 EQT917642 FAP917642 FKL917642 FUH917642 GED917642 GNZ917642 GXV917642 HHR917642 HRN917642 IBJ917642 ILF917642 IVB917642 JEX917642 JOT917642 JYP917642 KIL917642 KSH917642 LCD917642 LLZ917642 LVV917642 MFR917642 MPN917642 MZJ917642 NJF917642 NTB917642 OCX917642 OMT917642 OWP917642 PGL917642 PQH917642 QAD917642 QJZ917642 QTV917642 RDR917642 RNN917642 RXJ917642 SHF917642 SRB917642 TAX917642 TKT917642 TUP917642 UEL917642 UOH917642 UYD917642 VHZ917642 VRV917642 WBR917642 WLN917642 WVJ917642 C983178 IX983178 ST983178 ACP983178 AML983178 AWH983178 BGD983178 BPZ983178 BZV983178 CJR983178 CTN983178 DDJ983178 DNF983178 DXB983178 EGX983178 EQT983178 FAP983178 FKL983178 FUH983178 GED983178 GNZ983178 GXV983178 HHR983178 HRN983178 IBJ983178 ILF983178 IVB983178 JEX983178 JOT983178 JYP983178 KIL983178 KSH983178 LCD983178 LLZ983178 LVV983178 MFR983178 MPN983178 MZJ983178 NJF983178 NTB983178 OCX983178 OMT983178 OWP983178 PGL983178 PQH983178 QAD983178 QJZ983178 QTV983178 RDR983178 RNN983178 RXJ983178 SHF983178 SRB983178 TAX983178 TKT983178 TUP983178 UEL983178 UOH983178 UYD983178 VHZ983178 VRV983178 WBR983178 WLN983178">
      <formula1>"Per day, Per week, Per month, Per year"</formula1>
    </dataValidation>
    <dataValidation type="list" allowBlank="1" showInputMessage="1" showErrorMessage="1" sqref="C71 IX71 ST71 ACP71 AML71 AWH71 BGD71 BPZ71 BZV71 CJR71 CTN71 DDJ71 DNF71 DXB71 EGX71 EQT71 FAP71 FKL71 FUH71 GED71 GNZ71 GXV71 HHR71 HRN71 IBJ71 ILF71 IVB71 JEX71 JOT71 JYP71 KIL71 KSH71 LCD71 LLZ71 LVV71 MFR71 MPN71 MZJ71 NJF71 NTB71 OCX71 OMT71 OWP71 PGL71 PQH71 QAD71 QJZ71 QTV71 RDR71 RNN71 RXJ71 SHF71 SRB71 TAX71 TKT71 TUP71 UEL71 UOH71 UYD71 VHZ71 VRV71 WBR71 WLN71 WVJ71 C65607 IX65607 ST65607 ACP65607 AML65607 AWH65607 BGD65607 BPZ65607 BZV65607 CJR65607 CTN65607 DDJ65607 DNF65607 DXB65607 EGX65607 EQT65607 FAP65607 FKL65607 FUH65607 GED65607 GNZ65607 GXV65607 HHR65607 HRN65607 IBJ65607 ILF65607 IVB65607 JEX65607 JOT65607 JYP65607 KIL65607 KSH65607 LCD65607 LLZ65607 LVV65607 MFR65607 MPN65607 MZJ65607 NJF65607 NTB65607 OCX65607 OMT65607 OWP65607 PGL65607 PQH65607 QAD65607 QJZ65607 QTV65607 RDR65607 RNN65607 RXJ65607 SHF65607 SRB65607 TAX65607 TKT65607 TUP65607 UEL65607 UOH65607 UYD65607 VHZ65607 VRV65607 WBR65607 WLN65607 WVJ65607 C131143 IX131143 ST131143 ACP131143 AML131143 AWH131143 BGD131143 BPZ131143 BZV131143 CJR131143 CTN131143 DDJ131143 DNF131143 DXB131143 EGX131143 EQT131143 FAP131143 FKL131143 FUH131143 GED131143 GNZ131143 GXV131143 HHR131143 HRN131143 IBJ131143 ILF131143 IVB131143 JEX131143 JOT131143 JYP131143 KIL131143 KSH131143 LCD131143 LLZ131143 LVV131143 MFR131143 MPN131143 MZJ131143 NJF131143 NTB131143 OCX131143 OMT131143 OWP131143 PGL131143 PQH131143 QAD131143 QJZ131143 QTV131143 RDR131143 RNN131143 RXJ131143 SHF131143 SRB131143 TAX131143 TKT131143 TUP131143 UEL131143 UOH131143 UYD131143 VHZ131143 VRV131143 WBR131143 WLN131143 WVJ131143 C196679 IX196679 ST196679 ACP196679 AML196679 AWH196679 BGD196679 BPZ196679 BZV196679 CJR196679 CTN196679 DDJ196679 DNF196679 DXB196679 EGX196679 EQT196679 FAP196679 FKL196679 FUH196679 GED196679 GNZ196679 GXV196679 HHR196679 HRN196679 IBJ196679 ILF196679 IVB196679 JEX196679 JOT196679 JYP196679 KIL196679 KSH196679 LCD196679 LLZ196679 LVV196679 MFR196679 MPN196679 MZJ196679 NJF196679 NTB196679 OCX196679 OMT196679 OWP196679 PGL196679 PQH196679 QAD196679 QJZ196679 QTV196679 RDR196679 RNN196679 RXJ196679 SHF196679 SRB196679 TAX196679 TKT196679 TUP196679 UEL196679 UOH196679 UYD196679 VHZ196679 VRV196679 WBR196679 WLN196679 WVJ196679 C262215 IX262215 ST262215 ACP262215 AML262215 AWH262215 BGD262215 BPZ262215 BZV262215 CJR262215 CTN262215 DDJ262215 DNF262215 DXB262215 EGX262215 EQT262215 FAP262215 FKL262215 FUH262215 GED262215 GNZ262215 GXV262215 HHR262215 HRN262215 IBJ262215 ILF262215 IVB262215 JEX262215 JOT262215 JYP262215 KIL262215 KSH262215 LCD262215 LLZ262215 LVV262215 MFR262215 MPN262215 MZJ262215 NJF262215 NTB262215 OCX262215 OMT262215 OWP262215 PGL262215 PQH262215 QAD262215 QJZ262215 QTV262215 RDR262215 RNN262215 RXJ262215 SHF262215 SRB262215 TAX262215 TKT262215 TUP262215 UEL262215 UOH262215 UYD262215 VHZ262215 VRV262215 WBR262215 WLN262215 WVJ262215 C327751 IX327751 ST327751 ACP327751 AML327751 AWH327751 BGD327751 BPZ327751 BZV327751 CJR327751 CTN327751 DDJ327751 DNF327751 DXB327751 EGX327751 EQT327751 FAP327751 FKL327751 FUH327751 GED327751 GNZ327751 GXV327751 HHR327751 HRN327751 IBJ327751 ILF327751 IVB327751 JEX327751 JOT327751 JYP327751 KIL327751 KSH327751 LCD327751 LLZ327751 LVV327751 MFR327751 MPN327751 MZJ327751 NJF327751 NTB327751 OCX327751 OMT327751 OWP327751 PGL327751 PQH327751 QAD327751 QJZ327751 QTV327751 RDR327751 RNN327751 RXJ327751 SHF327751 SRB327751 TAX327751 TKT327751 TUP327751 UEL327751 UOH327751 UYD327751 VHZ327751 VRV327751 WBR327751 WLN327751 WVJ327751 C393287 IX393287 ST393287 ACP393287 AML393287 AWH393287 BGD393287 BPZ393287 BZV393287 CJR393287 CTN393287 DDJ393287 DNF393287 DXB393287 EGX393287 EQT393287 FAP393287 FKL393287 FUH393287 GED393287 GNZ393287 GXV393287 HHR393287 HRN393287 IBJ393287 ILF393287 IVB393287 JEX393287 JOT393287 JYP393287 KIL393287 KSH393287 LCD393287 LLZ393287 LVV393287 MFR393287 MPN393287 MZJ393287 NJF393287 NTB393287 OCX393287 OMT393287 OWP393287 PGL393287 PQH393287 QAD393287 QJZ393287 QTV393287 RDR393287 RNN393287 RXJ393287 SHF393287 SRB393287 TAX393287 TKT393287 TUP393287 UEL393287 UOH393287 UYD393287 VHZ393287 VRV393287 WBR393287 WLN393287 WVJ393287 C458823 IX458823 ST458823 ACP458823 AML458823 AWH458823 BGD458823 BPZ458823 BZV458823 CJR458823 CTN458823 DDJ458823 DNF458823 DXB458823 EGX458823 EQT458823 FAP458823 FKL458823 FUH458823 GED458823 GNZ458823 GXV458823 HHR458823 HRN458823 IBJ458823 ILF458823 IVB458823 JEX458823 JOT458823 JYP458823 KIL458823 KSH458823 LCD458823 LLZ458823 LVV458823 MFR458823 MPN458823 MZJ458823 NJF458823 NTB458823 OCX458823 OMT458823 OWP458823 PGL458823 PQH458823 QAD458823 QJZ458823 QTV458823 RDR458823 RNN458823 RXJ458823 SHF458823 SRB458823 TAX458823 TKT458823 TUP458823 UEL458823 UOH458823 UYD458823 VHZ458823 VRV458823 WBR458823 WLN458823 WVJ458823 C524359 IX524359 ST524359 ACP524359 AML524359 AWH524359 BGD524359 BPZ524359 BZV524359 CJR524359 CTN524359 DDJ524359 DNF524359 DXB524359 EGX524359 EQT524359 FAP524359 FKL524359 FUH524359 GED524359 GNZ524359 GXV524359 HHR524359 HRN524359 IBJ524359 ILF524359 IVB524359 JEX524359 JOT524359 JYP524359 KIL524359 KSH524359 LCD524359 LLZ524359 LVV524359 MFR524359 MPN524359 MZJ524359 NJF524359 NTB524359 OCX524359 OMT524359 OWP524359 PGL524359 PQH524359 QAD524359 QJZ524359 QTV524359 RDR524359 RNN524359 RXJ524359 SHF524359 SRB524359 TAX524359 TKT524359 TUP524359 UEL524359 UOH524359 UYD524359 VHZ524359 VRV524359 WBR524359 WLN524359 WVJ524359 C589895 IX589895 ST589895 ACP589895 AML589895 AWH589895 BGD589895 BPZ589895 BZV589895 CJR589895 CTN589895 DDJ589895 DNF589895 DXB589895 EGX589895 EQT589895 FAP589895 FKL589895 FUH589895 GED589895 GNZ589895 GXV589895 HHR589895 HRN589895 IBJ589895 ILF589895 IVB589895 JEX589895 JOT589895 JYP589895 KIL589895 KSH589895 LCD589895 LLZ589895 LVV589895 MFR589895 MPN589895 MZJ589895 NJF589895 NTB589895 OCX589895 OMT589895 OWP589895 PGL589895 PQH589895 QAD589895 QJZ589895 QTV589895 RDR589895 RNN589895 RXJ589895 SHF589895 SRB589895 TAX589895 TKT589895 TUP589895 UEL589895 UOH589895 UYD589895 VHZ589895 VRV589895 WBR589895 WLN589895 WVJ589895 C655431 IX655431 ST655431 ACP655431 AML655431 AWH655431 BGD655431 BPZ655431 BZV655431 CJR655431 CTN655431 DDJ655431 DNF655431 DXB655431 EGX655431 EQT655431 FAP655431 FKL655431 FUH655431 GED655431 GNZ655431 GXV655431 HHR655431 HRN655431 IBJ655431 ILF655431 IVB655431 JEX655431 JOT655431 JYP655431 KIL655431 KSH655431 LCD655431 LLZ655431 LVV655431 MFR655431 MPN655431 MZJ655431 NJF655431 NTB655431 OCX655431 OMT655431 OWP655431 PGL655431 PQH655431 QAD655431 QJZ655431 QTV655431 RDR655431 RNN655431 RXJ655431 SHF655431 SRB655431 TAX655431 TKT655431 TUP655431 UEL655431 UOH655431 UYD655431 VHZ655431 VRV655431 WBR655431 WLN655431 WVJ655431 C720967 IX720967 ST720967 ACP720967 AML720967 AWH720967 BGD720967 BPZ720967 BZV720967 CJR720967 CTN720967 DDJ720967 DNF720967 DXB720967 EGX720967 EQT720967 FAP720967 FKL720967 FUH720967 GED720967 GNZ720967 GXV720967 HHR720967 HRN720967 IBJ720967 ILF720967 IVB720967 JEX720967 JOT720967 JYP720967 KIL720967 KSH720967 LCD720967 LLZ720967 LVV720967 MFR720967 MPN720967 MZJ720967 NJF720967 NTB720967 OCX720967 OMT720967 OWP720967 PGL720967 PQH720967 QAD720967 QJZ720967 QTV720967 RDR720967 RNN720967 RXJ720967 SHF720967 SRB720967 TAX720967 TKT720967 TUP720967 UEL720967 UOH720967 UYD720967 VHZ720967 VRV720967 WBR720967 WLN720967 WVJ720967 C786503 IX786503 ST786503 ACP786503 AML786503 AWH786503 BGD786503 BPZ786503 BZV786503 CJR786503 CTN786503 DDJ786503 DNF786503 DXB786503 EGX786503 EQT786503 FAP786503 FKL786503 FUH786503 GED786503 GNZ786503 GXV786503 HHR786503 HRN786503 IBJ786503 ILF786503 IVB786503 JEX786503 JOT786503 JYP786503 KIL786503 KSH786503 LCD786503 LLZ786503 LVV786503 MFR786503 MPN786503 MZJ786503 NJF786503 NTB786503 OCX786503 OMT786503 OWP786503 PGL786503 PQH786503 QAD786503 QJZ786503 QTV786503 RDR786503 RNN786503 RXJ786503 SHF786503 SRB786503 TAX786503 TKT786503 TUP786503 UEL786503 UOH786503 UYD786503 VHZ786503 VRV786503 WBR786503 WLN786503 WVJ786503 C852039 IX852039 ST852039 ACP852039 AML852039 AWH852039 BGD852039 BPZ852039 BZV852039 CJR852039 CTN852039 DDJ852039 DNF852039 DXB852039 EGX852039 EQT852039 FAP852039 FKL852039 FUH852039 GED852039 GNZ852039 GXV852039 HHR852039 HRN852039 IBJ852039 ILF852039 IVB852039 JEX852039 JOT852039 JYP852039 KIL852039 KSH852039 LCD852039 LLZ852039 LVV852039 MFR852039 MPN852039 MZJ852039 NJF852039 NTB852039 OCX852039 OMT852039 OWP852039 PGL852039 PQH852039 QAD852039 QJZ852039 QTV852039 RDR852039 RNN852039 RXJ852039 SHF852039 SRB852039 TAX852039 TKT852039 TUP852039 UEL852039 UOH852039 UYD852039 VHZ852039 VRV852039 WBR852039 WLN852039 WVJ852039 C917575 IX917575 ST917575 ACP917575 AML917575 AWH917575 BGD917575 BPZ917575 BZV917575 CJR917575 CTN917575 DDJ917575 DNF917575 DXB917575 EGX917575 EQT917575 FAP917575 FKL917575 FUH917575 GED917575 GNZ917575 GXV917575 HHR917575 HRN917575 IBJ917575 ILF917575 IVB917575 JEX917575 JOT917575 JYP917575 KIL917575 KSH917575 LCD917575 LLZ917575 LVV917575 MFR917575 MPN917575 MZJ917575 NJF917575 NTB917575 OCX917575 OMT917575 OWP917575 PGL917575 PQH917575 QAD917575 QJZ917575 QTV917575 RDR917575 RNN917575 RXJ917575 SHF917575 SRB917575 TAX917575 TKT917575 TUP917575 UEL917575 UOH917575 UYD917575 VHZ917575 VRV917575 WBR917575 WLN917575 WVJ917575 C983111 IX983111 ST983111 ACP983111 AML983111 AWH983111 BGD983111 BPZ983111 BZV983111 CJR983111 CTN983111 DDJ983111 DNF983111 DXB983111 EGX983111 EQT983111 FAP983111 FKL983111 FUH983111 GED983111 GNZ983111 GXV983111 HHR983111 HRN983111 IBJ983111 ILF983111 IVB983111 JEX983111 JOT983111 JYP983111 KIL983111 KSH983111 LCD983111 LLZ983111 LVV983111 MFR983111 MPN983111 MZJ983111 NJF983111 NTB983111 OCX983111 OMT983111 OWP983111 PGL983111 PQH983111 QAD983111 QJZ983111 QTV983111 RDR983111 RNN983111 RXJ983111 SHF983111 SRB983111 TAX983111 TKT983111 TUP983111 UEL983111 UOH983111 UYD983111 VHZ983111 VRV983111 WBR983111 WLN983111 WVJ983111">
      <formula1>"Estimation, partial book keeping, complete financial record, external audit report/ by professional accountants"</formula1>
    </dataValidation>
    <dataValidation allowBlank="1" showInputMessage="1" showErrorMessage="1" promptTitle="Note!" prompt="Positive entry intry indicates sale of fixed asset (inflow) while negative entrey indicate purchase of fixed assets (outflow)" sqref="B138:M138"/>
    <dataValidation allowBlank="1" showInputMessage="1" showErrorMessage="1" promptTitle="Note!" prompt="1. +ve entry indicate recieved loan (inflow) while -ve entry show periodic repayments (outflows)&#10;2. Please refer to the loan repayment schedule (7) to complete this" sqref="B139:M139"/>
    <dataValidation allowBlank="1" showInputMessage="1" showErrorMessage="1" promptTitle="Note!" prompt="Positive entry indicates equb recived (inflow) while negative entrey indicate periodic equp payments (outflows)" sqref="B140:M140"/>
    <dataValidation type="list" allowBlank="1" showInputMessage="1" showErrorMessage="1" sqref="C4 C16">
      <formula1>"Per day, Per week, Per month"</formula1>
    </dataValidation>
    <dataValidation allowBlank="1" showInputMessage="1" showErrorMessage="1" promptTitle="Note:" prompt="Please check and adjust if some of the expenses doesnt involve cashoutflow" sqref="F45:F52"/>
    <dataValidation allowBlank="1" showInputMessage="1" showErrorMessage="1" promptTitle="Note!" prompt="Please encode annual values only" sqref="C45:C52"/>
  </dataValidations>
  <pageMargins left="0.33" right="0.27" top="0.48" bottom="0.42" header="0.3" footer="0.3"/>
  <pageSetup scale="55" orientation="landscape" r:id="rId1"/>
  <rowBreaks count="2" manualBreakCount="2">
    <brk id="68" max="14" man="1"/>
    <brk id="110" max="14" man="1"/>
  </rowBreaks>
</worksheet>
</file>

<file path=xl/worksheets/sheet5.xml><?xml version="1.0" encoding="utf-8"?>
<worksheet xmlns="http://schemas.openxmlformats.org/spreadsheetml/2006/main" xmlns:r="http://schemas.openxmlformats.org/officeDocument/2006/relationships">
  <sheetPr published="0"/>
  <dimension ref="A1:G68"/>
  <sheetViews>
    <sheetView showGridLines="0" zoomScale="120" zoomScaleNormal="120" workbookViewId="0">
      <selection activeCell="E10" sqref="E10"/>
    </sheetView>
  </sheetViews>
  <sheetFormatPr defaultColWidth="9.140625" defaultRowHeight="12"/>
  <cols>
    <col min="1" max="1" width="9.140625" style="257"/>
    <col min="2" max="2" width="52.28515625" style="267" customWidth="1"/>
    <col min="3" max="3" width="13.85546875" style="265" customWidth="1"/>
    <col min="4" max="4" width="13.140625" style="265" customWidth="1"/>
    <col min="5" max="5" width="21.85546875" style="265" customWidth="1"/>
    <col min="6" max="6" width="28.140625" style="265" customWidth="1"/>
    <col min="7" max="7" width="87.85546875" style="615" customWidth="1"/>
    <col min="8" max="257" width="9.140625" style="240"/>
    <col min="258" max="258" width="77" style="240" customWidth="1"/>
    <col min="259" max="259" width="13.85546875" style="240" customWidth="1"/>
    <col min="260" max="260" width="13.140625" style="240" customWidth="1"/>
    <col min="261" max="261" width="9.140625" style="240"/>
    <col min="262" max="262" width="29.42578125" style="240" customWidth="1"/>
    <col min="263" max="513" width="9.140625" style="240"/>
    <col min="514" max="514" width="77" style="240" customWidth="1"/>
    <col min="515" max="515" width="13.85546875" style="240" customWidth="1"/>
    <col min="516" max="516" width="13.140625" style="240" customWidth="1"/>
    <col min="517" max="517" width="9.140625" style="240"/>
    <col min="518" max="518" width="29.42578125" style="240" customWidth="1"/>
    <col min="519" max="769" width="9.140625" style="240"/>
    <col min="770" max="770" width="77" style="240" customWidth="1"/>
    <col min="771" max="771" width="13.85546875" style="240" customWidth="1"/>
    <col min="772" max="772" width="13.140625" style="240" customWidth="1"/>
    <col min="773" max="773" width="9.140625" style="240"/>
    <col min="774" max="774" width="29.42578125" style="240" customWidth="1"/>
    <col min="775" max="1025" width="9.140625" style="240"/>
    <col min="1026" max="1026" width="77" style="240" customWidth="1"/>
    <col min="1027" max="1027" width="13.85546875" style="240" customWidth="1"/>
    <col min="1028" max="1028" width="13.140625" style="240" customWidth="1"/>
    <col min="1029" max="1029" width="9.140625" style="240"/>
    <col min="1030" max="1030" width="29.42578125" style="240" customWidth="1"/>
    <col min="1031" max="1281" width="9.140625" style="240"/>
    <col min="1282" max="1282" width="77" style="240" customWidth="1"/>
    <col min="1283" max="1283" width="13.85546875" style="240" customWidth="1"/>
    <col min="1284" max="1284" width="13.140625" style="240" customWidth="1"/>
    <col min="1285" max="1285" width="9.140625" style="240"/>
    <col min="1286" max="1286" width="29.42578125" style="240" customWidth="1"/>
    <col min="1287" max="1537" width="9.140625" style="240"/>
    <col min="1538" max="1538" width="77" style="240" customWidth="1"/>
    <col min="1539" max="1539" width="13.85546875" style="240" customWidth="1"/>
    <col min="1540" max="1540" width="13.140625" style="240" customWidth="1"/>
    <col min="1541" max="1541" width="9.140625" style="240"/>
    <col min="1542" max="1542" width="29.42578125" style="240" customWidth="1"/>
    <col min="1543" max="1793" width="9.140625" style="240"/>
    <col min="1794" max="1794" width="77" style="240" customWidth="1"/>
    <col min="1795" max="1795" width="13.85546875" style="240" customWidth="1"/>
    <col min="1796" max="1796" width="13.140625" style="240" customWidth="1"/>
    <col min="1797" max="1797" width="9.140625" style="240"/>
    <col min="1798" max="1798" width="29.42578125" style="240" customWidth="1"/>
    <col min="1799" max="2049" width="9.140625" style="240"/>
    <col min="2050" max="2050" width="77" style="240" customWidth="1"/>
    <col min="2051" max="2051" width="13.85546875" style="240" customWidth="1"/>
    <col min="2052" max="2052" width="13.140625" style="240" customWidth="1"/>
    <col min="2053" max="2053" width="9.140625" style="240"/>
    <col min="2054" max="2054" width="29.42578125" style="240" customWidth="1"/>
    <col min="2055" max="2305" width="9.140625" style="240"/>
    <col min="2306" max="2306" width="77" style="240" customWidth="1"/>
    <col min="2307" max="2307" width="13.85546875" style="240" customWidth="1"/>
    <col min="2308" max="2308" width="13.140625" style="240" customWidth="1"/>
    <col min="2309" max="2309" width="9.140625" style="240"/>
    <col min="2310" max="2310" width="29.42578125" style="240" customWidth="1"/>
    <col min="2311" max="2561" width="9.140625" style="240"/>
    <col min="2562" max="2562" width="77" style="240" customWidth="1"/>
    <col min="2563" max="2563" width="13.85546875" style="240" customWidth="1"/>
    <col min="2564" max="2564" width="13.140625" style="240" customWidth="1"/>
    <col min="2565" max="2565" width="9.140625" style="240"/>
    <col min="2566" max="2566" width="29.42578125" style="240" customWidth="1"/>
    <col min="2567" max="2817" width="9.140625" style="240"/>
    <col min="2818" max="2818" width="77" style="240" customWidth="1"/>
    <col min="2819" max="2819" width="13.85546875" style="240" customWidth="1"/>
    <col min="2820" max="2820" width="13.140625" style="240" customWidth="1"/>
    <col min="2821" max="2821" width="9.140625" style="240"/>
    <col min="2822" max="2822" width="29.42578125" style="240" customWidth="1"/>
    <col min="2823" max="3073" width="9.140625" style="240"/>
    <col min="3074" max="3074" width="77" style="240" customWidth="1"/>
    <col min="3075" max="3075" width="13.85546875" style="240" customWidth="1"/>
    <col min="3076" max="3076" width="13.140625" style="240" customWidth="1"/>
    <col min="3077" max="3077" width="9.140625" style="240"/>
    <col min="3078" max="3078" width="29.42578125" style="240" customWidth="1"/>
    <col min="3079" max="3329" width="9.140625" style="240"/>
    <col min="3330" max="3330" width="77" style="240" customWidth="1"/>
    <col min="3331" max="3331" width="13.85546875" style="240" customWidth="1"/>
    <col min="3332" max="3332" width="13.140625" style="240" customWidth="1"/>
    <col min="3333" max="3333" width="9.140625" style="240"/>
    <col min="3334" max="3334" width="29.42578125" style="240" customWidth="1"/>
    <col min="3335" max="3585" width="9.140625" style="240"/>
    <col min="3586" max="3586" width="77" style="240" customWidth="1"/>
    <col min="3587" max="3587" width="13.85546875" style="240" customWidth="1"/>
    <col min="3588" max="3588" width="13.140625" style="240" customWidth="1"/>
    <col min="3589" max="3589" width="9.140625" style="240"/>
    <col min="3590" max="3590" width="29.42578125" style="240" customWidth="1"/>
    <col min="3591" max="3841" width="9.140625" style="240"/>
    <col min="3842" max="3842" width="77" style="240" customWidth="1"/>
    <col min="3843" max="3843" width="13.85546875" style="240" customWidth="1"/>
    <col min="3844" max="3844" width="13.140625" style="240" customWidth="1"/>
    <col min="3845" max="3845" width="9.140625" style="240"/>
    <col min="3846" max="3846" width="29.42578125" style="240" customWidth="1"/>
    <col min="3847" max="4097" width="9.140625" style="240"/>
    <col min="4098" max="4098" width="77" style="240" customWidth="1"/>
    <col min="4099" max="4099" width="13.85546875" style="240" customWidth="1"/>
    <col min="4100" max="4100" width="13.140625" style="240" customWidth="1"/>
    <col min="4101" max="4101" width="9.140625" style="240"/>
    <col min="4102" max="4102" width="29.42578125" style="240" customWidth="1"/>
    <col min="4103" max="4353" width="9.140625" style="240"/>
    <col min="4354" max="4354" width="77" style="240" customWidth="1"/>
    <col min="4355" max="4355" width="13.85546875" style="240" customWidth="1"/>
    <col min="4356" max="4356" width="13.140625" style="240" customWidth="1"/>
    <col min="4357" max="4357" width="9.140625" style="240"/>
    <col min="4358" max="4358" width="29.42578125" style="240" customWidth="1"/>
    <col min="4359" max="4609" width="9.140625" style="240"/>
    <col min="4610" max="4610" width="77" style="240" customWidth="1"/>
    <col min="4611" max="4611" width="13.85546875" style="240" customWidth="1"/>
    <col min="4612" max="4612" width="13.140625" style="240" customWidth="1"/>
    <col min="4613" max="4613" width="9.140625" style="240"/>
    <col min="4614" max="4614" width="29.42578125" style="240" customWidth="1"/>
    <col min="4615" max="4865" width="9.140625" style="240"/>
    <col min="4866" max="4866" width="77" style="240" customWidth="1"/>
    <col min="4867" max="4867" width="13.85546875" style="240" customWidth="1"/>
    <col min="4868" max="4868" width="13.140625" style="240" customWidth="1"/>
    <col min="4869" max="4869" width="9.140625" style="240"/>
    <col min="4870" max="4870" width="29.42578125" style="240" customWidth="1"/>
    <col min="4871" max="5121" width="9.140625" style="240"/>
    <col min="5122" max="5122" width="77" style="240" customWidth="1"/>
    <col min="5123" max="5123" width="13.85546875" style="240" customWidth="1"/>
    <col min="5124" max="5124" width="13.140625" style="240" customWidth="1"/>
    <col min="5125" max="5125" width="9.140625" style="240"/>
    <col min="5126" max="5126" width="29.42578125" style="240" customWidth="1"/>
    <col min="5127" max="5377" width="9.140625" style="240"/>
    <col min="5378" max="5378" width="77" style="240" customWidth="1"/>
    <col min="5379" max="5379" width="13.85546875" style="240" customWidth="1"/>
    <col min="5380" max="5380" width="13.140625" style="240" customWidth="1"/>
    <col min="5381" max="5381" width="9.140625" style="240"/>
    <col min="5382" max="5382" width="29.42578125" style="240" customWidth="1"/>
    <col min="5383" max="5633" width="9.140625" style="240"/>
    <col min="5634" max="5634" width="77" style="240" customWidth="1"/>
    <col min="5635" max="5635" width="13.85546875" style="240" customWidth="1"/>
    <col min="5636" max="5636" width="13.140625" style="240" customWidth="1"/>
    <col min="5637" max="5637" width="9.140625" style="240"/>
    <col min="5638" max="5638" width="29.42578125" style="240" customWidth="1"/>
    <col min="5639" max="5889" width="9.140625" style="240"/>
    <col min="5890" max="5890" width="77" style="240" customWidth="1"/>
    <col min="5891" max="5891" width="13.85546875" style="240" customWidth="1"/>
    <col min="5892" max="5892" width="13.140625" style="240" customWidth="1"/>
    <col min="5893" max="5893" width="9.140625" style="240"/>
    <col min="5894" max="5894" width="29.42578125" style="240" customWidth="1"/>
    <col min="5895" max="6145" width="9.140625" style="240"/>
    <col min="6146" max="6146" width="77" style="240" customWidth="1"/>
    <col min="6147" max="6147" width="13.85546875" style="240" customWidth="1"/>
    <col min="6148" max="6148" width="13.140625" style="240" customWidth="1"/>
    <col min="6149" max="6149" width="9.140625" style="240"/>
    <col min="6150" max="6150" width="29.42578125" style="240" customWidth="1"/>
    <col min="6151" max="6401" width="9.140625" style="240"/>
    <col min="6402" max="6402" width="77" style="240" customWidth="1"/>
    <col min="6403" max="6403" width="13.85546875" style="240" customWidth="1"/>
    <col min="6404" max="6404" width="13.140625" style="240" customWidth="1"/>
    <col min="6405" max="6405" width="9.140625" style="240"/>
    <col min="6406" max="6406" width="29.42578125" style="240" customWidth="1"/>
    <col min="6407" max="6657" width="9.140625" style="240"/>
    <col min="6658" max="6658" width="77" style="240" customWidth="1"/>
    <col min="6659" max="6659" width="13.85546875" style="240" customWidth="1"/>
    <col min="6660" max="6660" width="13.140625" style="240" customWidth="1"/>
    <col min="6661" max="6661" width="9.140625" style="240"/>
    <col min="6662" max="6662" width="29.42578125" style="240" customWidth="1"/>
    <col min="6663" max="6913" width="9.140625" style="240"/>
    <col min="6914" max="6914" width="77" style="240" customWidth="1"/>
    <col min="6915" max="6915" width="13.85546875" style="240" customWidth="1"/>
    <col min="6916" max="6916" width="13.140625" style="240" customWidth="1"/>
    <col min="6917" max="6917" width="9.140625" style="240"/>
    <col min="6918" max="6918" width="29.42578125" style="240" customWidth="1"/>
    <col min="6919" max="7169" width="9.140625" style="240"/>
    <col min="7170" max="7170" width="77" style="240" customWidth="1"/>
    <col min="7171" max="7171" width="13.85546875" style="240" customWidth="1"/>
    <col min="7172" max="7172" width="13.140625" style="240" customWidth="1"/>
    <col min="7173" max="7173" width="9.140625" style="240"/>
    <col min="7174" max="7174" width="29.42578125" style="240" customWidth="1"/>
    <col min="7175" max="7425" width="9.140625" style="240"/>
    <col min="7426" max="7426" width="77" style="240" customWidth="1"/>
    <col min="7427" max="7427" width="13.85546875" style="240" customWidth="1"/>
    <col min="7428" max="7428" width="13.140625" style="240" customWidth="1"/>
    <col min="7429" max="7429" width="9.140625" style="240"/>
    <col min="7430" max="7430" width="29.42578125" style="240" customWidth="1"/>
    <col min="7431" max="7681" width="9.140625" style="240"/>
    <col min="7682" max="7682" width="77" style="240" customWidth="1"/>
    <col min="7683" max="7683" width="13.85546875" style="240" customWidth="1"/>
    <col min="7684" max="7684" width="13.140625" style="240" customWidth="1"/>
    <col min="7685" max="7685" width="9.140625" style="240"/>
    <col min="7686" max="7686" width="29.42578125" style="240" customWidth="1"/>
    <col min="7687" max="7937" width="9.140625" style="240"/>
    <col min="7938" max="7938" width="77" style="240" customWidth="1"/>
    <col min="7939" max="7939" width="13.85546875" style="240" customWidth="1"/>
    <col min="7940" max="7940" width="13.140625" style="240" customWidth="1"/>
    <col min="7941" max="7941" width="9.140625" style="240"/>
    <col min="7942" max="7942" width="29.42578125" style="240" customWidth="1"/>
    <col min="7943" max="8193" width="9.140625" style="240"/>
    <col min="8194" max="8194" width="77" style="240" customWidth="1"/>
    <col min="8195" max="8195" width="13.85546875" style="240" customWidth="1"/>
    <col min="8196" max="8196" width="13.140625" style="240" customWidth="1"/>
    <col min="8197" max="8197" width="9.140625" style="240"/>
    <col min="8198" max="8198" width="29.42578125" style="240" customWidth="1"/>
    <col min="8199" max="8449" width="9.140625" style="240"/>
    <col min="8450" max="8450" width="77" style="240" customWidth="1"/>
    <col min="8451" max="8451" width="13.85546875" style="240" customWidth="1"/>
    <col min="8452" max="8452" width="13.140625" style="240" customWidth="1"/>
    <col min="8453" max="8453" width="9.140625" style="240"/>
    <col min="8454" max="8454" width="29.42578125" style="240" customWidth="1"/>
    <col min="8455" max="8705" width="9.140625" style="240"/>
    <col min="8706" max="8706" width="77" style="240" customWidth="1"/>
    <col min="8707" max="8707" width="13.85546875" style="240" customWidth="1"/>
    <col min="8708" max="8708" width="13.140625" style="240" customWidth="1"/>
    <col min="8709" max="8709" width="9.140625" style="240"/>
    <col min="8710" max="8710" width="29.42578125" style="240" customWidth="1"/>
    <col min="8711" max="8961" width="9.140625" style="240"/>
    <col min="8962" max="8962" width="77" style="240" customWidth="1"/>
    <col min="8963" max="8963" width="13.85546875" style="240" customWidth="1"/>
    <col min="8964" max="8964" width="13.140625" style="240" customWidth="1"/>
    <col min="8965" max="8965" width="9.140625" style="240"/>
    <col min="8966" max="8966" width="29.42578125" style="240" customWidth="1"/>
    <col min="8967" max="9217" width="9.140625" style="240"/>
    <col min="9218" max="9218" width="77" style="240" customWidth="1"/>
    <col min="9219" max="9219" width="13.85546875" style="240" customWidth="1"/>
    <col min="9220" max="9220" width="13.140625" style="240" customWidth="1"/>
    <col min="9221" max="9221" width="9.140625" style="240"/>
    <col min="9222" max="9222" width="29.42578125" style="240" customWidth="1"/>
    <col min="9223" max="9473" width="9.140625" style="240"/>
    <col min="9474" max="9474" width="77" style="240" customWidth="1"/>
    <col min="9475" max="9475" width="13.85546875" style="240" customWidth="1"/>
    <col min="9476" max="9476" width="13.140625" style="240" customWidth="1"/>
    <col min="9477" max="9477" width="9.140625" style="240"/>
    <col min="9478" max="9478" width="29.42578125" style="240" customWidth="1"/>
    <col min="9479" max="9729" width="9.140625" style="240"/>
    <col min="9730" max="9730" width="77" style="240" customWidth="1"/>
    <col min="9731" max="9731" width="13.85546875" style="240" customWidth="1"/>
    <col min="9732" max="9732" width="13.140625" style="240" customWidth="1"/>
    <col min="9733" max="9733" width="9.140625" style="240"/>
    <col min="9734" max="9734" width="29.42578125" style="240" customWidth="1"/>
    <col min="9735" max="9985" width="9.140625" style="240"/>
    <col min="9986" max="9986" width="77" style="240" customWidth="1"/>
    <col min="9987" max="9987" width="13.85546875" style="240" customWidth="1"/>
    <col min="9988" max="9988" width="13.140625" style="240" customWidth="1"/>
    <col min="9989" max="9989" width="9.140625" style="240"/>
    <col min="9990" max="9990" width="29.42578125" style="240" customWidth="1"/>
    <col min="9991" max="10241" width="9.140625" style="240"/>
    <col min="10242" max="10242" width="77" style="240" customWidth="1"/>
    <col min="10243" max="10243" width="13.85546875" style="240" customWidth="1"/>
    <col min="10244" max="10244" width="13.140625" style="240" customWidth="1"/>
    <col min="10245" max="10245" width="9.140625" style="240"/>
    <col min="10246" max="10246" width="29.42578125" style="240" customWidth="1"/>
    <col min="10247" max="10497" width="9.140625" style="240"/>
    <col min="10498" max="10498" width="77" style="240" customWidth="1"/>
    <col min="10499" max="10499" width="13.85546875" style="240" customWidth="1"/>
    <col min="10500" max="10500" width="13.140625" style="240" customWidth="1"/>
    <col min="10501" max="10501" width="9.140625" style="240"/>
    <col min="10502" max="10502" width="29.42578125" style="240" customWidth="1"/>
    <col min="10503" max="10753" width="9.140625" style="240"/>
    <col min="10754" max="10754" width="77" style="240" customWidth="1"/>
    <col min="10755" max="10755" width="13.85546875" style="240" customWidth="1"/>
    <col min="10756" max="10756" width="13.140625" style="240" customWidth="1"/>
    <col min="10757" max="10757" width="9.140625" style="240"/>
    <col min="10758" max="10758" width="29.42578125" style="240" customWidth="1"/>
    <col min="10759" max="11009" width="9.140625" style="240"/>
    <col min="11010" max="11010" width="77" style="240" customWidth="1"/>
    <col min="11011" max="11011" width="13.85546875" style="240" customWidth="1"/>
    <col min="11012" max="11012" width="13.140625" style="240" customWidth="1"/>
    <col min="11013" max="11013" width="9.140625" style="240"/>
    <col min="11014" max="11014" width="29.42578125" style="240" customWidth="1"/>
    <col min="11015" max="11265" width="9.140625" style="240"/>
    <col min="11266" max="11266" width="77" style="240" customWidth="1"/>
    <col min="11267" max="11267" width="13.85546875" style="240" customWidth="1"/>
    <col min="11268" max="11268" width="13.140625" style="240" customWidth="1"/>
    <col min="11269" max="11269" width="9.140625" style="240"/>
    <col min="11270" max="11270" width="29.42578125" style="240" customWidth="1"/>
    <col min="11271" max="11521" width="9.140625" style="240"/>
    <col min="11522" max="11522" width="77" style="240" customWidth="1"/>
    <col min="11523" max="11523" width="13.85546875" style="240" customWidth="1"/>
    <col min="11524" max="11524" width="13.140625" style="240" customWidth="1"/>
    <col min="11525" max="11525" width="9.140625" style="240"/>
    <col min="11526" max="11526" width="29.42578125" style="240" customWidth="1"/>
    <col min="11527" max="11777" width="9.140625" style="240"/>
    <col min="11778" max="11778" width="77" style="240" customWidth="1"/>
    <col min="11779" max="11779" width="13.85546875" style="240" customWidth="1"/>
    <col min="11780" max="11780" width="13.140625" style="240" customWidth="1"/>
    <col min="11781" max="11781" width="9.140625" style="240"/>
    <col min="11782" max="11782" width="29.42578125" style="240" customWidth="1"/>
    <col min="11783" max="12033" width="9.140625" style="240"/>
    <col min="12034" max="12034" width="77" style="240" customWidth="1"/>
    <col min="12035" max="12035" width="13.85546875" style="240" customWidth="1"/>
    <col min="12036" max="12036" width="13.140625" style="240" customWidth="1"/>
    <col min="12037" max="12037" width="9.140625" style="240"/>
    <col min="12038" max="12038" width="29.42578125" style="240" customWidth="1"/>
    <col min="12039" max="12289" width="9.140625" style="240"/>
    <col min="12290" max="12290" width="77" style="240" customWidth="1"/>
    <col min="12291" max="12291" width="13.85546875" style="240" customWidth="1"/>
    <col min="12292" max="12292" width="13.140625" style="240" customWidth="1"/>
    <col min="12293" max="12293" width="9.140625" style="240"/>
    <col min="12294" max="12294" width="29.42578125" style="240" customWidth="1"/>
    <col min="12295" max="12545" width="9.140625" style="240"/>
    <col min="12546" max="12546" width="77" style="240" customWidth="1"/>
    <col min="12547" max="12547" width="13.85546875" style="240" customWidth="1"/>
    <col min="12548" max="12548" width="13.140625" style="240" customWidth="1"/>
    <col min="12549" max="12549" width="9.140625" style="240"/>
    <col min="12550" max="12550" width="29.42578125" style="240" customWidth="1"/>
    <col min="12551" max="12801" width="9.140625" style="240"/>
    <col min="12802" max="12802" width="77" style="240" customWidth="1"/>
    <col min="12803" max="12803" width="13.85546875" style="240" customWidth="1"/>
    <col min="12804" max="12804" width="13.140625" style="240" customWidth="1"/>
    <col min="12805" max="12805" width="9.140625" style="240"/>
    <col min="12806" max="12806" width="29.42578125" style="240" customWidth="1"/>
    <col min="12807" max="13057" width="9.140625" style="240"/>
    <col min="13058" max="13058" width="77" style="240" customWidth="1"/>
    <col min="13059" max="13059" width="13.85546875" style="240" customWidth="1"/>
    <col min="13060" max="13060" width="13.140625" style="240" customWidth="1"/>
    <col min="13061" max="13061" width="9.140625" style="240"/>
    <col min="13062" max="13062" width="29.42578125" style="240" customWidth="1"/>
    <col min="13063" max="13313" width="9.140625" style="240"/>
    <col min="13314" max="13314" width="77" style="240" customWidth="1"/>
    <col min="13315" max="13315" width="13.85546875" style="240" customWidth="1"/>
    <col min="13316" max="13316" width="13.140625" style="240" customWidth="1"/>
    <col min="13317" max="13317" width="9.140625" style="240"/>
    <col min="13318" max="13318" width="29.42578125" style="240" customWidth="1"/>
    <col min="13319" max="13569" width="9.140625" style="240"/>
    <col min="13570" max="13570" width="77" style="240" customWidth="1"/>
    <col min="13571" max="13571" width="13.85546875" style="240" customWidth="1"/>
    <col min="13572" max="13572" width="13.140625" style="240" customWidth="1"/>
    <col min="13573" max="13573" width="9.140625" style="240"/>
    <col min="13574" max="13574" width="29.42578125" style="240" customWidth="1"/>
    <col min="13575" max="13825" width="9.140625" style="240"/>
    <col min="13826" max="13826" width="77" style="240" customWidth="1"/>
    <col min="13827" max="13827" width="13.85546875" style="240" customWidth="1"/>
    <col min="13828" max="13828" width="13.140625" style="240" customWidth="1"/>
    <col min="13829" max="13829" width="9.140625" style="240"/>
    <col min="13830" max="13830" width="29.42578125" style="240" customWidth="1"/>
    <col min="13831" max="14081" width="9.140625" style="240"/>
    <col min="14082" max="14082" width="77" style="240" customWidth="1"/>
    <col min="14083" max="14083" width="13.85546875" style="240" customWidth="1"/>
    <col min="14084" max="14084" width="13.140625" style="240" customWidth="1"/>
    <col min="14085" max="14085" width="9.140625" style="240"/>
    <col min="14086" max="14086" width="29.42578125" style="240" customWidth="1"/>
    <col min="14087" max="14337" width="9.140625" style="240"/>
    <col min="14338" max="14338" width="77" style="240" customWidth="1"/>
    <col min="14339" max="14339" width="13.85546875" style="240" customWidth="1"/>
    <col min="14340" max="14340" width="13.140625" style="240" customWidth="1"/>
    <col min="14341" max="14341" width="9.140625" style="240"/>
    <col min="14342" max="14342" width="29.42578125" style="240" customWidth="1"/>
    <col min="14343" max="14593" width="9.140625" style="240"/>
    <col min="14594" max="14594" width="77" style="240" customWidth="1"/>
    <col min="14595" max="14595" width="13.85546875" style="240" customWidth="1"/>
    <col min="14596" max="14596" width="13.140625" style="240" customWidth="1"/>
    <col min="14597" max="14597" width="9.140625" style="240"/>
    <col min="14598" max="14598" width="29.42578125" style="240" customWidth="1"/>
    <col min="14599" max="14849" width="9.140625" style="240"/>
    <col min="14850" max="14850" width="77" style="240" customWidth="1"/>
    <col min="14851" max="14851" width="13.85546875" style="240" customWidth="1"/>
    <col min="14852" max="14852" width="13.140625" style="240" customWidth="1"/>
    <col min="14853" max="14853" width="9.140625" style="240"/>
    <col min="14854" max="14854" width="29.42578125" style="240" customWidth="1"/>
    <col min="14855" max="15105" width="9.140625" style="240"/>
    <col min="15106" max="15106" width="77" style="240" customWidth="1"/>
    <col min="15107" max="15107" width="13.85546875" style="240" customWidth="1"/>
    <col min="15108" max="15108" width="13.140625" style="240" customWidth="1"/>
    <col min="15109" max="15109" width="9.140625" style="240"/>
    <col min="15110" max="15110" width="29.42578125" style="240" customWidth="1"/>
    <col min="15111" max="15361" width="9.140625" style="240"/>
    <col min="15362" max="15362" width="77" style="240" customWidth="1"/>
    <col min="15363" max="15363" width="13.85546875" style="240" customWidth="1"/>
    <col min="15364" max="15364" width="13.140625" style="240" customWidth="1"/>
    <col min="15365" max="15365" width="9.140625" style="240"/>
    <col min="15366" max="15366" width="29.42578125" style="240" customWidth="1"/>
    <col min="15367" max="15617" width="9.140625" style="240"/>
    <col min="15618" max="15618" width="77" style="240" customWidth="1"/>
    <col min="15619" max="15619" width="13.85546875" style="240" customWidth="1"/>
    <col min="15620" max="15620" width="13.140625" style="240" customWidth="1"/>
    <col min="15621" max="15621" width="9.140625" style="240"/>
    <col min="15622" max="15622" width="29.42578125" style="240" customWidth="1"/>
    <col min="15623" max="15873" width="9.140625" style="240"/>
    <col min="15874" max="15874" width="77" style="240" customWidth="1"/>
    <col min="15875" max="15875" width="13.85546875" style="240" customWidth="1"/>
    <col min="15876" max="15876" width="13.140625" style="240" customWidth="1"/>
    <col min="15877" max="15877" width="9.140625" style="240"/>
    <col min="15878" max="15878" width="29.42578125" style="240" customWidth="1"/>
    <col min="15879" max="16129" width="9.140625" style="240"/>
    <col min="16130" max="16130" width="77" style="240" customWidth="1"/>
    <col min="16131" max="16131" width="13.85546875" style="240" customWidth="1"/>
    <col min="16132" max="16132" width="13.140625" style="240" customWidth="1"/>
    <col min="16133" max="16133" width="9.140625" style="240"/>
    <col min="16134" max="16134" width="29.42578125" style="240" customWidth="1"/>
    <col min="16135" max="16384" width="9.140625" style="240"/>
  </cols>
  <sheetData>
    <row r="1" spans="1:7">
      <c r="A1" s="237"/>
      <c r="B1" s="238" t="s">
        <v>283</v>
      </c>
      <c r="C1" s="239"/>
      <c r="D1" s="239"/>
      <c r="E1" s="239"/>
      <c r="F1" s="239"/>
      <c r="G1" s="239"/>
    </row>
    <row r="3" spans="1:7" ht="24">
      <c r="A3" s="237" t="s">
        <v>284</v>
      </c>
      <c r="B3" s="241" t="s">
        <v>285</v>
      </c>
      <c r="C3" s="242" t="s">
        <v>286</v>
      </c>
      <c r="D3" s="242" t="s">
        <v>287</v>
      </c>
      <c r="E3" s="242" t="s">
        <v>518</v>
      </c>
      <c r="F3" s="239" t="s">
        <v>519</v>
      </c>
      <c r="G3" s="616" t="s">
        <v>485</v>
      </c>
    </row>
    <row r="4" spans="1:7" ht="24">
      <c r="A4" s="243">
        <v>1.1000000000000001</v>
      </c>
      <c r="B4" s="244" t="s">
        <v>288</v>
      </c>
      <c r="C4" s="245"/>
      <c r="D4" s="246" t="s">
        <v>100</v>
      </c>
      <c r="E4" s="246"/>
      <c r="F4" s="246"/>
    </row>
    <row r="5" spans="1:7" ht="22.5">
      <c r="A5" s="243">
        <v>1.2</v>
      </c>
      <c r="B5" s="244" t="s">
        <v>486</v>
      </c>
      <c r="C5" s="246" t="s">
        <v>289</v>
      </c>
      <c r="D5" s="244"/>
      <c r="E5" s="246"/>
      <c r="F5" s="246"/>
      <c r="G5" s="613" t="s">
        <v>487</v>
      </c>
    </row>
    <row r="6" spans="1:7">
      <c r="A6" s="243">
        <v>1.3</v>
      </c>
      <c r="B6" s="244" t="s">
        <v>488</v>
      </c>
      <c r="C6" s="244"/>
      <c r="D6" s="246" t="s">
        <v>100</v>
      </c>
      <c r="E6" s="246"/>
      <c r="F6" s="246"/>
      <c r="G6" s="614" t="s">
        <v>489</v>
      </c>
    </row>
    <row r="7" spans="1:7" ht="24">
      <c r="A7" s="243">
        <v>1.4</v>
      </c>
      <c r="B7" s="244" t="s">
        <v>490</v>
      </c>
      <c r="C7" s="244"/>
      <c r="D7" s="246" t="s">
        <v>100</v>
      </c>
      <c r="E7" s="246"/>
      <c r="F7" s="246"/>
      <c r="G7" s="614" t="s">
        <v>489</v>
      </c>
    </row>
    <row r="8" spans="1:7" ht="24">
      <c r="A8" s="243">
        <v>1.5</v>
      </c>
      <c r="B8" s="244" t="s">
        <v>491</v>
      </c>
      <c r="C8" s="244"/>
      <c r="D8" s="246" t="s">
        <v>100</v>
      </c>
      <c r="E8" s="246"/>
      <c r="F8" s="246"/>
    </row>
    <row r="9" spans="1:7" ht="24">
      <c r="A9" s="243">
        <v>1.6</v>
      </c>
      <c r="B9" s="244" t="s">
        <v>492</v>
      </c>
      <c r="C9" s="246" t="s">
        <v>289</v>
      </c>
      <c r="D9" s="244"/>
      <c r="E9" s="246"/>
      <c r="F9" s="246"/>
    </row>
    <row r="10" spans="1:7" ht="24">
      <c r="A10" s="243">
        <v>1.7</v>
      </c>
      <c r="B10" s="244" t="s">
        <v>493</v>
      </c>
      <c r="C10" s="244"/>
      <c r="D10" s="244"/>
      <c r="E10" s="246"/>
      <c r="F10" s="246"/>
    </row>
    <row r="11" spans="1:7">
      <c r="A11" s="237" t="s">
        <v>290</v>
      </c>
      <c r="B11" s="241" t="s">
        <v>514</v>
      </c>
      <c r="C11" s="239"/>
      <c r="D11" s="239"/>
      <c r="E11" s="239"/>
      <c r="F11" s="239"/>
      <c r="G11" s="239"/>
    </row>
    <row r="12" spans="1:7">
      <c r="A12" s="243">
        <v>2.1</v>
      </c>
      <c r="B12" s="244" t="s">
        <v>494</v>
      </c>
      <c r="C12" s="244"/>
      <c r="D12" s="245"/>
      <c r="E12" s="246"/>
      <c r="F12" s="246"/>
    </row>
    <row r="13" spans="1:7" ht="30" customHeight="1">
      <c r="A13" s="243">
        <v>2.2000000000000002</v>
      </c>
      <c r="B13" s="244" t="s">
        <v>495</v>
      </c>
      <c r="C13" s="244"/>
      <c r="D13" s="246" t="s">
        <v>100</v>
      </c>
      <c r="E13" s="246"/>
      <c r="F13" s="246"/>
    </row>
    <row r="14" spans="1:7">
      <c r="A14" s="237" t="s">
        <v>291</v>
      </c>
      <c r="B14" s="241" t="s">
        <v>515</v>
      </c>
      <c r="C14" s="239"/>
      <c r="D14" s="239"/>
      <c r="E14" s="239"/>
      <c r="F14" s="239"/>
      <c r="G14" s="239"/>
    </row>
    <row r="15" spans="1:7" ht="45">
      <c r="A15" s="243">
        <v>3.1</v>
      </c>
      <c r="B15" s="249" t="s">
        <v>509</v>
      </c>
      <c r="C15" s="245"/>
      <c r="D15" s="247" t="s">
        <v>100</v>
      </c>
      <c r="E15" s="246"/>
      <c r="F15" s="246"/>
      <c r="G15" s="613" t="s">
        <v>496</v>
      </c>
    </row>
    <row r="16" spans="1:7" ht="24">
      <c r="A16" s="243">
        <v>3.2</v>
      </c>
      <c r="B16" s="249" t="s">
        <v>510</v>
      </c>
      <c r="C16" s="245"/>
      <c r="D16" s="247" t="s">
        <v>100</v>
      </c>
      <c r="E16" s="246"/>
      <c r="F16" s="246"/>
      <c r="G16" s="614" t="s">
        <v>497</v>
      </c>
    </row>
    <row r="17" spans="1:7" ht="24">
      <c r="A17" s="243">
        <v>3.3</v>
      </c>
      <c r="B17" s="249" t="s">
        <v>498</v>
      </c>
      <c r="C17" s="245"/>
      <c r="D17" s="247" t="s">
        <v>100</v>
      </c>
      <c r="E17" s="246" t="s">
        <v>606</v>
      </c>
      <c r="F17" s="246"/>
      <c r="G17" s="614" t="s">
        <v>499</v>
      </c>
    </row>
    <row r="18" spans="1:7" ht="24">
      <c r="A18" s="243">
        <v>3.4</v>
      </c>
      <c r="B18" s="249" t="s">
        <v>500</v>
      </c>
      <c r="C18" s="245"/>
      <c r="D18" s="247" t="s">
        <v>100</v>
      </c>
      <c r="E18" s="246"/>
      <c r="F18" s="246"/>
      <c r="G18" s="614" t="s">
        <v>501</v>
      </c>
    </row>
    <row r="19" spans="1:7" ht="24">
      <c r="A19" s="243">
        <v>3.5</v>
      </c>
      <c r="B19" s="249" t="s">
        <v>502</v>
      </c>
      <c r="C19" s="245"/>
      <c r="D19" s="245"/>
      <c r="E19" s="246"/>
      <c r="F19" s="246"/>
    </row>
    <row r="20" spans="1:7">
      <c r="A20" s="243">
        <v>3.6</v>
      </c>
      <c r="B20" s="249" t="s">
        <v>503</v>
      </c>
      <c r="C20" s="245"/>
      <c r="D20" s="245"/>
      <c r="E20" s="246"/>
      <c r="F20" s="246"/>
    </row>
    <row r="21" spans="1:7" ht="24">
      <c r="A21" s="243">
        <v>3.7</v>
      </c>
      <c r="B21" s="249" t="s">
        <v>504</v>
      </c>
      <c r="C21" s="247" t="s">
        <v>289</v>
      </c>
      <c r="D21" s="245"/>
      <c r="E21" s="246"/>
      <c r="F21" s="246"/>
    </row>
    <row r="22" spans="1:7">
      <c r="A22" s="237" t="s">
        <v>292</v>
      </c>
      <c r="B22" s="241" t="s">
        <v>516</v>
      </c>
      <c r="C22" s="239"/>
      <c r="D22" s="239"/>
      <c r="E22" s="239"/>
      <c r="F22" s="239"/>
      <c r="G22" s="239"/>
    </row>
    <row r="23" spans="1:7" ht="24">
      <c r="A23" s="250">
        <v>4.0999999999999996</v>
      </c>
      <c r="B23" s="251" t="s">
        <v>511</v>
      </c>
      <c r="C23" s="245"/>
      <c r="D23" s="247" t="s">
        <v>100</v>
      </c>
      <c r="E23" s="246"/>
      <c r="F23" s="246"/>
    </row>
    <row r="24" spans="1:7" ht="79.5" customHeight="1">
      <c r="A24" s="243">
        <v>4.2</v>
      </c>
      <c r="B24" s="248" t="s">
        <v>512</v>
      </c>
      <c r="C24" s="245"/>
      <c r="D24" s="247" t="s">
        <v>100</v>
      </c>
      <c r="E24" s="246"/>
      <c r="F24" s="246"/>
      <c r="G24" s="613" t="s">
        <v>505</v>
      </c>
    </row>
    <row r="25" spans="1:7" ht="24">
      <c r="A25" s="243">
        <v>4.3</v>
      </c>
      <c r="B25" s="244" t="s">
        <v>506</v>
      </c>
      <c r="C25" s="245"/>
      <c r="D25" s="245"/>
      <c r="E25" s="246"/>
      <c r="F25" s="246"/>
    </row>
    <row r="26" spans="1:7">
      <c r="A26" s="237" t="s">
        <v>293</v>
      </c>
      <c r="B26" s="241" t="s">
        <v>517</v>
      </c>
      <c r="C26" s="239"/>
      <c r="D26" s="239"/>
      <c r="E26" s="239"/>
      <c r="F26" s="239"/>
      <c r="G26" s="239"/>
    </row>
    <row r="27" spans="1:7" ht="24">
      <c r="A27" s="243">
        <v>5.0999999999999996</v>
      </c>
      <c r="B27" s="244" t="s">
        <v>507</v>
      </c>
      <c r="C27" s="245"/>
      <c r="D27" s="245"/>
      <c r="E27" s="246"/>
      <c r="F27" s="246"/>
    </row>
    <row r="28" spans="1:7" ht="60">
      <c r="A28" s="243">
        <v>5.2</v>
      </c>
      <c r="B28" s="244" t="s">
        <v>513</v>
      </c>
      <c r="C28" s="247" t="s">
        <v>289</v>
      </c>
      <c r="D28" s="245"/>
      <c r="E28" s="246"/>
      <c r="F28" s="246"/>
      <c r="G28" s="612" t="s">
        <v>508</v>
      </c>
    </row>
    <row r="29" spans="1:7">
      <c r="A29" s="237" t="s">
        <v>294</v>
      </c>
      <c r="B29" s="241" t="s">
        <v>295</v>
      </c>
      <c r="C29" s="239"/>
      <c r="D29" s="239"/>
      <c r="E29" s="239"/>
      <c r="F29" s="239" t="s">
        <v>296</v>
      </c>
      <c r="G29" s="239" t="s">
        <v>296</v>
      </c>
    </row>
    <row r="30" spans="1:7">
      <c r="A30" s="252">
        <v>6.1</v>
      </c>
      <c r="B30" s="253" t="s">
        <v>297</v>
      </c>
      <c r="C30" s="254">
        <v>6</v>
      </c>
      <c r="D30" s="254">
        <v>9</v>
      </c>
      <c r="E30" s="255" t="s">
        <v>298</v>
      </c>
      <c r="F30" s="256"/>
    </row>
    <row r="31" spans="1:7">
      <c r="A31" s="252">
        <v>6.2</v>
      </c>
      <c r="B31" s="253" t="s">
        <v>299</v>
      </c>
      <c r="C31" s="254">
        <v>4</v>
      </c>
      <c r="D31" s="254">
        <v>7</v>
      </c>
      <c r="E31" s="256" t="s">
        <v>300</v>
      </c>
      <c r="F31" s="255"/>
    </row>
    <row r="32" spans="1:7">
      <c r="A32" s="252">
        <v>6.3</v>
      </c>
      <c r="B32" s="253" t="s">
        <v>301</v>
      </c>
      <c r="C32" s="254">
        <v>3</v>
      </c>
      <c r="D32" s="254">
        <v>5</v>
      </c>
      <c r="E32" s="256" t="s">
        <v>302</v>
      </c>
      <c r="F32" s="255"/>
    </row>
    <row r="33" spans="1:7" ht="27.75" customHeight="1">
      <c r="B33" s="749" t="s">
        <v>303</v>
      </c>
      <c r="C33" s="749"/>
      <c r="D33" s="749"/>
      <c r="E33" s="749"/>
      <c r="F33" s="749"/>
    </row>
    <row r="34" spans="1:7">
      <c r="A34" s="237" t="s">
        <v>304</v>
      </c>
      <c r="B34" s="241" t="s">
        <v>305</v>
      </c>
      <c r="C34" s="239"/>
      <c r="D34" s="239"/>
      <c r="E34" s="239"/>
      <c r="F34" s="239"/>
      <c r="G34" s="239"/>
    </row>
    <row r="35" spans="1:7">
      <c r="A35" s="243"/>
      <c r="B35" s="244" t="s">
        <v>306</v>
      </c>
      <c r="C35" s="258">
        <f>COUNTIF(C4:C28,"Yes")</f>
        <v>4</v>
      </c>
      <c r="D35" s="258">
        <f>COUNTIF(D4:D28,"No")</f>
        <v>11</v>
      </c>
      <c r="E35" s="258"/>
      <c r="F35" s="258"/>
    </row>
    <row r="36" spans="1:7">
      <c r="A36" s="243"/>
      <c r="B36" s="244" t="s">
        <v>307</v>
      </c>
      <c r="C36" s="258">
        <v>4</v>
      </c>
      <c r="D36" s="258">
        <v>11</v>
      </c>
      <c r="E36" s="258"/>
      <c r="F36" s="258"/>
    </row>
    <row r="37" spans="1:7">
      <c r="A37" s="243"/>
      <c r="B37" s="244" t="s">
        <v>308</v>
      </c>
      <c r="C37" s="259">
        <f>C35/$C$36</f>
        <v>1</v>
      </c>
      <c r="D37" s="259">
        <f>D35/$D$36</f>
        <v>1</v>
      </c>
      <c r="E37" s="258"/>
      <c r="F37" s="258"/>
    </row>
    <row r="38" spans="1:7">
      <c r="A38" s="260"/>
      <c r="B38" s="261" t="s">
        <v>309</v>
      </c>
      <c r="C38" s="261"/>
      <c r="D38" s="262" t="str">
        <f>IF(AND(C37&gt;=80%,D35&gt;=80%),"PASS",IF(AND(C37&gt;=60%,D37&gt;=60%)," PASS WITH ACCEPTABLE ACTION POINTS","REJECT"))</f>
        <v>PASS</v>
      </c>
      <c r="E38" s="263"/>
      <c r="F38" s="263"/>
      <c r="G38" s="263"/>
    </row>
    <row r="39" spans="1:7" hidden="1">
      <c r="B39" s="264" t="s">
        <v>310</v>
      </c>
      <c r="C39" s="240"/>
      <c r="G39" s="617"/>
    </row>
    <row r="40" spans="1:7" hidden="1">
      <c r="B40" s="264" t="s">
        <v>311</v>
      </c>
      <c r="G40" s="617"/>
    </row>
    <row r="41" spans="1:7" hidden="1">
      <c r="B41" s="264" t="s">
        <v>312</v>
      </c>
      <c r="G41" s="617"/>
    </row>
    <row r="42" spans="1:7" hidden="1">
      <c r="B42" s="264" t="s">
        <v>313</v>
      </c>
    </row>
    <row r="43" spans="1:7" hidden="1">
      <c r="B43" s="266" t="s">
        <v>314</v>
      </c>
    </row>
    <row r="44" spans="1:7" hidden="1">
      <c r="B44" s="267" t="s">
        <v>315</v>
      </c>
    </row>
    <row r="45" spans="1:7" hidden="1">
      <c r="B45" s="267" t="s">
        <v>316</v>
      </c>
    </row>
    <row r="46" spans="1:7" hidden="1">
      <c r="B46" s="267" t="s">
        <v>317</v>
      </c>
    </row>
    <row r="47" spans="1:7" hidden="1"/>
    <row r="48" spans="1:7" hidden="1">
      <c r="B48" s="267" t="s">
        <v>318</v>
      </c>
    </row>
    <row r="49" spans="2:2" hidden="1">
      <c r="B49" s="267" t="s">
        <v>315</v>
      </c>
    </row>
    <row r="50" spans="2:2" hidden="1">
      <c r="B50" s="267" t="s">
        <v>316</v>
      </c>
    </row>
    <row r="51" spans="2:2" hidden="1">
      <c r="B51" s="267" t="s">
        <v>317</v>
      </c>
    </row>
    <row r="52" spans="2:2" hidden="1"/>
    <row r="53" spans="2:2" hidden="1">
      <c r="B53" s="267" t="s">
        <v>319</v>
      </c>
    </row>
    <row r="54" spans="2:2" hidden="1"/>
    <row r="55" spans="2:2" hidden="1"/>
    <row r="56" spans="2:2" hidden="1"/>
    <row r="57" spans="2:2" hidden="1"/>
    <row r="58" spans="2:2" hidden="1"/>
    <row r="62" spans="2:2" hidden="1"/>
    <row r="63" spans="2:2" hidden="1">
      <c r="B63" s="267" t="s">
        <v>320</v>
      </c>
    </row>
    <row r="64" spans="2:2" hidden="1">
      <c r="B64" s="268" t="s">
        <v>321</v>
      </c>
    </row>
    <row r="65" spans="2:2" hidden="1">
      <c r="B65" s="269" t="s">
        <v>322</v>
      </c>
    </row>
    <row r="66" spans="2:2" hidden="1">
      <c r="B66" s="270" t="s">
        <v>323</v>
      </c>
    </row>
    <row r="67" spans="2:2" hidden="1"/>
    <row r="68" spans="2:2" hidden="1"/>
  </sheetData>
  <sheetProtection password="CA61" sheet="1" objects="1" scenarios="1"/>
  <protectedRanges>
    <protectedRange sqref="C5 C9 D4 D6:D8 E4:F10 D13 E12:F13 C15:C16 E19:F21 C21 D23:F24 E25:F25 E27:F28 C28 D15:F18" name="Range1"/>
  </protectedRanges>
  <mergeCells count="1">
    <mergeCell ref="B33:F33"/>
  </mergeCells>
  <dataValidations count="1">
    <dataValidation type="list" allowBlank="1" showInputMessage="1" showErrorMessage="1" sqref="RNQ983019:RNQ983020 JA65556:JA65558 SW65556:SW65558 ACS65556:ACS65558 AMO65556:AMO65558 AWK65556:AWK65558 BGG65556:BGG65558 BQC65556:BQC65558 BZY65556:BZY65558 CJU65556:CJU65558 CTQ65556:CTQ65558 DDM65556:DDM65558 DNI65556:DNI65558 DXE65556:DXE65558 EHA65556:EHA65558 EQW65556:EQW65558 FAS65556:FAS65558 FKO65556:FKO65558 FUK65556:FUK65558 GEG65556:GEG65558 GOC65556:GOC65558 GXY65556:GXY65558 HHU65556:HHU65558 HRQ65556:HRQ65558 IBM65556:IBM65558 ILI65556:ILI65558 IVE65556:IVE65558 JFA65556:JFA65558 JOW65556:JOW65558 JYS65556:JYS65558 KIO65556:KIO65558 KSK65556:KSK65558 LCG65556:LCG65558 LMC65556:LMC65558 LVY65556:LVY65558 MFU65556:MFU65558 MPQ65556:MPQ65558 MZM65556:MZM65558 NJI65556:NJI65558 NTE65556:NTE65558 ODA65556:ODA65558 OMW65556:OMW65558 OWS65556:OWS65558 PGO65556:PGO65558 PQK65556:PQK65558 QAG65556:QAG65558 QKC65556:QKC65558 QTY65556:QTY65558 RDU65556:RDU65558 RNQ65556:RNQ65558 RXM65556:RXM65558 SHI65556:SHI65558 SRE65556:SRE65558 TBA65556:TBA65558 TKW65556:TKW65558 TUS65556:TUS65558 UEO65556:UEO65558 UOK65556:UOK65558 UYG65556:UYG65558 VIC65556:VIC65558 VRY65556:VRY65558 WBU65556:WBU65558 WLQ65556:WLQ65558 WVM65556:WVM65558 RXM983019:RXM983020 JA131092:JA131094 SW131092:SW131094 ACS131092:ACS131094 AMO131092:AMO131094 AWK131092:AWK131094 BGG131092:BGG131094 BQC131092:BQC131094 BZY131092:BZY131094 CJU131092:CJU131094 CTQ131092:CTQ131094 DDM131092:DDM131094 DNI131092:DNI131094 DXE131092:DXE131094 EHA131092:EHA131094 EQW131092:EQW131094 FAS131092:FAS131094 FKO131092:FKO131094 FUK131092:FUK131094 GEG131092:GEG131094 GOC131092:GOC131094 GXY131092:GXY131094 HHU131092:HHU131094 HRQ131092:HRQ131094 IBM131092:IBM131094 ILI131092:ILI131094 IVE131092:IVE131094 JFA131092:JFA131094 JOW131092:JOW131094 JYS131092:JYS131094 KIO131092:KIO131094 KSK131092:KSK131094 LCG131092:LCG131094 LMC131092:LMC131094 LVY131092:LVY131094 MFU131092:MFU131094 MPQ131092:MPQ131094 MZM131092:MZM131094 NJI131092:NJI131094 NTE131092:NTE131094 ODA131092:ODA131094 OMW131092:OMW131094 OWS131092:OWS131094 PGO131092:PGO131094 PQK131092:PQK131094 QAG131092:QAG131094 QKC131092:QKC131094 QTY131092:QTY131094 RDU131092:RDU131094 RNQ131092:RNQ131094 RXM131092:RXM131094 SHI131092:SHI131094 SRE131092:SRE131094 TBA131092:TBA131094 TKW131092:TKW131094 TUS131092:TUS131094 UEO131092:UEO131094 UOK131092:UOK131094 UYG131092:UYG131094 VIC131092:VIC131094 VRY131092:VRY131094 WBU131092:WBU131094 WLQ131092:WLQ131094 WVM131092:WVM131094 SHI983019:SHI983020 JA196628:JA196630 SW196628:SW196630 ACS196628:ACS196630 AMO196628:AMO196630 AWK196628:AWK196630 BGG196628:BGG196630 BQC196628:BQC196630 BZY196628:BZY196630 CJU196628:CJU196630 CTQ196628:CTQ196630 DDM196628:DDM196630 DNI196628:DNI196630 DXE196628:DXE196630 EHA196628:EHA196630 EQW196628:EQW196630 FAS196628:FAS196630 FKO196628:FKO196630 FUK196628:FUK196630 GEG196628:GEG196630 GOC196628:GOC196630 GXY196628:GXY196630 HHU196628:HHU196630 HRQ196628:HRQ196630 IBM196628:IBM196630 ILI196628:ILI196630 IVE196628:IVE196630 JFA196628:JFA196630 JOW196628:JOW196630 JYS196628:JYS196630 KIO196628:KIO196630 KSK196628:KSK196630 LCG196628:LCG196630 LMC196628:LMC196630 LVY196628:LVY196630 MFU196628:MFU196630 MPQ196628:MPQ196630 MZM196628:MZM196630 NJI196628:NJI196630 NTE196628:NTE196630 ODA196628:ODA196630 OMW196628:OMW196630 OWS196628:OWS196630 PGO196628:PGO196630 PQK196628:PQK196630 QAG196628:QAG196630 QKC196628:QKC196630 QTY196628:QTY196630 RDU196628:RDU196630 RNQ196628:RNQ196630 RXM196628:RXM196630 SHI196628:SHI196630 SRE196628:SRE196630 TBA196628:TBA196630 TKW196628:TKW196630 TUS196628:TUS196630 UEO196628:UEO196630 UOK196628:UOK196630 UYG196628:UYG196630 VIC196628:VIC196630 VRY196628:VRY196630 WBU196628:WBU196630 WLQ196628:WLQ196630 WVM196628:WVM196630 SRE983019:SRE983020 JA262164:JA262166 SW262164:SW262166 ACS262164:ACS262166 AMO262164:AMO262166 AWK262164:AWK262166 BGG262164:BGG262166 BQC262164:BQC262166 BZY262164:BZY262166 CJU262164:CJU262166 CTQ262164:CTQ262166 DDM262164:DDM262166 DNI262164:DNI262166 DXE262164:DXE262166 EHA262164:EHA262166 EQW262164:EQW262166 FAS262164:FAS262166 FKO262164:FKO262166 FUK262164:FUK262166 GEG262164:GEG262166 GOC262164:GOC262166 GXY262164:GXY262166 HHU262164:HHU262166 HRQ262164:HRQ262166 IBM262164:IBM262166 ILI262164:ILI262166 IVE262164:IVE262166 JFA262164:JFA262166 JOW262164:JOW262166 JYS262164:JYS262166 KIO262164:KIO262166 KSK262164:KSK262166 LCG262164:LCG262166 LMC262164:LMC262166 LVY262164:LVY262166 MFU262164:MFU262166 MPQ262164:MPQ262166 MZM262164:MZM262166 NJI262164:NJI262166 NTE262164:NTE262166 ODA262164:ODA262166 OMW262164:OMW262166 OWS262164:OWS262166 PGO262164:PGO262166 PQK262164:PQK262166 QAG262164:QAG262166 QKC262164:QKC262166 QTY262164:QTY262166 RDU262164:RDU262166 RNQ262164:RNQ262166 RXM262164:RXM262166 SHI262164:SHI262166 SRE262164:SRE262166 TBA262164:TBA262166 TKW262164:TKW262166 TUS262164:TUS262166 UEO262164:UEO262166 UOK262164:UOK262166 UYG262164:UYG262166 VIC262164:VIC262166 VRY262164:VRY262166 WBU262164:WBU262166 WLQ262164:WLQ262166 WVM262164:WVM262166 TBA983019:TBA983020 JA327700:JA327702 SW327700:SW327702 ACS327700:ACS327702 AMO327700:AMO327702 AWK327700:AWK327702 BGG327700:BGG327702 BQC327700:BQC327702 BZY327700:BZY327702 CJU327700:CJU327702 CTQ327700:CTQ327702 DDM327700:DDM327702 DNI327700:DNI327702 DXE327700:DXE327702 EHA327700:EHA327702 EQW327700:EQW327702 FAS327700:FAS327702 FKO327700:FKO327702 FUK327700:FUK327702 GEG327700:GEG327702 GOC327700:GOC327702 GXY327700:GXY327702 HHU327700:HHU327702 HRQ327700:HRQ327702 IBM327700:IBM327702 ILI327700:ILI327702 IVE327700:IVE327702 JFA327700:JFA327702 JOW327700:JOW327702 JYS327700:JYS327702 KIO327700:KIO327702 KSK327700:KSK327702 LCG327700:LCG327702 LMC327700:LMC327702 LVY327700:LVY327702 MFU327700:MFU327702 MPQ327700:MPQ327702 MZM327700:MZM327702 NJI327700:NJI327702 NTE327700:NTE327702 ODA327700:ODA327702 OMW327700:OMW327702 OWS327700:OWS327702 PGO327700:PGO327702 PQK327700:PQK327702 QAG327700:QAG327702 QKC327700:QKC327702 QTY327700:QTY327702 RDU327700:RDU327702 RNQ327700:RNQ327702 RXM327700:RXM327702 SHI327700:SHI327702 SRE327700:SRE327702 TBA327700:TBA327702 TKW327700:TKW327702 TUS327700:TUS327702 UEO327700:UEO327702 UOK327700:UOK327702 UYG327700:UYG327702 VIC327700:VIC327702 VRY327700:VRY327702 WBU327700:WBU327702 WLQ327700:WLQ327702 WVM327700:WVM327702 TKW983019:TKW983020 JA393236:JA393238 SW393236:SW393238 ACS393236:ACS393238 AMO393236:AMO393238 AWK393236:AWK393238 BGG393236:BGG393238 BQC393236:BQC393238 BZY393236:BZY393238 CJU393236:CJU393238 CTQ393236:CTQ393238 DDM393236:DDM393238 DNI393236:DNI393238 DXE393236:DXE393238 EHA393236:EHA393238 EQW393236:EQW393238 FAS393236:FAS393238 FKO393236:FKO393238 FUK393236:FUK393238 GEG393236:GEG393238 GOC393236:GOC393238 GXY393236:GXY393238 HHU393236:HHU393238 HRQ393236:HRQ393238 IBM393236:IBM393238 ILI393236:ILI393238 IVE393236:IVE393238 JFA393236:JFA393238 JOW393236:JOW393238 JYS393236:JYS393238 KIO393236:KIO393238 KSK393236:KSK393238 LCG393236:LCG393238 LMC393236:LMC393238 LVY393236:LVY393238 MFU393236:MFU393238 MPQ393236:MPQ393238 MZM393236:MZM393238 NJI393236:NJI393238 NTE393236:NTE393238 ODA393236:ODA393238 OMW393236:OMW393238 OWS393236:OWS393238 PGO393236:PGO393238 PQK393236:PQK393238 QAG393236:QAG393238 QKC393236:QKC393238 QTY393236:QTY393238 RDU393236:RDU393238 RNQ393236:RNQ393238 RXM393236:RXM393238 SHI393236:SHI393238 SRE393236:SRE393238 TBA393236:TBA393238 TKW393236:TKW393238 TUS393236:TUS393238 UEO393236:UEO393238 UOK393236:UOK393238 UYG393236:UYG393238 VIC393236:VIC393238 VRY393236:VRY393238 WBU393236:WBU393238 WLQ393236:WLQ393238 WVM393236:WVM393238 TUS983019:TUS983020 JA458772:JA458774 SW458772:SW458774 ACS458772:ACS458774 AMO458772:AMO458774 AWK458772:AWK458774 BGG458772:BGG458774 BQC458772:BQC458774 BZY458772:BZY458774 CJU458772:CJU458774 CTQ458772:CTQ458774 DDM458772:DDM458774 DNI458772:DNI458774 DXE458772:DXE458774 EHA458772:EHA458774 EQW458772:EQW458774 FAS458772:FAS458774 FKO458772:FKO458774 FUK458772:FUK458774 GEG458772:GEG458774 GOC458772:GOC458774 GXY458772:GXY458774 HHU458772:HHU458774 HRQ458772:HRQ458774 IBM458772:IBM458774 ILI458772:ILI458774 IVE458772:IVE458774 JFA458772:JFA458774 JOW458772:JOW458774 JYS458772:JYS458774 KIO458772:KIO458774 KSK458772:KSK458774 LCG458772:LCG458774 LMC458772:LMC458774 LVY458772:LVY458774 MFU458772:MFU458774 MPQ458772:MPQ458774 MZM458772:MZM458774 NJI458772:NJI458774 NTE458772:NTE458774 ODA458772:ODA458774 OMW458772:OMW458774 OWS458772:OWS458774 PGO458772:PGO458774 PQK458772:PQK458774 QAG458772:QAG458774 QKC458772:QKC458774 QTY458772:QTY458774 RDU458772:RDU458774 RNQ458772:RNQ458774 RXM458772:RXM458774 SHI458772:SHI458774 SRE458772:SRE458774 TBA458772:TBA458774 TKW458772:TKW458774 TUS458772:TUS458774 UEO458772:UEO458774 UOK458772:UOK458774 UYG458772:UYG458774 VIC458772:VIC458774 VRY458772:VRY458774 WBU458772:WBU458774 WLQ458772:WLQ458774 WVM458772:WVM458774 UEO983019:UEO983020 JA524308:JA524310 SW524308:SW524310 ACS524308:ACS524310 AMO524308:AMO524310 AWK524308:AWK524310 BGG524308:BGG524310 BQC524308:BQC524310 BZY524308:BZY524310 CJU524308:CJU524310 CTQ524308:CTQ524310 DDM524308:DDM524310 DNI524308:DNI524310 DXE524308:DXE524310 EHA524308:EHA524310 EQW524308:EQW524310 FAS524308:FAS524310 FKO524308:FKO524310 FUK524308:FUK524310 GEG524308:GEG524310 GOC524308:GOC524310 GXY524308:GXY524310 HHU524308:HHU524310 HRQ524308:HRQ524310 IBM524308:IBM524310 ILI524308:ILI524310 IVE524308:IVE524310 JFA524308:JFA524310 JOW524308:JOW524310 JYS524308:JYS524310 KIO524308:KIO524310 KSK524308:KSK524310 LCG524308:LCG524310 LMC524308:LMC524310 LVY524308:LVY524310 MFU524308:MFU524310 MPQ524308:MPQ524310 MZM524308:MZM524310 NJI524308:NJI524310 NTE524308:NTE524310 ODA524308:ODA524310 OMW524308:OMW524310 OWS524308:OWS524310 PGO524308:PGO524310 PQK524308:PQK524310 QAG524308:QAG524310 QKC524308:QKC524310 QTY524308:QTY524310 RDU524308:RDU524310 RNQ524308:RNQ524310 RXM524308:RXM524310 SHI524308:SHI524310 SRE524308:SRE524310 TBA524308:TBA524310 TKW524308:TKW524310 TUS524308:TUS524310 UEO524308:UEO524310 UOK524308:UOK524310 UYG524308:UYG524310 VIC524308:VIC524310 VRY524308:VRY524310 WBU524308:WBU524310 WLQ524308:WLQ524310 WVM524308:WVM524310 UOK983019:UOK983020 JA589844:JA589846 SW589844:SW589846 ACS589844:ACS589846 AMO589844:AMO589846 AWK589844:AWK589846 BGG589844:BGG589846 BQC589844:BQC589846 BZY589844:BZY589846 CJU589844:CJU589846 CTQ589844:CTQ589846 DDM589844:DDM589846 DNI589844:DNI589846 DXE589844:DXE589846 EHA589844:EHA589846 EQW589844:EQW589846 FAS589844:FAS589846 FKO589844:FKO589846 FUK589844:FUK589846 GEG589844:GEG589846 GOC589844:GOC589846 GXY589844:GXY589846 HHU589844:HHU589846 HRQ589844:HRQ589846 IBM589844:IBM589846 ILI589844:ILI589846 IVE589844:IVE589846 JFA589844:JFA589846 JOW589844:JOW589846 JYS589844:JYS589846 KIO589844:KIO589846 KSK589844:KSK589846 LCG589844:LCG589846 LMC589844:LMC589846 LVY589844:LVY589846 MFU589844:MFU589846 MPQ589844:MPQ589846 MZM589844:MZM589846 NJI589844:NJI589846 NTE589844:NTE589846 ODA589844:ODA589846 OMW589844:OMW589846 OWS589844:OWS589846 PGO589844:PGO589846 PQK589844:PQK589846 QAG589844:QAG589846 QKC589844:QKC589846 QTY589844:QTY589846 RDU589844:RDU589846 RNQ589844:RNQ589846 RXM589844:RXM589846 SHI589844:SHI589846 SRE589844:SRE589846 TBA589844:TBA589846 TKW589844:TKW589846 TUS589844:TUS589846 UEO589844:UEO589846 UOK589844:UOK589846 UYG589844:UYG589846 VIC589844:VIC589846 VRY589844:VRY589846 WBU589844:WBU589846 WLQ589844:WLQ589846 WVM589844:WVM589846 UYG983019:UYG983020 JA655380:JA655382 SW655380:SW655382 ACS655380:ACS655382 AMO655380:AMO655382 AWK655380:AWK655382 BGG655380:BGG655382 BQC655380:BQC655382 BZY655380:BZY655382 CJU655380:CJU655382 CTQ655380:CTQ655382 DDM655380:DDM655382 DNI655380:DNI655382 DXE655380:DXE655382 EHA655380:EHA655382 EQW655380:EQW655382 FAS655380:FAS655382 FKO655380:FKO655382 FUK655380:FUK655382 GEG655380:GEG655382 GOC655380:GOC655382 GXY655380:GXY655382 HHU655380:HHU655382 HRQ655380:HRQ655382 IBM655380:IBM655382 ILI655380:ILI655382 IVE655380:IVE655382 JFA655380:JFA655382 JOW655380:JOW655382 JYS655380:JYS655382 KIO655380:KIO655382 KSK655380:KSK655382 LCG655380:LCG655382 LMC655380:LMC655382 LVY655380:LVY655382 MFU655380:MFU655382 MPQ655380:MPQ655382 MZM655380:MZM655382 NJI655380:NJI655382 NTE655380:NTE655382 ODA655380:ODA655382 OMW655380:OMW655382 OWS655380:OWS655382 PGO655380:PGO655382 PQK655380:PQK655382 QAG655380:QAG655382 QKC655380:QKC655382 QTY655380:QTY655382 RDU655380:RDU655382 RNQ655380:RNQ655382 RXM655380:RXM655382 SHI655380:SHI655382 SRE655380:SRE655382 TBA655380:TBA655382 TKW655380:TKW655382 TUS655380:TUS655382 UEO655380:UEO655382 UOK655380:UOK655382 UYG655380:UYG655382 VIC655380:VIC655382 VRY655380:VRY655382 WBU655380:WBU655382 WLQ655380:WLQ655382 WVM655380:WVM655382 VIC983019:VIC983020 JA720916:JA720918 SW720916:SW720918 ACS720916:ACS720918 AMO720916:AMO720918 AWK720916:AWK720918 BGG720916:BGG720918 BQC720916:BQC720918 BZY720916:BZY720918 CJU720916:CJU720918 CTQ720916:CTQ720918 DDM720916:DDM720918 DNI720916:DNI720918 DXE720916:DXE720918 EHA720916:EHA720918 EQW720916:EQW720918 FAS720916:FAS720918 FKO720916:FKO720918 FUK720916:FUK720918 GEG720916:GEG720918 GOC720916:GOC720918 GXY720916:GXY720918 HHU720916:HHU720918 HRQ720916:HRQ720918 IBM720916:IBM720918 ILI720916:ILI720918 IVE720916:IVE720918 JFA720916:JFA720918 JOW720916:JOW720918 JYS720916:JYS720918 KIO720916:KIO720918 KSK720916:KSK720918 LCG720916:LCG720918 LMC720916:LMC720918 LVY720916:LVY720918 MFU720916:MFU720918 MPQ720916:MPQ720918 MZM720916:MZM720918 NJI720916:NJI720918 NTE720916:NTE720918 ODA720916:ODA720918 OMW720916:OMW720918 OWS720916:OWS720918 PGO720916:PGO720918 PQK720916:PQK720918 QAG720916:QAG720918 QKC720916:QKC720918 QTY720916:QTY720918 RDU720916:RDU720918 RNQ720916:RNQ720918 RXM720916:RXM720918 SHI720916:SHI720918 SRE720916:SRE720918 TBA720916:TBA720918 TKW720916:TKW720918 TUS720916:TUS720918 UEO720916:UEO720918 UOK720916:UOK720918 UYG720916:UYG720918 VIC720916:VIC720918 VRY720916:VRY720918 WBU720916:WBU720918 WLQ720916:WLQ720918 WVM720916:WVM720918 VRY983019:VRY983020 JA786452:JA786454 SW786452:SW786454 ACS786452:ACS786454 AMO786452:AMO786454 AWK786452:AWK786454 BGG786452:BGG786454 BQC786452:BQC786454 BZY786452:BZY786454 CJU786452:CJU786454 CTQ786452:CTQ786454 DDM786452:DDM786454 DNI786452:DNI786454 DXE786452:DXE786454 EHA786452:EHA786454 EQW786452:EQW786454 FAS786452:FAS786454 FKO786452:FKO786454 FUK786452:FUK786454 GEG786452:GEG786454 GOC786452:GOC786454 GXY786452:GXY786454 HHU786452:HHU786454 HRQ786452:HRQ786454 IBM786452:IBM786454 ILI786452:ILI786454 IVE786452:IVE786454 JFA786452:JFA786454 JOW786452:JOW786454 JYS786452:JYS786454 KIO786452:KIO786454 KSK786452:KSK786454 LCG786452:LCG786454 LMC786452:LMC786454 LVY786452:LVY786454 MFU786452:MFU786454 MPQ786452:MPQ786454 MZM786452:MZM786454 NJI786452:NJI786454 NTE786452:NTE786454 ODA786452:ODA786454 OMW786452:OMW786454 OWS786452:OWS786454 PGO786452:PGO786454 PQK786452:PQK786454 QAG786452:QAG786454 QKC786452:QKC786454 QTY786452:QTY786454 RDU786452:RDU786454 RNQ786452:RNQ786454 RXM786452:RXM786454 SHI786452:SHI786454 SRE786452:SRE786454 TBA786452:TBA786454 TKW786452:TKW786454 TUS786452:TUS786454 UEO786452:UEO786454 UOK786452:UOK786454 UYG786452:UYG786454 VIC786452:VIC786454 VRY786452:VRY786454 WBU786452:WBU786454 WLQ786452:WLQ786454 WVM786452:WVM786454 WBU983019:WBU983020 JA851988:JA851990 SW851988:SW851990 ACS851988:ACS851990 AMO851988:AMO851990 AWK851988:AWK851990 BGG851988:BGG851990 BQC851988:BQC851990 BZY851988:BZY851990 CJU851988:CJU851990 CTQ851988:CTQ851990 DDM851988:DDM851990 DNI851988:DNI851990 DXE851988:DXE851990 EHA851988:EHA851990 EQW851988:EQW851990 FAS851988:FAS851990 FKO851988:FKO851990 FUK851988:FUK851990 GEG851988:GEG851990 GOC851988:GOC851990 GXY851988:GXY851990 HHU851988:HHU851990 HRQ851988:HRQ851990 IBM851988:IBM851990 ILI851988:ILI851990 IVE851988:IVE851990 JFA851988:JFA851990 JOW851988:JOW851990 JYS851988:JYS851990 KIO851988:KIO851990 KSK851988:KSK851990 LCG851988:LCG851990 LMC851988:LMC851990 LVY851988:LVY851990 MFU851988:MFU851990 MPQ851988:MPQ851990 MZM851988:MZM851990 NJI851988:NJI851990 NTE851988:NTE851990 ODA851988:ODA851990 OMW851988:OMW851990 OWS851988:OWS851990 PGO851988:PGO851990 PQK851988:PQK851990 QAG851988:QAG851990 QKC851988:QKC851990 QTY851988:QTY851990 RDU851988:RDU851990 RNQ851988:RNQ851990 RXM851988:RXM851990 SHI851988:SHI851990 SRE851988:SRE851990 TBA851988:TBA851990 TKW851988:TKW851990 TUS851988:TUS851990 UEO851988:UEO851990 UOK851988:UOK851990 UYG851988:UYG851990 VIC851988:VIC851990 VRY851988:VRY851990 WBU851988:WBU851990 WLQ851988:WLQ851990 WVM851988:WVM851990 WLQ983019:WLQ983020 JA917524:JA917526 SW917524:SW917526 ACS917524:ACS917526 AMO917524:AMO917526 AWK917524:AWK917526 BGG917524:BGG917526 BQC917524:BQC917526 BZY917524:BZY917526 CJU917524:CJU917526 CTQ917524:CTQ917526 DDM917524:DDM917526 DNI917524:DNI917526 DXE917524:DXE917526 EHA917524:EHA917526 EQW917524:EQW917526 FAS917524:FAS917526 FKO917524:FKO917526 FUK917524:FUK917526 GEG917524:GEG917526 GOC917524:GOC917526 GXY917524:GXY917526 HHU917524:HHU917526 HRQ917524:HRQ917526 IBM917524:IBM917526 ILI917524:ILI917526 IVE917524:IVE917526 JFA917524:JFA917526 JOW917524:JOW917526 JYS917524:JYS917526 KIO917524:KIO917526 KSK917524:KSK917526 LCG917524:LCG917526 LMC917524:LMC917526 LVY917524:LVY917526 MFU917524:MFU917526 MPQ917524:MPQ917526 MZM917524:MZM917526 NJI917524:NJI917526 NTE917524:NTE917526 ODA917524:ODA917526 OMW917524:OMW917526 OWS917524:OWS917526 PGO917524:PGO917526 PQK917524:PQK917526 QAG917524:QAG917526 QKC917524:QKC917526 QTY917524:QTY917526 RDU917524:RDU917526 RNQ917524:RNQ917526 RXM917524:RXM917526 SHI917524:SHI917526 SRE917524:SRE917526 TBA917524:TBA917526 TKW917524:TKW917526 TUS917524:TUS917526 UEO917524:UEO917526 UOK917524:UOK917526 UYG917524:UYG917526 VIC917524:VIC917526 VRY917524:VRY917526 WBU917524:WBU917526 WLQ917524:WLQ917526 WVM917524:WVM917526 WVM983019:WVM983020 JA983060:JA983062 SW983060:SW983062 ACS983060:ACS983062 AMO983060:AMO983062 AWK983060:AWK983062 BGG983060:BGG983062 BQC983060:BQC983062 BZY983060:BZY983062 CJU983060:CJU983062 CTQ983060:CTQ983062 DDM983060:DDM983062 DNI983060:DNI983062 DXE983060:DXE983062 EHA983060:EHA983062 EQW983060:EQW983062 FAS983060:FAS983062 FKO983060:FKO983062 FUK983060:FUK983062 GEG983060:GEG983062 GOC983060:GOC983062 GXY983060:GXY983062 HHU983060:HHU983062 HRQ983060:HRQ983062 IBM983060:IBM983062 ILI983060:ILI983062 IVE983060:IVE983062 JFA983060:JFA983062 JOW983060:JOW983062 JYS983060:JYS983062 KIO983060:KIO983062 KSK983060:KSK983062 LCG983060:LCG983062 LMC983060:LMC983062 LVY983060:LVY983062 MFU983060:MFU983062 MPQ983060:MPQ983062 MZM983060:MZM983062 NJI983060:NJI983062 NTE983060:NTE983062 ODA983060:ODA983062 OMW983060:OMW983062 OWS983060:OWS983062 PGO983060:PGO983062 PQK983060:PQK983062 QAG983060:QAG983062 QKC983060:QKC983062 QTY983060:QTY983062 RDU983060:RDU983062 RNQ983060:RNQ983062 RXM983060:RXM983062 SHI983060:SHI983062 SRE983060:SRE983062 TBA983060:TBA983062 TKW983060:TKW983062 TUS983060:TUS983062 UEO983060:UEO983062 UOK983060:UOK983062 UYG983060:UYG983062 VIC983060:VIC983062 VRY983060:VRY983062 WBU983060:WBU983062 WLQ983060:WLQ983062 WVM983060:WVM983062 WVM12:WVM13 WLQ12:WLQ13 JA65532:JA65554 SW65532:SW65554 ACS65532:ACS65554 AMO65532:AMO65554 AWK65532:AWK65554 BGG65532:BGG65554 BQC65532:BQC65554 BZY65532:BZY65554 CJU65532:CJU65554 CTQ65532:CTQ65554 DDM65532:DDM65554 DNI65532:DNI65554 DXE65532:DXE65554 EHA65532:EHA65554 EQW65532:EQW65554 FAS65532:FAS65554 FKO65532:FKO65554 FUK65532:FUK65554 GEG65532:GEG65554 GOC65532:GOC65554 GXY65532:GXY65554 HHU65532:HHU65554 HRQ65532:HRQ65554 IBM65532:IBM65554 ILI65532:ILI65554 IVE65532:IVE65554 JFA65532:JFA65554 JOW65532:JOW65554 JYS65532:JYS65554 KIO65532:KIO65554 KSK65532:KSK65554 LCG65532:LCG65554 LMC65532:LMC65554 LVY65532:LVY65554 MFU65532:MFU65554 MPQ65532:MPQ65554 MZM65532:MZM65554 NJI65532:NJI65554 NTE65532:NTE65554 ODA65532:ODA65554 OMW65532:OMW65554 OWS65532:OWS65554 PGO65532:PGO65554 PQK65532:PQK65554 QAG65532:QAG65554 QKC65532:QKC65554 QTY65532:QTY65554 RDU65532:RDU65554 RNQ65532:RNQ65554 RXM65532:RXM65554 SHI65532:SHI65554 SRE65532:SRE65554 TBA65532:TBA65554 TKW65532:TKW65554 TUS65532:TUS65554 UEO65532:UEO65554 UOK65532:UOK65554 UYG65532:UYG65554 VIC65532:VIC65554 VRY65532:VRY65554 WBU65532:WBU65554 WLQ65532:WLQ65554 WVM65532:WVM65554 WBU12:WBU13 JA131068:JA131090 SW131068:SW131090 ACS131068:ACS131090 AMO131068:AMO131090 AWK131068:AWK131090 BGG131068:BGG131090 BQC131068:BQC131090 BZY131068:BZY131090 CJU131068:CJU131090 CTQ131068:CTQ131090 DDM131068:DDM131090 DNI131068:DNI131090 DXE131068:DXE131090 EHA131068:EHA131090 EQW131068:EQW131090 FAS131068:FAS131090 FKO131068:FKO131090 FUK131068:FUK131090 GEG131068:GEG131090 GOC131068:GOC131090 GXY131068:GXY131090 HHU131068:HHU131090 HRQ131068:HRQ131090 IBM131068:IBM131090 ILI131068:ILI131090 IVE131068:IVE131090 JFA131068:JFA131090 JOW131068:JOW131090 JYS131068:JYS131090 KIO131068:KIO131090 KSK131068:KSK131090 LCG131068:LCG131090 LMC131068:LMC131090 LVY131068:LVY131090 MFU131068:MFU131090 MPQ131068:MPQ131090 MZM131068:MZM131090 NJI131068:NJI131090 NTE131068:NTE131090 ODA131068:ODA131090 OMW131068:OMW131090 OWS131068:OWS131090 PGO131068:PGO131090 PQK131068:PQK131090 QAG131068:QAG131090 QKC131068:QKC131090 QTY131068:QTY131090 RDU131068:RDU131090 RNQ131068:RNQ131090 RXM131068:RXM131090 SHI131068:SHI131090 SRE131068:SRE131090 TBA131068:TBA131090 TKW131068:TKW131090 TUS131068:TUS131090 UEO131068:UEO131090 UOK131068:UOK131090 UYG131068:UYG131090 VIC131068:VIC131090 VRY131068:VRY131090 WBU131068:WBU131090 WLQ131068:WLQ131090 WVM131068:WVM131090 VRY12:VRY13 JA196604:JA196626 SW196604:SW196626 ACS196604:ACS196626 AMO196604:AMO196626 AWK196604:AWK196626 BGG196604:BGG196626 BQC196604:BQC196626 BZY196604:BZY196626 CJU196604:CJU196626 CTQ196604:CTQ196626 DDM196604:DDM196626 DNI196604:DNI196626 DXE196604:DXE196626 EHA196604:EHA196626 EQW196604:EQW196626 FAS196604:FAS196626 FKO196604:FKO196626 FUK196604:FUK196626 GEG196604:GEG196626 GOC196604:GOC196626 GXY196604:GXY196626 HHU196604:HHU196626 HRQ196604:HRQ196626 IBM196604:IBM196626 ILI196604:ILI196626 IVE196604:IVE196626 JFA196604:JFA196626 JOW196604:JOW196626 JYS196604:JYS196626 KIO196604:KIO196626 KSK196604:KSK196626 LCG196604:LCG196626 LMC196604:LMC196626 LVY196604:LVY196626 MFU196604:MFU196626 MPQ196604:MPQ196626 MZM196604:MZM196626 NJI196604:NJI196626 NTE196604:NTE196626 ODA196604:ODA196626 OMW196604:OMW196626 OWS196604:OWS196626 PGO196604:PGO196626 PQK196604:PQK196626 QAG196604:QAG196626 QKC196604:QKC196626 QTY196604:QTY196626 RDU196604:RDU196626 RNQ196604:RNQ196626 RXM196604:RXM196626 SHI196604:SHI196626 SRE196604:SRE196626 TBA196604:TBA196626 TKW196604:TKW196626 TUS196604:TUS196626 UEO196604:UEO196626 UOK196604:UOK196626 UYG196604:UYG196626 VIC196604:VIC196626 VRY196604:VRY196626 WBU196604:WBU196626 WLQ196604:WLQ196626 WVM196604:WVM196626 VIC12:VIC13 JA262140:JA262162 SW262140:SW262162 ACS262140:ACS262162 AMO262140:AMO262162 AWK262140:AWK262162 BGG262140:BGG262162 BQC262140:BQC262162 BZY262140:BZY262162 CJU262140:CJU262162 CTQ262140:CTQ262162 DDM262140:DDM262162 DNI262140:DNI262162 DXE262140:DXE262162 EHA262140:EHA262162 EQW262140:EQW262162 FAS262140:FAS262162 FKO262140:FKO262162 FUK262140:FUK262162 GEG262140:GEG262162 GOC262140:GOC262162 GXY262140:GXY262162 HHU262140:HHU262162 HRQ262140:HRQ262162 IBM262140:IBM262162 ILI262140:ILI262162 IVE262140:IVE262162 JFA262140:JFA262162 JOW262140:JOW262162 JYS262140:JYS262162 KIO262140:KIO262162 KSK262140:KSK262162 LCG262140:LCG262162 LMC262140:LMC262162 LVY262140:LVY262162 MFU262140:MFU262162 MPQ262140:MPQ262162 MZM262140:MZM262162 NJI262140:NJI262162 NTE262140:NTE262162 ODA262140:ODA262162 OMW262140:OMW262162 OWS262140:OWS262162 PGO262140:PGO262162 PQK262140:PQK262162 QAG262140:QAG262162 QKC262140:QKC262162 QTY262140:QTY262162 RDU262140:RDU262162 RNQ262140:RNQ262162 RXM262140:RXM262162 SHI262140:SHI262162 SRE262140:SRE262162 TBA262140:TBA262162 TKW262140:TKW262162 TUS262140:TUS262162 UEO262140:UEO262162 UOK262140:UOK262162 UYG262140:UYG262162 VIC262140:VIC262162 VRY262140:VRY262162 WBU262140:WBU262162 WLQ262140:WLQ262162 WVM262140:WVM262162 UYG12:UYG13 JA327676:JA327698 SW327676:SW327698 ACS327676:ACS327698 AMO327676:AMO327698 AWK327676:AWK327698 BGG327676:BGG327698 BQC327676:BQC327698 BZY327676:BZY327698 CJU327676:CJU327698 CTQ327676:CTQ327698 DDM327676:DDM327698 DNI327676:DNI327698 DXE327676:DXE327698 EHA327676:EHA327698 EQW327676:EQW327698 FAS327676:FAS327698 FKO327676:FKO327698 FUK327676:FUK327698 GEG327676:GEG327698 GOC327676:GOC327698 GXY327676:GXY327698 HHU327676:HHU327698 HRQ327676:HRQ327698 IBM327676:IBM327698 ILI327676:ILI327698 IVE327676:IVE327698 JFA327676:JFA327698 JOW327676:JOW327698 JYS327676:JYS327698 KIO327676:KIO327698 KSK327676:KSK327698 LCG327676:LCG327698 LMC327676:LMC327698 LVY327676:LVY327698 MFU327676:MFU327698 MPQ327676:MPQ327698 MZM327676:MZM327698 NJI327676:NJI327698 NTE327676:NTE327698 ODA327676:ODA327698 OMW327676:OMW327698 OWS327676:OWS327698 PGO327676:PGO327698 PQK327676:PQK327698 QAG327676:QAG327698 QKC327676:QKC327698 QTY327676:QTY327698 RDU327676:RDU327698 RNQ327676:RNQ327698 RXM327676:RXM327698 SHI327676:SHI327698 SRE327676:SRE327698 TBA327676:TBA327698 TKW327676:TKW327698 TUS327676:TUS327698 UEO327676:UEO327698 UOK327676:UOK327698 UYG327676:UYG327698 VIC327676:VIC327698 VRY327676:VRY327698 WBU327676:WBU327698 WLQ327676:WLQ327698 WVM327676:WVM327698 UOK12:UOK13 JA393212:JA393234 SW393212:SW393234 ACS393212:ACS393234 AMO393212:AMO393234 AWK393212:AWK393234 BGG393212:BGG393234 BQC393212:BQC393234 BZY393212:BZY393234 CJU393212:CJU393234 CTQ393212:CTQ393234 DDM393212:DDM393234 DNI393212:DNI393234 DXE393212:DXE393234 EHA393212:EHA393234 EQW393212:EQW393234 FAS393212:FAS393234 FKO393212:FKO393234 FUK393212:FUK393234 GEG393212:GEG393234 GOC393212:GOC393234 GXY393212:GXY393234 HHU393212:HHU393234 HRQ393212:HRQ393234 IBM393212:IBM393234 ILI393212:ILI393234 IVE393212:IVE393234 JFA393212:JFA393234 JOW393212:JOW393234 JYS393212:JYS393234 KIO393212:KIO393234 KSK393212:KSK393234 LCG393212:LCG393234 LMC393212:LMC393234 LVY393212:LVY393234 MFU393212:MFU393234 MPQ393212:MPQ393234 MZM393212:MZM393234 NJI393212:NJI393234 NTE393212:NTE393234 ODA393212:ODA393234 OMW393212:OMW393234 OWS393212:OWS393234 PGO393212:PGO393234 PQK393212:PQK393234 QAG393212:QAG393234 QKC393212:QKC393234 QTY393212:QTY393234 RDU393212:RDU393234 RNQ393212:RNQ393234 RXM393212:RXM393234 SHI393212:SHI393234 SRE393212:SRE393234 TBA393212:TBA393234 TKW393212:TKW393234 TUS393212:TUS393234 UEO393212:UEO393234 UOK393212:UOK393234 UYG393212:UYG393234 VIC393212:VIC393234 VRY393212:VRY393234 WBU393212:WBU393234 WLQ393212:WLQ393234 WVM393212:WVM393234 UEO12:UEO13 JA458748:JA458770 SW458748:SW458770 ACS458748:ACS458770 AMO458748:AMO458770 AWK458748:AWK458770 BGG458748:BGG458770 BQC458748:BQC458770 BZY458748:BZY458770 CJU458748:CJU458770 CTQ458748:CTQ458770 DDM458748:DDM458770 DNI458748:DNI458770 DXE458748:DXE458770 EHA458748:EHA458770 EQW458748:EQW458770 FAS458748:FAS458770 FKO458748:FKO458770 FUK458748:FUK458770 GEG458748:GEG458770 GOC458748:GOC458770 GXY458748:GXY458770 HHU458748:HHU458770 HRQ458748:HRQ458770 IBM458748:IBM458770 ILI458748:ILI458770 IVE458748:IVE458770 JFA458748:JFA458770 JOW458748:JOW458770 JYS458748:JYS458770 KIO458748:KIO458770 KSK458748:KSK458770 LCG458748:LCG458770 LMC458748:LMC458770 LVY458748:LVY458770 MFU458748:MFU458770 MPQ458748:MPQ458770 MZM458748:MZM458770 NJI458748:NJI458770 NTE458748:NTE458770 ODA458748:ODA458770 OMW458748:OMW458770 OWS458748:OWS458770 PGO458748:PGO458770 PQK458748:PQK458770 QAG458748:QAG458770 QKC458748:QKC458770 QTY458748:QTY458770 RDU458748:RDU458770 RNQ458748:RNQ458770 RXM458748:RXM458770 SHI458748:SHI458770 SRE458748:SRE458770 TBA458748:TBA458770 TKW458748:TKW458770 TUS458748:TUS458770 UEO458748:UEO458770 UOK458748:UOK458770 UYG458748:UYG458770 VIC458748:VIC458770 VRY458748:VRY458770 WBU458748:WBU458770 WLQ458748:WLQ458770 WVM458748:WVM458770 TUS12:TUS13 JA524284:JA524306 SW524284:SW524306 ACS524284:ACS524306 AMO524284:AMO524306 AWK524284:AWK524306 BGG524284:BGG524306 BQC524284:BQC524306 BZY524284:BZY524306 CJU524284:CJU524306 CTQ524284:CTQ524306 DDM524284:DDM524306 DNI524284:DNI524306 DXE524284:DXE524306 EHA524284:EHA524306 EQW524284:EQW524306 FAS524284:FAS524306 FKO524284:FKO524306 FUK524284:FUK524306 GEG524284:GEG524306 GOC524284:GOC524306 GXY524284:GXY524306 HHU524284:HHU524306 HRQ524284:HRQ524306 IBM524284:IBM524306 ILI524284:ILI524306 IVE524284:IVE524306 JFA524284:JFA524306 JOW524284:JOW524306 JYS524284:JYS524306 KIO524284:KIO524306 KSK524284:KSK524306 LCG524284:LCG524306 LMC524284:LMC524306 LVY524284:LVY524306 MFU524284:MFU524306 MPQ524284:MPQ524306 MZM524284:MZM524306 NJI524284:NJI524306 NTE524284:NTE524306 ODA524284:ODA524306 OMW524284:OMW524306 OWS524284:OWS524306 PGO524284:PGO524306 PQK524284:PQK524306 QAG524284:QAG524306 QKC524284:QKC524306 QTY524284:QTY524306 RDU524284:RDU524306 RNQ524284:RNQ524306 RXM524284:RXM524306 SHI524284:SHI524306 SRE524284:SRE524306 TBA524284:TBA524306 TKW524284:TKW524306 TUS524284:TUS524306 UEO524284:UEO524306 UOK524284:UOK524306 UYG524284:UYG524306 VIC524284:VIC524306 VRY524284:VRY524306 WBU524284:WBU524306 WLQ524284:WLQ524306 WVM524284:WVM524306 TKW12:TKW13 JA589820:JA589842 SW589820:SW589842 ACS589820:ACS589842 AMO589820:AMO589842 AWK589820:AWK589842 BGG589820:BGG589842 BQC589820:BQC589842 BZY589820:BZY589842 CJU589820:CJU589842 CTQ589820:CTQ589842 DDM589820:DDM589842 DNI589820:DNI589842 DXE589820:DXE589842 EHA589820:EHA589842 EQW589820:EQW589842 FAS589820:FAS589842 FKO589820:FKO589842 FUK589820:FUK589842 GEG589820:GEG589842 GOC589820:GOC589842 GXY589820:GXY589842 HHU589820:HHU589842 HRQ589820:HRQ589842 IBM589820:IBM589842 ILI589820:ILI589842 IVE589820:IVE589842 JFA589820:JFA589842 JOW589820:JOW589842 JYS589820:JYS589842 KIO589820:KIO589842 KSK589820:KSK589842 LCG589820:LCG589842 LMC589820:LMC589842 LVY589820:LVY589842 MFU589820:MFU589842 MPQ589820:MPQ589842 MZM589820:MZM589842 NJI589820:NJI589842 NTE589820:NTE589842 ODA589820:ODA589842 OMW589820:OMW589842 OWS589820:OWS589842 PGO589820:PGO589842 PQK589820:PQK589842 QAG589820:QAG589842 QKC589820:QKC589842 QTY589820:QTY589842 RDU589820:RDU589842 RNQ589820:RNQ589842 RXM589820:RXM589842 SHI589820:SHI589842 SRE589820:SRE589842 TBA589820:TBA589842 TKW589820:TKW589842 TUS589820:TUS589842 UEO589820:UEO589842 UOK589820:UOK589842 UYG589820:UYG589842 VIC589820:VIC589842 VRY589820:VRY589842 WBU589820:WBU589842 WLQ589820:WLQ589842 WVM589820:WVM589842 TBA12:TBA13 JA655356:JA655378 SW655356:SW655378 ACS655356:ACS655378 AMO655356:AMO655378 AWK655356:AWK655378 BGG655356:BGG655378 BQC655356:BQC655378 BZY655356:BZY655378 CJU655356:CJU655378 CTQ655356:CTQ655378 DDM655356:DDM655378 DNI655356:DNI655378 DXE655356:DXE655378 EHA655356:EHA655378 EQW655356:EQW655378 FAS655356:FAS655378 FKO655356:FKO655378 FUK655356:FUK655378 GEG655356:GEG655378 GOC655356:GOC655378 GXY655356:GXY655378 HHU655356:HHU655378 HRQ655356:HRQ655378 IBM655356:IBM655378 ILI655356:ILI655378 IVE655356:IVE655378 JFA655356:JFA655378 JOW655356:JOW655378 JYS655356:JYS655378 KIO655356:KIO655378 KSK655356:KSK655378 LCG655356:LCG655378 LMC655356:LMC655378 LVY655356:LVY655378 MFU655356:MFU655378 MPQ655356:MPQ655378 MZM655356:MZM655378 NJI655356:NJI655378 NTE655356:NTE655378 ODA655356:ODA655378 OMW655356:OMW655378 OWS655356:OWS655378 PGO655356:PGO655378 PQK655356:PQK655378 QAG655356:QAG655378 QKC655356:QKC655378 QTY655356:QTY655378 RDU655356:RDU655378 RNQ655356:RNQ655378 RXM655356:RXM655378 SHI655356:SHI655378 SRE655356:SRE655378 TBA655356:TBA655378 TKW655356:TKW655378 TUS655356:TUS655378 UEO655356:UEO655378 UOK655356:UOK655378 UYG655356:UYG655378 VIC655356:VIC655378 VRY655356:VRY655378 WBU655356:WBU655378 WLQ655356:WLQ655378 WVM655356:WVM655378 SRE12:SRE13 JA720892:JA720914 SW720892:SW720914 ACS720892:ACS720914 AMO720892:AMO720914 AWK720892:AWK720914 BGG720892:BGG720914 BQC720892:BQC720914 BZY720892:BZY720914 CJU720892:CJU720914 CTQ720892:CTQ720914 DDM720892:DDM720914 DNI720892:DNI720914 DXE720892:DXE720914 EHA720892:EHA720914 EQW720892:EQW720914 FAS720892:FAS720914 FKO720892:FKO720914 FUK720892:FUK720914 GEG720892:GEG720914 GOC720892:GOC720914 GXY720892:GXY720914 HHU720892:HHU720914 HRQ720892:HRQ720914 IBM720892:IBM720914 ILI720892:ILI720914 IVE720892:IVE720914 JFA720892:JFA720914 JOW720892:JOW720914 JYS720892:JYS720914 KIO720892:KIO720914 KSK720892:KSK720914 LCG720892:LCG720914 LMC720892:LMC720914 LVY720892:LVY720914 MFU720892:MFU720914 MPQ720892:MPQ720914 MZM720892:MZM720914 NJI720892:NJI720914 NTE720892:NTE720914 ODA720892:ODA720914 OMW720892:OMW720914 OWS720892:OWS720914 PGO720892:PGO720914 PQK720892:PQK720914 QAG720892:QAG720914 QKC720892:QKC720914 QTY720892:QTY720914 RDU720892:RDU720914 RNQ720892:RNQ720914 RXM720892:RXM720914 SHI720892:SHI720914 SRE720892:SRE720914 TBA720892:TBA720914 TKW720892:TKW720914 TUS720892:TUS720914 UEO720892:UEO720914 UOK720892:UOK720914 UYG720892:UYG720914 VIC720892:VIC720914 VRY720892:VRY720914 WBU720892:WBU720914 WLQ720892:WLQ720914 WVM720892:WVM720914 SHI12:SHI13 JA786428:JA786450 SW786428:SW786450 ACS786428:ACS786450 AMO786428:AMO786450 AWK786428:AWK786450 BGG786428:BGG786450 BQC786428:BQC786450 BZY786428:BZY786450 CJU786428:CJU786450 CTQ786428:CTQ786450 DDM786428:DDM786450 DNI786428:DNI786450 DXE786428:DXE786450 EHA786428:EHA786450 EQW786428:EQW786450 FAS786428:FAS786450 FKO786428:FKO786450 FUK786428:FUK786450 GEG786428:GEG786450 GOC786428:GOC786450 GXY786428:GXY786450 HHU786428:HHU786450 HRQ786428:HRQ786450 IBM786428:IBM786450 ILI786428:ILI786450 IVE786428:IVE786450 JFA786428:JFA786450 JOW786428:JOW786450 JYS786428:JYS786450 KIO786428:KIO786450 KSK786428:KSK786450 LCG786428:LCG786450 LMC786428:LMC786450 LVY786428:LVY786450 MFU786428:MFU786450 MPQ786428:MPQ786450 MZM786428:MZM786450 NJI786428:NJI786450 NTE786428:NTE786450 ODA786428:ODA786450 OMW786428:OMW786450 OWS786428:OWS786450 PGO786428:PGO786450 PQK786428:PQK786450 QAG786428:QAG786450 QKC786428:QKC786450 QTY786428:QTY786450 RDU786428:RDU786450 RNQ786428:RNQ786450 RXM786428:RXM786450 SHI786428:SHI786450 SRE786428:SRE786450 TBA786428:TBA786450 TKW786428:TKW786450 TUS786428:TUS786450 UEO786428:UEO786450 UOK786428:UOK786450 UYG786428:UYG786450 VIC786428:VIC786450 VRY786428:VRY786450 WBU786428:WBU786450 WLQ786428:WLQ786450 WVM786428:WVM786450 RXM12:RXM13 JA851964:JA851986 SW851964:SW851986 ACS851964:ACS851986 AMO851964:AMO851986 AWK851964:AWK851986 BGG851964:BGG851986 BQC851964:BQC851986 BZY851964:BZY851986 CJU851964:CJU851986 CTQ851964:CTQ851986 DDM851964:DDM851986 DNI851964:DNI851986 DXE851964:DXE851986 EHA851964:EHA851986 EQW851964:EQW851986 FAS851964:FAS851986 FKO851964:FKO851986 FUK851964:FUK851986 GEG851964:GEG851986 GOC851964:GOC851986 GXY851964:GXY851986 HHU851964:HHU851986 HRQ851964:HRQ851986 IBM851964:IBM851986 ILI851964:ILI851986 IVE851964:IVE851986 JFA851964:JFA851986 JOW851964:JOW851986 JYS851964:JYS851986 KIO851964:KIO851986 KSK851964:KSK851986 LCG851964:LCG851986 LMC851964:LMC851986 LVY851964:LVY851986 MFU851964:MFU851986 MPQ851964:MPQ851986 MZM851964:MZM851986 NJI851964:NJI851986 NTE851964:NTE851986 ODA851964:ODA851986 OMW851964:OMW851986 OWS851964:OWS851986 PGO851964:PGO851986 PQK851964:PQK851986 QAG851964:QAG851986 QKC851964:QKC851986 QTY851964:QTY851986 RDU851964:RDU851986 RNQ851964:RNQ851986 RXM851964:RXM851986 SHI851964:SHI851986 SRE851964:SRE851986 TBA851964:TBA851986 TKW851964:TKW851986 TUS851964:TUS851986 UEO851964:UEO851986 UOK851964:UOK851986 UYG851964:UYG851986 VIC851964:VIC851986 VRY851964:VRY851986 WBU851964:WBU851986 WLQ851964:WLQ851986 WVM851964:WVM851986 RNQ12:RNQ13 JA917500:JA917522 SW917500:SW917522 ACS917500:ACS917522 AMO917500:AMO917522 AWK917500:AWK917522 BGG917500:BGG917522 BQC917500:BQC917522 BZY917500:BZY917522 CJU917500:CJU917522 CTQ917500:CTQ917522 DDM917500:DDM917522 DNI917500:DNI917522 DXE917500:DXE917522 EHA917500:EHA917522 EQW917500:EQW917522 FAS917500:FAS917522 FKO917500:FKO917522 FUK917500:FUK917522 GEG917500:GEG917522 GOC917500:GOC917522 GXY917500:GXY917522 HHU917500:HHU917522 HRQ917500:HRQ917522 IBM917500:IBM917522 ILI917500:ILI917522 IVE917500:IVE917522 JFA917500:JFA917522 JOW917500:JOW917522 JYS917500:JYS917522 KIO917500:KIO917522 KSK917500:KSK917522 LCG917500:LCG917522 LMC917500:LMC917522 LVY917500:LVY917522 MFU917500:MFU917522 MPQ917500:MPQ917522 MZM917500:MZM917522 NJI917500:NJI917522 NTE917500:NTE917522 ODA917500:ODA917522 OMW917500:OMW917522 OWS917500:OWS917522 PGO917500:PGO917522 PQK917500:PQK917522 QAG917500:QAG917522 QKC917500:QKC917522 QTY917500:QTY917522 RDU917500:RDU917522 RNQ917500:RNQ917522 RXM917500:RXM917522 SHI917500:SHI917522 SRE917500:SRE917522 TBA917500:TBA917522 TKW917500:TKW917522 TUS917500:TUS917522 UEO917500:UEO917522 UOK917500:UOK917522 UYG917500:UYG917522 VIC917500:VIC917522 VRY917500:VRY917522 WBU917500:WBU917522 WLQ917500:WLQ917522 WVM917500:WVM917522 RDU12:RDU13 JA983036:JA983058 SW983036:SW983058 ACS983036:ACS983058 AMO983036:AMO983058 AWK983036:AWK983058 BGG983036:BGG983058 BQC983036:BQC983058 BZY983036:BZY983058 CJU983036:CJU983058 CTQ983036:CTQ983058 DDM983036:DDM983058 DNI983036:DNI983058 DXE983036:DXE983058 EHA983036:EHA983058 EQW983036:EQW983058 FAS983036:FAS983058 FKO983036:FKO983058 FUK983036:FUK983058 GEG983036:GEG983058 GOC983036:GOC983058 GXY983036:GXY983058 HHU983036:HHU983058 HRQ983036:HRQ983058 IBM983036:IBM983058 ILI983036:ILI983058 IVE983036:IVE983058 JFA983036:JFA983058 JOW983036:JOW983058 JYS983036:JYS983058 KIO983036:KIO983058 KSK983036:KSK983058 LCG983036:LCG983058 LMC983036:LMC983058 LVY983036:LVY983058 MFU983036:MFU983058 MPQ983036:MPQ983058 MZM983036:MZM983058 NJI983036:NJI983058 NTE983036:NTE983058 ODA983036:ODA983058 OMW983036:OMW983058 OWS983036:OWS983058 PGO983036:PGO983058 PQK983036:PQK983058 QAG983036:QAG983058 QKC983036:QKC983058 QTY983036:QTY983058 RDU983036:RDU983058 RNQ983036:RNQ983058 RXM983036:RXM983058 SHI983036:SHI983058 SRE983036:SRE983058 TBA983036:TBA983058 TKW983036:TKW983058 TUS983036:TUS983058 UEO983036:UEO983058 UOK983036:UOK983058 UYG983036:UYG983058 VIC983036:VIC983058 VRY983036:VRY983058 WBU983036:WBU983058 WLQ983036:WLQ983058 WVM983036:WVM983058 QTY12:QTY13 JA15:JA21 SW15:SW21 ACS15:ACS21 AMO15:AMO21 AWK15:AWK21 BGG15:BGG21 BQC15:BQC21 BZY15:BZY21 CJU15:CJU21 CTQ15:CTQ21 DDM15:DDM21 DNI15:DNI21 DXE15:DXE21 EHA15:EHA21 EQW15:EQW21 FAS15:FAS21 FKO15:FKO21 FUK15:FUK21 GEG15:GEG21 GOC15:GOC21 GXY15:GXY21 HHU15:HHU21 HRQ15:HRQ21 IBM15:IBM21 ILI15:ILI21 IVE15:IVE21 JFA15:JFA21 JOW15:JOW21 JYS15:JYS21 KIO15:KIO21 KSK15:KSK21 LCG15:LCG21 LMC15:LMC21 LVY15:LVY21 MFU15:MFU21 MPQ15:MPQ21 MZM15:MZM21 NJI15:NJI21 NTE15:NTE21 ODA15:ODA21 OMW15:OMW21 OWS15:OWS21 PGO15:PGO21 PQK15:PQK21 QAG15:QAG21 QKC15:QKC21 QTY15:QTY21 RDU15:RDU21 RNQ15:RNQ21 RXM15:RXM21 SHI15:SHI21 SRE15:SRE21 TBA15:TBA21 TKW15:TKW21 TUS15:TUS21 UEO15:UEO21 UOK15:UOK21 UYG15:UYG21 VIC15:VIC21 VRY15:VRY21 WBU15:WBU21 WLQ15:WLQ21 WVM15:WVM21 QKC12:QKC13 JA65529:JA65530 SW65529:SW65530 ACS65529:ACS65530 AMO65529:AMO65530 AWK65529:AWK65530 BGG65529:BGG65530 BQC65529:BQC65530 BZY65529:BZY65530 CJU65529:CJU65530 CTQ65529:CTQ65530 DDM65529:DDM65530 DNI65529:DNI65530 DXE65529:DXE65530 EHA65529:EHA65530 EQW65529:EQW65530 FAS65529:FAS65530 FKO65529:FKO65530 FUK65529:FUK65530 GEG65529:GEG65530 GOC65529:GOC65530 GXY65529:GXY65530 HHU65529:HHU65530 HRQ65529:HRQ65530 IBM65529:IBM65530 ILI65529:ILI65530 IVE65529:IVE65530 JFA65529:JFA65530 JOW65529:JOW65530 JYS65529:JYS65530 KIO65529:KIO65530 KSK65529:KSK65530 LCG65529:LCG65530 LMC65529:LMC65530 LVY65529:LVY65530 MFU65529:MFU65530 MPQ65529:MPQ65530 MZM65529:MZM65530 NJI65529:NJI65530 NTE65529:NTE65530 ODA65529:ODA65530 OMW65529:OMW65530 OWS65529:OWS65530 PGO65529:PGO65530 PQK65529:PQK65530 QAG65529:QAG65530 QKC65529:QKC65530 QTY65529:QTY65530 RDU65529:RDU65530 RNQ65529:RNQ65530 RXM65529:RXM65530 SHI65529:SHI65530 SRE65529:SRE65530 TBA65529:TBA65530 TKW65529:TKW65530 TUS65529:TUS65530 UEO65529:UEO65530 UOK65529:UOK65530 UYG65529:UYG65530 VIC65529:VIC65530 VRY65529:VRY65530 WBU65529:WBU65530 WLQ65529:WLQ65530 WVM65529:WVM65530 QAG12:QAG13 JA131065:JA131066 SW131065:SW131066 ACS131065:ACS131066 AMO131065:AMO131066 AWK131065:AWK131066 BGG131065:BGG131066 BQC131065:BQC131066 BZY131065:BZY131066 CJU131065:CJU131066 CTQ131065:CTQ131066 DDM131065:DDM131066 DNI131065:DNI131066 DXE131065:DXE131066 EHA131065:EHA131066 EQW131065:EQW131066 FAS131065:FAS131066 FKO131065:FKO131066 FUK131065:FUK131066 GEG131065:GEG131066 GOC131065:GOC131066 GXY131065:GXY131066 HHU131065:HHU131066 HRQ131065:HRQ131066 IBM131065:IBM131066 ILI131065:ILI131066 IVE131065:IVE131066 JFA131065:JFA131066 JOW131065:JOW131066 JYS131065:JYS131066 KIO131065:KIO131066 KSK131065:KSK131066 LCG131065:LCG131066 LMC131065:LMC131066 LVY131065:LVY131066 MFU131065:MFU131066 MPQ131065:MPQ131066 MZM131065:MZM131066 NJI131065:NJI131066 NTE131065:NTE131066 ODA131065:ODA131066 OMW131065:OMW131066 OWS131065:OWS131066 PGO131065:PGO131066 PQK131065:PQK131066 QAG131065:QAG131066 QKC131065:QKC131066 QTY131065:QTY131066 RDU131065:RDU131066 RNQ131065:RNQ131066 RXM131065:RXM131066 SHI131065:SHI131066 SRE131065:SRE131066 TBA131065:TBA131066 TKW131065:TKW131066 TUS131065:TUS131066 UEO131065:UEO131066 UOK131065:UOK131066 UYG131065:UYG131066 VIC131065:VIC131066 VRY131065:VRY131066 WBU131065:WBU131066 WLQ131065:WLQ131066 WVM131065:WVM131066 PQK12:PQK13 JA196601:JA196602 SW196601:SW196602 ACS196601:ACS196602 AMO196601:AMO196602 AWK196601:AWK196602 BGG196601:BGG196602 BQC196601:BQC196602 BZY196601:BZY196602 CJU196601:CJU196602 CTQ196601:CTQ196602 DDM196601:DDM196602 DNI196601:DNI196602 DXE196601:DXE196602 EHA196601:EHA196602 EQW196601:EQW196602 FAS196601:FAS196602 FKO196601:FKO196602 FUK196601:FUK196602 GEG196601:GEG196602 GOC196601:GOC196602 GXY196601:GXY196602 HHU196601:HHU196602 HRQ196601:HRQ196602 IBM196601:IBM196602 ILI196601:ILI196602 IVE196601:IVE196602 JFA196601:JFA196602 JOW196601:JOW196602 JYS196601:JYS196602 KIO196601:KIO196602 KSK196601:KSK196602 LCG196601:LCG196602 LMC196601:LMC196602 LVY196601:LVY196602 MFU196601:MFU196602 MPQ196601:MPQ196602 MZM196601:MZM196602 NJI196601:NJI196602 NTE196601:NTE196602 ODA196601:ODA196602 OMW196601:OMW196602 OWS196601:OWS196602 PGO196601:PGO196602 PQK196601:PQK196602 QAG196601:QAG196602 QKC196601:QKC196602 QTY196601:QTY196602 RDU196601:RDU196602 RNQ196601:RNQ196602 RXM196601:RXM196602 SHI196601:SHI196602 SRE196601:SRE196602 TBA196601:TBA196602 TKW196601:TKW196602 TUS196601:TUS196602 UEO196601:UEO196602 UOK196601:UOK196602 UYG196601:UYG196602 VIC196601:VIC196602 VRY196601:VRY196602 WBU196601:WBU196602 WLQ196601:WLQ196602 WVM196601:WVM196602 PGO12:PGO13 JA262137:JA262138 SW262137:SW262138 ACS262137:ACS262138 AMO262137:AMO262138 AWK262137:AWK262138 BGG262137:BGG262138 BQC262137:BQC262138 BZY262137:BZY262138 CJU262137:CJU262138 CTQ262137:CTQ262138 DDM262137:DDM262138 DNI262137:DNI262138 DXE262137:DXE262138 EHA262137:EHA262138 EQW262137:EQW262138 FAS262137:FAS262138 FKO262137:FKO262138 FUK262137:FUK262138 GEG262137:GEG262138 GOC262137:GOC262138 GXY262137:GXY262138 HHU262137:HHU262138 HRQ262137:HRQ262138 IBM262137:IBM262138 ILI262137:ILI262138 IVE262137:IVE262138 JFA262137:JFA262138 JOW262137:JOW262138 JYS262137:JYS262138 KIO262137:KIO262138 KSK262137:KSK262138 LCG262137:LCG262138 LMC262137:LMC262138 LVY262137:LVY262138 MFU262137:MFU262138 MPQ262137:MPQ262138 MZM262137:MZM262138 NJI262137:NJI262138 NTE262137:NTE262138 ODA262137:ODA262138 OMW262137:OMW262138 OWS262137:OWS262138 PGO262137:PGO262138 PQK262137:PQK262138 QAG262137:QAG262138 QKC262137:QKC262138 QTY262137:QTY262138 RDU262137:RDU262138 RNQ262137:RNQ262138 RXM262137:RXM262138 SHI262137:SHI262138 SRE262137:SRE262138 TBA262137:TBA262138 TKW262137:TKW262138 TUS262137:TUS262138 UEO262137:UEO262138 UOK262137:UOK262138 UYG262137:UYG262138 VIC262137:VIC262138 VRY262137:VRY262138 WBU262137:WBU262138 WLQ262137:WLQ262138 WVM262137:WVM262138 OWS12:OWS13 JA327673:JA327674 SW327673:SW327674 ACS327673:ACS327674 AMO327673:AMO327674 AWK327673:AWK327674 BGG327673:BGG327674 BQC327673:BQC327674 BZY327673:BZY327674 CJU327673:CJU327674 CTQ327673:CTQ327674 DDM327673:DDM327674 DNI327673:DNI327674 DXE327673:DXE327674 EHA327673:EHA327674 EQW327673:EQW327674 FAS327673:FAS327674 FKO327673:FKO327674 FUK327673:FUK327674 GEG327673:GEG327674 GOC327673:GOC327674 GXY327673:GXY327674 HHU327673:HHU327674 HRQ327673:HRQ327674 IBM327673:IBM327674 ILI327673:ILI327674 IVE327673:IVE327674 JFA327673:JFA327674 JOW327673:JOW327674 JYS327673:JYS327674 KIO327673:KIO327674 KSK327673:KSK327674 LCG327673:LCG327674 LMC327673:LMC327674 LVY327673:LVY327674 MFU327673:MFU327674 MPQ327673:MPQ327674 MZM327673:MZM327674 NJI327673:NJI327674 NTE327673:NTE327674 ODA327673:ODA327674 OMW327673:OMW327674 OWS327673:OWS327674 PGO327673:PGO327674 PQK327673:PQK327674 QAG327673:QAG327674 QKC327673:QKC327674 QTY327673:QTY327674 RDU327673:RDU327674 RNQ327673:RNQ327674 RXM327673:RXM327674 SHI327673:SHI327674 SRE327673:SRE327674 TBA327673:TBA327674 TKW327673:TKW327674 TUS327673:TUS327674 UEO327673:UEO327674 UOK327673:UOK327674 UYG327673:UYG327674 VIC327673:VIC327674 VRY327673:VRY327674 WBU327673:WBU327674 WLQ327673:WLQ327674 WVM327673:WVM327674 OMW12:OMW13 JA393209:JA393210 SW393209:SW393210 ACS393209:ACS393210 AMO393209:AMO393210 AWK393209:AWK393210 BGG393209:BGG393210 BQC393209:BQC393210 BZY393209:BZY393210 CJU393209:CJU393210 CTQ393209:CTQ393210 DDM393209:DDM393210 DNI393209:DNI393210 DXE393209:DXE393210 EHA393209:EHA393210 EQW393209:EQW393210 FAS393209:FAS393210 FKO393209:FKO393210 FUK393209:FUK393210 GEG393209:GEG393210 GOC393209:GOC393210 GXY393209:GXY393210 HHU393209:HHU393210 HRQ393209:HRQ393210 IBM393209:IBM393210 ILI393209:ILI393210 IVE393209:IVE393210 JFA393209:JFA393210 JOW393209:JOW393210 JYS393209:JYS393210 KIO393209:KIO393210 KSK393209:KSK393210 LCG393209:LCG393210 LMC393209:LMC393210 LVY393209:LVY393210 MFU393209:MFU393210 MPQ393209:MPQ393210 MZM393209:MZM393210 NJI393209:NJI393210 NTE393209:NTE393210 ODA393209:ODA393210 OMW393209:OMW393210 OWS393209:OWS393210 PGO393209:PGO393210 PQK393209:PQK393210 QAG393209:QAG393210 QKC393209:QKC393210 QTY393209:QTY393210 RDU393209:RDU393210 RNQ393209:RNQ393210 RXM393209:RXM393210 SHI393209:SHI393210 SRE393209:SRE393210 TBA393209:TBA393210 TKW393209:TKW393210 TUS393209:TUS393210 UEO393209:UEO393210 UOK393209:UOK393210 UYG393209:UYG393210 VIC393209:VIC393210 VRY393209:VRY393210 WBU393209:WBU393210 WLQ393209:WLQ393210 WVM393209:WVM393210 ODA12:ODA13 JA458745:JA458746 SW458745:SW458746 ACS458745:ACS458746 AMO458745:AMO458746 AWK458745:AWK458746 BGG458745:BGG458746 BQC458745:BQC458746 BZY458745:BZY458746 CJU458745:CJU458746 CTQ458745:CTQ458746 DDM458745:DDM458746 DNI458745:DNI458746 DXE458745:DXE458746 EHA458745:EHA458746 EQW458745:EQW458746 FAS458745:FAS458746 FKO458745:FKO458746 FUK458745:FUK458746 GEG458745:GEG458746 GOC458745:GOC458746 GXY458745:GXY458746 HHU458745:HHU458746 HRQ458745:HRQ458746 IBM458745:IBM458746 ILI458745:ILI458746 IVE458745:IVE458746 JFA458745:JFA458746 JOW458745:JOW458746 JYS458745:JYS458746 KIO458745:KIO458746 KSK458745:KSK458746 LCG458745:LCG458746 LMC458745:LMC458746 LVY458745:LVY458746 MFU458745:MFU458746 MPQ458745:MPQ458746 MZM458745:MZM458746 NJI458745:NJI458746 NTE458745:NTE458746 ODA458745:ODA458746 OMW458745:OMW458746 OWS458745:OWS458746 PGO458745:PGO458746 PQK458745:PQK458746 QAG458745:QAG458746 QKC458745:QKC458746 QTY458745:QTY458746 RDU458745:RDU458746 RNQ458745:RNQ458746 RXM458745:RXM458746 SHI458745:SHI458746 SRE458745:SRE458746 TBA458745:TBA458746 TKW458745:TKW458746 TUS458745:TUS458746 UEO458745:UEO458746 UOK458745:UOK458746 UYG458745:UYG458746 VIC458745:VIC458746 VRY458745:VRY458746 WBU458745:WBU458746 WLQ458745:WLQ458746 WVM458745:WVM458746 NTE12:NTE13 JA524281:JA524282 SW524281:SW524282 ACS524281:ACS524282 AMO524281:AMO524282 AWK524281:AWK524282 BGG524281:BGG524282 BQC524281:BQC524282 BZY524281:BZY524282 CJU524281:CJU524282 CTQ524281:CTQ524282 DDM524281:DDM524282 DNI524281:DNI524282 DXE524281:DXE524282 EHA524281:EHA524282 EQW524281:EQW524282 FAS524281:FAS524282 FKO524281:FKO524282 FUK524281:FUK524282 GEG524281:GEG524282 GOC524281:GOC524282 GXY524281:GXY524282 HHU524281:HHU524282 HRQ524281:HRQ524282 IBM524281:IBM524282 ILI524281:ILI524282 IVE524281:IVE524282 JFA524281:JFA524282 JOW524281:JOW524282 JYS524281:JYS524282 KIO524281:KIO524282 KSK524281:KSK524282 LCG524281:LCG524282 LMC524281:LMC524282 LVY524281:LVY524282 MFU524281:MFU524282 MPQ524281:MPQ524282 MZM524281:MZM524282 NJI524281:NJI524282 NTE524281:NTE524282 ODA524281:ODA524282 OMW524281:OMW524282 OWS524281:OWS524282 PGO524281:PGO524282 PQK524281:PQK524282 QAG524281:QAG524282 QKC524281:QKC524282 QTY524281:QTY524282 RDU524281:RDU524282 RNQ524281:RNQ524282 RXM524281:RXM524282 SHI524281:SHI524282 SRE524281:SRE524282 TBA524281:TBA524282 TKW524281:TKW524282 TUS524281:TUS524282 UEO524281:UEO524282 UOK524281:UOK524282 UYG524281:UYG524282 VIC524281:VIC524282 VRY524281:VRY524282 WBU524281:WBU524282 WLQ524281:WLQ524282 WVM524281:WVM524282 NJI12:NJI13 JA589817:JA589818 SW589817:SW589818 ACS589817:ACS589818 AMO589817:AMO589818 AWK589817:AWK589818 BGG589817:BGG589818 BQC589817:BQC589818 BZY589817:BZY589818 CJU589817:CJU589818 CTQ589817:CTQ589818 DDM589817:DDM589818 DNI589817:DNI589818 DXE589817:DXE589818 EHA589817:EHA589818 EQW589817:EQW589818 FAS589817:FAS589818 FKO589817:FKO589818 FUK589817:FUK589818 GEG589817:GEG589818 GOC589817:GOC589818 GXY589817:GXY589818 HHU589817:HHU589818 HRQ589817:HRQ589818 IBM589817:IBM589818 ILI589817:ILI589818 IVE589817:IVE589818 JFA589817:JFA589818 JOW589817:JOW589818 JYS589817:JYS589818 KIO589817:KIO589818 KSK589817:KSK589818 LCG589817:LCG589818 LMC589817:LMC589818 LVY589817:LVY589818 MFU589817:MFU589818 MPQ589817:MPQ589818 MZM589817:MZM589818 NJI589817:NJI589818 NTE589817:NTE589818 ODA589817:ODA589818 OMW589817:OMW589818 OWS589817:OWS589818 PGO589817:PGO589818 PQK589817:PQK589818 QAG589817:QAG589818 QKC589817:QKC589818 QTY589817:QTY589818 RDU589817:RDU589818 RNQ589817:RNQ589818 RXM589817:RXM589818 SHI589817:SHI589818 SRE589817:SRE589818 TBA589817:TBA589818 TKW589817:TKW589818 TUS589817:TUS589818 UEO589817:UEO589818 UOK589817:UOK589818 UYG589817:UYG589818 VIC589817:VIC589818 VRY589817:VRY589818 WBU589817:WBU589818 WLQ589817:WLQ589818 WVM589817:WVM589818 MZM12:MZM13 JA655353:JA655354 SW655353:SW655354 ACS655353:ACS655354 AMO655353:AMO655354 AWK655353:AWK655354 BGG655353:BGG655354 BQC655353:BQC655354 BZY655353:BZY655354 CJU655353:CJU655354 CTQ655353:CTQ655354 DDM655353:DDM655354 DNI655353:DNI655354 DXE655353:DXE655354 EHA655353:EHA655354 EQW655353:EQW655354 FAS655353:FAS655354 FKO655353:FKO655354 FUK655353:FUK655354 GEG655353:GEG655354 GOC655353:GOC655354 GXY655353:GXY655354 HHU655353:HHU655354 HRQ655353:HRQ655354 IBM655353:IBM655354 ILI655353:ILI655354 IVE655353:IVE655354 JFA655353:JFA655354 JOW655353:JOW655354 JYS655353:JYS655354 KIO655353:KIO655354 KSK655353:KSK655354 LCG655353:LCG655354 LMC655353:LMC655354 LVY655353:LVY655354 MFU655353:MFU655354 MPQ655353:MPQ655354 MZM655353:MZM655354 NJI655353:NJI655354 NTE655353:NTE655354 ODA655353:ODA655354 OMW655353:OMW655354 OWS655353:OWS655354 PGO655353:PGO655354 PQK655353:PQK655354 QAG655353:QAG655354 QKC655353:QKC655354 QTY655353:QTY655354 RDU655353:RDU655354 RNQ655353:RNQ655354 RXM655353:RXM655354 SHI655353:SHI655354 SRE655353:SRE655354 TBA655353:TBA655354 TKW655353:TKW655354 TUS655353:TUS655354 UEO655353:UEO655354 UOK655353:UOK655354 UYG655353:UYG655354 VIC655353:VIC655354 VRY655353:VRY655354 WBU655353:WBU655354 WLQ655353:WLQ655354 WVM655353:WVM655354 MPQ12:MPQ13 JA720889:JA720890 SW720889:SW720890 ACS720889:ACS720890 AMO720889:AMO720890 AWK720889:AWK720890 BGG720889:BGG720890 BQC720889:BQC720890 BZY720889:BZY720890 CJU720889:CJU720890 CTQ720889:CTQ720890 DDM720889:DDM720890 DNI720889:DNI720890 DXE720889:DXE720890 EHA720889:EHA720890 EQW720889:EQW720890 FAS720889:FAS720890 FKO720889:FKO720890 FUK720889:FUK720890 GEG720889:GEG720890 GOC720889:GOC720890 GXY720889:GXY720890 HHU720889:HHU720890 HRQ720889:HRQ720890 IBM720889:IBM720890 ILI720889:ILI720890 IVE720889:IVE720890 JFA720889:JFA720890 JOW720889:JOW720890 JYS720889:JYS720890 KIO720889:KIO720890 KSK720889:KSK720890 LCG720889:LCG720890 LMC720889:LMC720890 LVY720889:LVY720890 MFU720889:MFU720890 MPQ720889:MPQ720890 MZM720889:MZM720890 NJI720889:NJI720890 NTE720889:NTE720890 ODA720889:ODA720890 OMW720889:OMW720890 OWS720889:OWS720890 PGO720889:PGO720890 PQK720889:PQK720890 QAG720889:QAG720890 QKC720889:QKC720890 QTY720889:QTY720890 RDU720889:RDU720890 RNQ720889:RNQ720890 RXM720889:RXM720890 SHI720889:SHI720890 SRE720889:SRE720890 TBA720889:TBA720890 TKW720889:TKW720890 TUS720889:TUS720890 UEO720889:UEO720890 UOK720889:UOK720890 UYG720889:UYG720890 VIC720889:VIC720890 VRY720889:VRY720890 WBU720889:WBU720890 WLQ720889:WLQ720890 WVM720889:WVM720890 MFU12:MFU13 JA786425:JA786426 SW786425:SW786426 ACS786425:ACS786426 AMO786425:AMO786426 AWK786425:AWK786426 BGG786425:BGG786426 BQC786425:BQC786426 BZY786425:BZY786426 CJU786425:CJU786426 CTQ786425:CTQ786426 DDM786425:DDM786426 DNI786425:DNI786426 DXE786425:DXE786426 EHA786425:EHA786426 EQW786425:EQW786426 FAS786425:FAS786426 FKO786425:FKO786426 FUK786425:FUK786426 GEG786425:GEG786426 GOC786425:GOC786426 GXY786425:GXY786426 HHU786425:HHU786426 HRQ786425:HRQ786426 IBM786425:IBM786426 ILI786425:ILI786426 IVE786425:IVE786426 JFA786425:JFA786426 JOW786425:JOW786426 JYS786425:JYS786426 KIO786425:KIO786426 KSK786425:KSK786426 LCG786425:LCG786426 LMC786425:LMC786426 LVY786425:LVY786426 MFU786425:MFU786426 MPQ786425:MPQ786426 MZM786425:MZM786426 NJI786425:NJI786426 NTE786425:NTE786426 ODA786425:ODA786426 OMW786425:OMW786426 OWS786425:OWS786426 PGO786425:PGO786426 PQK786425:PQK786426 QAG786425:QAG786426 QKC786425:QKC786426 QTY786425:QTY786426 RDU786425:RDU786426 RNQ786425:RNQ786426 RXM786425:RXM786426 SHI786425:SHI786426 SRE786425:SRE786426 TBA786425:TBA786426 TKW786425:TKW786426 TUS786425:TUS786426 UEO786425:UEO786426 UOK786425:UOK786426 UYG786425:UYG786426 VIC786425:VIC786426 VRY786425:VRY786426 WBU786425:WBU786426 WLQ786425:WLQ786426 WVM786425:WVM786426 LVY12:LVY13 JA851961:JA851962 SW851961:SW851962 ACS851961:ACS851962 AMO851961:AMO851962 AWK851961:AWK851962 BGG851961:BGG851962 BQC851961:BQC851962 BZY851961:BZY851962 CJU851961:CJU851962 CTQ851961:CTQ851962 DDM851961:DDM851962 DNI851961:DNI851962 DXE851961:DXE851962 EHA851961:EHA851962 EQW851961:EQW851962 FAS851961:FAS851962 FKO851961:FKO851962 FUK851961:FUK851962 GEG851961:GEG851962 GOC851961:GOC851962 GXY851961:GXY851962 HHU851961:HHU851962 HRQ851961:HRQ851962 IBM851961:IBM851962 ILI851961:ILI851962 IVE851961:IVE851962 JFA851961:JFA851962 JOW851961:JOW851962 JYS851961:JYS851962 KIO851961:KIO851962 KSK851961:KSK851962 LCG851961:LCG851962 LMC851961:LMC851962 LVY851961:LVY851962 MFU851961:MFU851962 MPQ851961:MPQ851962 MZM851961:MZM851962 NJI851961:NJI851962 NTE851961:NTE851962 ODA851961:ODA851962 OMW851961:OMW851962 OWS851961:OWS851962 PGO851961:PGO851962 PQK851961:PQK851962 QAG851961:QAG851962 QKC851961:QKC851962 QTY851961:QTY851962 RDU851961:RDU851962 RNQ851961:RNQ851962 RXM851961:RXM851962 SHI851961:SHI851962 SRE851961:SRE851962 TBA851961:TBA851962 TKW851961:TKW851962 TUS851961:TUS851962 UEO851961:UEO851962 UOK851961:UOK851962 UYG851961:UYG851962 VIC851961:VIC851962 VRY851961:VRY851962 WBU851961:WBU851962 WLQ851961:WLQ851962 WVM851961:WVM851962 LMC12:LMC13 JA917497:JA917498 SW917497:SW917498 ACS917497:ACS917498 AMO917497:AMO917498 AWK917497:AWK917498 BGG917497:BGG917498 BQC917497:BQC917498 BZY917497:BZY917498 CJU917497:CJU917498 CTQ917497:CTQ917498 DDM917497:DDM917498 DNI917497:DNI917498 DXE917497:DXE917498 EHA917497:EHA917498 EQW917497:EQW917498 FAS917497:FAS917498 FKO917497:FKO917498 FUK917497:FUK917498 GEG917497:GEG917498 GOC917497:GOC917498 GXY917497:GXY917498 HHU917497:HHU917498 HRQ917497:HRQ917498 IBM917497:IBM917498 ILI917497:ILI917498 IVE917497:IVE917498 JFA917497:JFA917498 JOW917497:JOW917498 JYS917497:JYS917498 KIO917497:KIO917498 KSK917497:KSK917498 LCG917497:LCG917498 LMC917497:LMC917498 LVY917497:LVY917498 MFU917497:MFU917498 MPQ917497:MPQ917498 MZM917497:MZM917498 NJI917497:NJI917498 NTE917497:NTE917498 ODA917497:ODA917498 OMW917497:OMW917498 OWS917497:OWS917498 PGO917497:PGO917498 PQK917497:PQK917498 QAG917497:QAG917498 QKC917497:QKC917498 QTY917497:QTY917498 RDU917497:RDU917498 RNQ917497:RNQ917498 RXM917497:RXM917498 SHI917497:SHI917498 SRE917497:SRE917498 TBA917497:TBA917498 TKW917497:TKW917498 TUS917497:TUS917498 UEO917497:UEO917498 UOK917497:UOK917498 UYG917497:UYG917498 VIC917497:VIC917498 VRY917497:VRY917498 WBU917497:WBU917498 WLQ917497:WLQ917498 WVM917497:WVM917498 LCG12:LCG13 JA983033:JA983034 SW983033:SW983034 ACS983033:ACS983034 AMO983033:AMO983034 AWK983033:AWK983034 BGG983033:BGG983034 BQC983033:BQC983034 BZY983033:BZY983034 CJU983033:CJU983034 CTQ983033:CTQ983034 DDM983033:DDM983034 DNI983033:DNI983034 DXE983033:DXE983034 EHA983033:EHA983034 EQW983033:EQW983034 FAS983033:FAS983034 FKO983033:FKO983034 FUK983033:FUK983034 GEG983033:GEG983034 GOC983033:GOC983034 GXY983033:GXY983034 HHU983033:HHU983034 HRQ983033:HRQ983034 IBM983033:IBM983034 ILI983033:ILI983034 IVE983033:IVE983034 JFA983033:JFA983034 JOW983033:JOW983034 JYS983033:JYS983034 KIO983033:KIO983034 KSK983033:KSK983034 LCG983033:LCG983034 LMC983033:LMC983034 LVY983033:LVY983034 MFU983033:MFU983034 MPQ983033:MPQ983034 MZM983033:MZM983034 NJI983033:NJI983034 NTE983033:NTE983034 ODA983033:ODA983034 OMW983033:OMW983034 OWS983033:OWS983034 PGO983033:PGO983034 PQK983033:PQK983034 QAG983033:QAG983034 QKC983033:QKC983034 QTY983033:QTY983034 RDU983033:RDU983034 RNQ983033:RNQ983034 RXM983033:RXM983034 SHI983033:SHI983034 SRE983033:SRE983034 TBA983033:TBA983034 TKW983033:TKW983034 TUS983033:TUS983034 UEO983033:UEO983034 UOK983033:UOK983034 UYG983033:UYG983034 VIC983033:VIC983034 VRY983033:VRY983034 WBU983033:WBU983034 WLQ983033:WLQ983034 WVM983033:WVM983034 KSK12:KSK13 JA65518:JA65527 SW65518:SW65527 ACS65518:ACS65527 AMO65518:AMO65527 AWK65518:AWK65527 BGG65518:BGG65527 BQC65518:BQC65527 BZY65518:BZY65527 CJU65518:CJU65527 CTQ65518:CTQ65527 DDM65518:DDM65527 DNI65518:DNI65527 DXE65518:DXE65527 EHA65518:EHA65527 EQW65518:EQW65527 FAS65518:FAS65527 FKO65518:FKO65527 FUK65518:FUK65527 GEG65518:GEG65527 GOC65518:GOC65527 GXY65518:GXY65527 HHU65518:HHU65527 HRQ65518:HRQ65527 IBM65518:IBM65527 ILI65518:ILI65527 IVE65518:IVE65527 JFA65518:JFA65527 JOW65518:JOW65527 JYS65518:JYS65527 KIO65518:KIO65527 KSK65518:KSK65527 LCG65518:LCG65527 LMC65518:LMC65527 LVY65518:LVY65527 MFU65518:MFU65527 MPQ65518:MPQ65527 MZM65518:MZM65527 NJI65518:NJI65527 NTE65518:NTE65527 ODA65518:ODA65527 OMW65518:OMW65527 OWS65518:OWS65527 PGO65518:PGO65527 PQK65518:PQK65527 QAG65518:QAG65527 QKC65518:QKC65527 QTY65518:QTY65527 RDU65518:RDU65527 RNQ65518:RNQ65527 RXM65518:RXM65527 SHI65518:SHI65527 SRE65518:SRE65527 TBA65518:TBA65527 TKW65518:TKW65527 TUS65518:TUS65527 UEO65518:UEO65527 UOK65518:UOK65527 UYG65518:UYG65527 VIC65518:VIC65527 VRY65518:VRY65527 WBU65518:WBU65527 WLQ65518:WLQ65527 WVM65518:WVM65527 KIO12:KIO13 JA131054:JA131063 SW131054:SW131063 ACS131054:ACS131063 AMO131054:AMO131063 AWK131054:AWK131063 BGG131054:BGG131063 BQC131054:BQC131063 BZY131054:BZY131063 CJU131054:CJU131063 CTQ131054:CTQ131063 DDM131054:DDM131063 DNI131054:DNI131063 DXE131054:DXE131063 EHA131054:EHA131063 EQW131054:EQW131063 FAS131054:FAS131063 FKO131054:FKO131063 FUK131054:FUK131063 GEG131054:GEG131063 GOC131054:GOC131063 GXY131054:GXY131063 HHU131054:HHU131063 HRQ131054:HRQ131063 IBM131054:IBM131063 ILI131054:ILI131063 IVE131054:IVE131063 JFA131054:JFA131063 JOW131054:JOW131063 JYS131054:JYS131063 KIO131054:KIO131063 KSK131054:KSK131063 LCG131054:LCG131063 LMC131054:LMC131063 LVY131054:LVY131063 MFU131054:MFU131063 MPQ131054:MPQ131063 MZM131054:MZM131063 NJI131054:NJI131063 NTE131054:NTE131063 ODA131054:ODA131063 OMW131054:OMW131063 OWS131054:OWS131063 PGO131054:PGO131063 PQK131054:PQK131063 QAG131054:QAG131063 QKC131054:QKC131063 QTY131054:QTY131063 RDU131054:RDU131063 RNQ131054:RNQ131063 RXM131054:RXM131063 SHI131054:SHI131063 SRE131054:SRE131063 TBA131054:TBA131063 TKW131054:TKW131063 TUS131054:TUS131063 UEO131054:UEO131063 UOK131054:UOK131063 UYG131054:UYG131063 VIC131054:VIC131063 VRY131054:VRY131063 WBU131054:WBU131063 WLQ131054:WLQ131063 WVM131054:WVM131063 JYS12:JYS13 JA196590:JA196599 SW196590:SW196599 ACS196590:ACS196599 AMO196590:AMO196599 AWK196590:AWK196599 BGG196590:BGG196599 BQC196590:BQC196599 BZY196590:BZY196599 CJU196590:CJU196599 CTQ196590:CTQ196599 DDM196590:DDM196599 DNI196590:DNI196599 DXE196590:DXE196599 EHA196590:EHA196599 EQW196590:EQW196599 FAS196590:FAS196599 FKO196590:FKO196599 FUK196590:FUK196599 GEG196590:GEG196599 GOC196590:GOC196599 GXY196590:GXY196599 HHU196590:HHU196599 HRQ196590:HRQ196599 IBM196590:IBM196599 ILI196590:ILI196599 IVE196590:IVE196599 JFA196590:JFA196599 JOW196590:JOW196599 JYS196590:JYS196599 KIO196590:KIO196599 KSK196590:KSK196599 LCG196590:LCG196599 LMC196590:LMC196599 LVY196590:LVY196599 MFU196590:MFU196599 MPQ196590:MPQ196599 MZM196590:MZM196599 NJI196590:NJI196599 NTE196590:NTE196599 ODA196590:ODA196599 OMW196590:OMW196599 OWS196590:OWS196599 PGO196590:PGO196599 PQK196590:PQK196599 QAG196590:QAG196599 QKC196590:QKC196599 QTY196590:QTY196599 RDU196590:RDU196599 RNQ196590:RNQ196599 RXM196590:RXM196599 SHI196590:SHI196599 SRE196590:SRE196599 TBA196590:TBA196599 TKW196590:TKW196599 TUS196590:TUS196599 UEO196590:UEO196599 UOK196590:UOK196599 UYG196590:UYG196599 VIC196590:VIC196599 VRY196590:VRY196599 WBU196590:WBU196599 WLQ196590:WLQ196599 WVM196590:WVM196599 JOW12:JOW13 JA262126:JA262135 SW262126:SW262135 ACS262126:ACS262135 AMO262126:AMO262135 AWK262126:AWK262135 BGG262126:BGG262135 BQC262126:BQC262135 BZY262126:BZY262135 CJU262126:CJU262135 CTQ262126:CTQ262135 DDM262126:DDM262135 DNI262126:DNI262135 DXE262126:DXE262135 EHA262126:EHA262135 EQW262126:EQW262135 FAS262126:FAS262135 FKO262126:FKO262135 FUK262126:FUK262135 GEG262126:GEG262135 GOC262126:GOC262135 GXY262126:GXY262135 HHU262126:HHU262135 HRQ262126:HRQ262135 IBM262126:IBM262135 ILI262126:ILI262135 IVE262126:IVE262135 JFA262126:JFA262135 JOW262126:JOW262135 JYS262126:JYS262135 KIO262126:KIO262135 KSK262126:KSK262135 LCG262126:LCG262135 LMC262126:LMC262135 LVY262126:LVY262135 MFU262126:MFU262135 MPQ262126:MPQ262135 MZM262126:MZM262135 NJI262126:NJI262135 NTE262126:NTE262135 ODA262126:ODA262135 OMW262126:OMW262135 OWS262126:OWS262135 PGO262126:PGO262135 PQK262126:PQK262135 QAG262126:QAG262135 QKC262126:QKC262135 QTY262126:QTY262135 RDU262126:RDU262135 RNQ262126:RNQ262135 RXM262126:RXM262135 SHI262126:SHI262135 SRE262126:SRE262135 TBA262126:TBA262135 TKW262126:TKW262135 TUS262126:TUS262135 UEO262126:UEO262135 UOK262126:UOK262135 UYG262126:UYG262135 VIC262126:VIC262135 VRY262126:VRY262135 WBU262126:WBU262135 WLQ262126:WLQ262135 WVM262126:WVM262135 JFA12:JFA13 JA327662:JA327671 SW327662:SW327671 ACS327662:ACS327671 AMO327662:AMO327671 AWK327662:AWK327671 BGG327662:BGG327671 BQC327662:BQC327671 BZY327662:BZY327671 CJU327662:CJU327671 CTQ327662:CTQ327671 DDM327662:DDM327671 DNI327662:DNI327671 DXE327662:DXE327671 EHA327662:EHA327671 EQW327662:EQW327671 FAS327662:FAS327671 FKO327662:FKO327671 FUK327662:FUK327671 GEG327662:GEG327671 GOC327662:GOC327671 GXY327662:GXY327671 HHU327662:HHU327671 HRQ327662:HRQ327671 IBM327662:IBM327671 ILI327662:ILI327671 IVE327662:IVE327671 JFA327662:JFA327671 JOW327662:JOW327671 JYS327662:JYS327671 KIO327662:KIO327671 KSK327662:KSK327671 LCG327662:LCG327671 LMC327662:LMC327671 LVY327662:LVY327671 MFU327662:MFU327671 MPQ327662:MPQ327671 MZM327662:MZM327671 NJI327662:NJI327671 NTE327662:NTE327671 ODA327662:ODA327671 OMW327662:OMW327671 OWS327662:OWS327671 PGO327662:PGO327671 PQK327662:PQK327671 QAG327662:QAG327671 QKC327662:QKC327671 QTY327662:QTY327671 RDU327662:RDU327671 RNQ327662:RNQ327671 RXM327662:RXM327671 SHI327662:SHI327671 SRE327662:SRE327671 TBA327662:TBA327671 TKW327662:TKW327671 TUS327662:TUS327671 UEO327662:UEO327671 UOK327662:UOK327671 UYG327662:UYG327671 VIC327662:VIC327671 VRY327662:VRY327671 WBU327662:WBU327671 WLQ327662:WLQ327671 WVM327662:WVM327671 IVE12:IVE13 JA393198:JA393207 SW393198:SW393207 ACS393198:ACS393207 AMO393198:AMO393207 AWK393198:AWK393207 BGG393198:BGG393207 BQC393198:BQC393207 BZY393198:BZY393207 CJU393198:CJU393207 CTQ393198:CTQ393207 DDM393198:DDM393207 DNI393198:DNI393207 DXE393198:DXE393207 EHA393198:EHA393207 EQW393198:EQW393207 FAS393198:FAS393207 FKO393198:FKO393207 FUK393198:FUK393207 GEG393198:GEG393207 GOC393198:GOC393207 GXY393198:GXY393207 HHU393198:HHU393207 HRQ393198:HRQ393207 IBM393198:IBM393207 ILI393198:ILI393207 IVE393198:IVE393207 JFA393198:JFA393207 JOW393198:JOW393207 JYS393198:JYS393207 KIO393198:KIO393207 KSK393198:KSK393207 LCG393198:LCG393207 LMC393198:LMC393207 LVY393198:LVY393207 MFU393198:MFU393207 MPQ393198:MPQ393207 MZM393198:MZM393207 NJI393198:NJI393207 NTE393198:NTE393207 ODA393198:ODA393207 OMW393198:OMW393207 OWS393198:OWS393207 PGO393198:PGO393207 PQK393198:PQK393207 QAG393198:QAG393207 QKC393198:QKC393207 QTY393198:QTY393207 RDU393198:RDU393207 RNQ393198:RNQ393207 RXM393198:RXM393207 SHI393198:SHI393207 SRE393198:SRE393207 TBA393198:TBA393207 TKW393198:TKW393207 TUS393198:TUS393207 UEO393198:UEO393207 UOK393198:UOK393207 UYG393198:UYG393207 VIC393198:VIC393207 VRY393198:VRY393207 WBU393198:WBU393207 WLQ393198:WLQ393207 WVM393198:WVM393207 ILI12:ILI13 JA458734:JA458743 SW458734:SW458743 ACS458734:ACS458743 AMO458734:AMO458743 AWK458734:AWK458743 BGG458734:BGG458743 BQC458734:BQC458743 BZY458734:BZY458743 CJU458734:CJU458743 CTQ458734:CTQ458743 DDM458734:DDM458743 DNI458734:DNI458743 DXE458734:DXE458743 EHA458734:EHA458743 EQW458734:EQW458743 FAS458734:FAS458743 FKO458734:FKO458743 FUK458734:FUK458743 GEG458734:GEG458743 GOC458734:GOC458743 GXY458734:GXY458743 HHU458734:HHU458743 HRQ458734:HRQ458743 IBM458734:IBM458743 ILI458734:ILI458743 IVE458734:IVE458743 JFA458734:JFA458743 JOW458734:JOW458743 JYS458734:JYS458743 KIO458734:KIO458743 KSK458734:KSK458743 LCG458734:LCG458743 LMC458734:LMC458743 LVY458734:LVY458743 MFU458734:MFU458743 MPQ458734:MPQ458743 MZM458734:MZM458743 NJI458734:NJI458743 NTE458734:NTE458743 ODA458734:ODA458743 OMW458734:OMW458743 OWS458734:OWS458743 PGO458734:PGO458743 PQK458734:PQK458743 QAG458734:QAG458743 QKC458734:QKC458743 QTY458734:QTY458743 RDU458734:RDU458743 RNQ458734:RNQ458743 RXM458734:RXM458743 SHI458734:SHI458743 SRE458734:SRE458743 TBA458734:TBA458743 TKW458734:TKW458743 TUS458734:TUS458743 UEO458734:UEO458743 UOK458734:UOK458743 UYG458734:UYG458743 VIC458734:VIC458743 VRY458734:VRY458743 WBU458734:WBU458743 WLQ458734:WLQ458743 WVM458734:WVM458743 IBM12:IBM13 JA524270:JA524279 SW524270:SW524279 ACS524270:ACS524279 AMO524270:AMO524279 AWK524270:AWK524279 BGG524270:BGG524279 BQC524270:BQC524279 BZY524270:BZY524279 CJU524270:CJU524279 CTQ524270:CTQ524279 DDM524270:DDM524279 DNI524270:DNI524279 DXE524270:DXE524279 EHA524270:EHA524279 EQW524270:EQW524279 FAS524270:FAS524279 FKO524270:FKO524279 FUK524270:FUK524279 GEG524270:GEG524279 GOC524270:GOC524279 GXY524270:GXY524279 HHU524270:HHU524279 HRQ524270:HRQ524279 IBM524270:IBM524279 ILI524270:ILI524279 IVE524270:IVE524279 JFA524270:JFA524279 JOW524270:JOW524279 JYS524270:JYS524279 KIO524270:KIO524279 KSK524270:KSK524279 LCG524270:LCG524279 LMC524270:LMC524279 LVY524270:LVY524279 MFU524270:MFU524279 MPQ524270:MPQ524279 MZM524270:MZM524279 NJI524270:NJI524279 NTE524270:NTE524279 ODA524270:ODA524279 OMW524270:OMW524279 OWS524270:OWS524279 PGO524270:PGO524279 PQK524270:PQK524279 QAG524270:QAG524279 QKC524270:QKC524279 QTY524270:QTY524279 RDU524270:RDU524279 RNQ524270:RNQ524279 RXM524270:RXM524279 SHI524270:SHI524279 SRE524270:SRE524279 TBA524270:TBA524279 TKW524270:TKW524279 TUS524270:TUS524279 UEO524270:UEO524279 UOK524270:UOK524279 UYG524270:UYG524279 VIC524270:VIC524279 VRY524270:VRY524279 WBU524270:WBU524279 WLQ524270:WLQ524279 WVM524270:WVM524279 HRQ12:HRQ13 JA589806:JA589815 SW589806:SW589815 ACS589806:ACS589815 AMO589806:AMO589815 AWK589806:AWK589815 BGG589806:BGG589815 BQC589806:BQC589815 BZY589806:BZY589815 CJU589806:CJU589815 CTQ589806:CTQ589815 DDM589806:DDM589815 DNI589806:DNI589815 DXE589806:DXE589815 EHA589806:EHA589815 EQW589806:EQW589815 FAS589806:FAS589815 FKO589806:FKO589815 FUK589806:FUK589815 GEG589806:GEG589815 GOC589806:GOC589815 GXY589806:GXY589815 HHU589806:HHU589815 HRQ589806:HRQ589815 IBM589806:IBM589815 ILI589806:ILI589815 IVE589806:IVE589815 JFA589806:JFA589815 JOW589806:JOW589815 JYS589806:JYS589815 KIO589806:KIO589815 KSK589806:KSK589815 LCG589806:LCG589815 LMC589806:LMC589815 LVY589806:LVY589815 MFU589806:MFU589815 MPQ589806:MPQ589815 MZM589806:MZM589815 NJI589806:NJI589815 NTE589806:NTE589815 ODA589806:ODA589815 OMW589806:OMW589815 OWS589806:OWS589815 PGO589806:PGO589815 PQK589806:PQK589815 QAG589806:QAG589815 QKC589806:QKC589815 QTY589806:QTY589815 RDU589806:RDU589815 RNQ589806:RNQ589815 RXM589806:RXM589815 SHI589806:SHI589815 SRE589806:SRE589815 TBA589806:TBA589815 TKW589806:TKW589815 TUS589806:TUS589815 UEO589806:UEO589815 UOK589806:UOK589815 UYG589806:UYG589815 VIC589806:VIC589815 VRY589806:VRY589815 WBU589806:WBU589815 WLQ589806:WLQ589815 WVM589806:WVM589815 HHU12:HHU13 JA655342:JA655351 SW655342:SW655351 ACS655342:ACS655351 AMO655342:AMO655351 AWK655342:AWK655351 BGG655342:BGG655351 BQC655342:BQC655351 BZY655342:BZY655351 CJU655342:CJU655351 CTQ655342:CTQ655351 DDM655342:DDM655351 DNI655342:DNI655351 DXE655342:DXE655351 EHA655342:EHA655351 EQW655342:EQW655351 FAS655342:FAS655351 FKO655342:FKO655351 FUK655342:FUK655351 GEG655342:GEG655351 GOC655342:GOC655351 GXY655342:GXY655351 HHU655342:HHU655351 HRQ655342:HRQ655351 IBM655342:IBM655351 ILI655342:ILI655351 IVE655342:IVE655351 JFA655342:JFA655351 JOW655342:JOW655351 JYS655342:JYS655351 KIO655342:KIO655351 KSK655342:KSK655351 LCG655342:LCG655351 LMC655342:LMC655351 LVY655342:LVY655351 MFU655342:MFU655351 MPQ655342:MPQ655351 MZM655342:MZM655351 NJI655342:NJI655351 NTE655342:NTE655351 ODA655342:ODA655351 OMW655342:OMW655351 OWS655342:OWS655351 PGO655342:PGO655351 PQK655342:PQK655351 QAG655342:QAG655351 QKC655342:QKC655351 QTY655342:QTY655351 RDU655342:RDU655351 RNQ655342:RNQ655351 RXM655342:RXM655351 SHI655342:SHI655351 SRE655342:SRE655351 TBA655342:TBA655351 TKW655342:TKW655351 TUS655342:TUS655351 UEO655342:UEO655351 UOK655342:UOK655351 UYG655342:UYG655351 VIC655342:VIC655351 VRY655342:VRY655351 WBU655342:WBU655351 WLQ655342:WLQ655351 WVM655342:WVM655351 GXY12:GXY13 JA720878:JA720887 SW720878:SW720887 ACS720878:ACS720887 AMO720878:AMO720887 AWK720878:AWK720887 BGG720878:BGG720887 BQC720878:BQC720887 BZY720878:BZY720887 CJU720878:CJU720887 CTQ720878:CTQ720887 DDM720878:DDM720887 DNI720878:DNI720887 DXE720878:DXE720887 EHA720878:EHA720887 EQW720878:EQW720887 FAS720878:FAS720887 FKO720878:FKO720887 FUK720878:FUK720887 GEG720878:GEG720887 GOC720878:GOC720887 GXY720878:GXY720887 HHU720878:HHU720887 HRQ720878:HRQ720887 IBM720878:IBM720887 ILI720878:ILI720887 IVE720878:IVE720887 JFA720878:JFA720887 JOW720878:JOW720887 JYS720878:JYS720887 KIO720878:KIO720887 KSK720878:KSK720887 LCG720878:LCG720887 LMC720878:LMC720887 LVY720878:LVY720887 MFU720878:MFU720887 MPQ720878:MPQ720887 MZM720878:MZM720887 NJI720878:NJI720887 NTE720878:NTE720887 ODA720878:ODA720887 OMW720878:OMW720887 OWS720878:OWS720887 PGO720878:PGO720887 PQK720878:PQK720887 QAG720878:QAG720887 QKC720878:QKC720887 QTY720878:QTY720887 RDU720878:RDU720887 RNQ720878:RNQ720887 RXM720878:RXM720887 SHI720878:SHI720887 SRE720878:SRE720887 TBA720878:TBA720887 TKW720878:TKW720887 TUS720878:TUS720887 UEO720878:UEO720887 UOK720878:UOK720887 UYG720878:UYG720887 VIC720878:VIC720887 VRY720878:VRY720887 WBU720878:WBU720887 WLQ720878:WLQ720887 WVM720878:WVM720887 GOC12:GOC13 JA786414:JA786423 SW786414:SW786423 ACS786414:ACS786423 AMO786414:AMO786423 AWK786414:AWK786423 BGG786414:BGG786423 BQC786414:BQC786423 BZY786414:BZY786423 CJU786414:CJU786423 CTQ786414:CTQ786423 DDM786414:DDM786423 DNI786414:DNI786423 DXE786414:DXE786423 EHA786414:EHA786423 EQW786414:EQW786423 FAS786414:FAS786423 FKO786414:FKO786423 FUK786414:FUK786423 GEG786414:GEG786423 GOC786414:GOC786423 GXY786414:GXY786423 HHU786414:HHU786423 HRQ786414:HRQ786423 IBM786414:IBM786423 ILI786414:ILI786423 IVE786414:IVE786423 JFA786414:JFA786423 JOW786414:JOW786423 JYS786414:JYS786423 KIO786414:KIO786423 KSK786414:KSK786423 LCG786414:LCG786423 LMC786414:LMC786423 LVY786414:LVY786423 MFU786414:MFU786423 MPQ786414:MPQ786423 MZM786414:MZM786423 NJI786414:NJI786423 NTE786414:NTE786423 ODA786414:ODA786423 OMW786414:OMW786423 OWS786414:OWS786423 PGO786414:PGO786423 PQK786414:PQK786423 QAG786414:QAG786423 QKC786414:QKC786423 QTY786414:QTY786423 RDU786414:RDU786423 RNQ786414:RNQ786423 RXM786414:RXM786423 SHI786414:SHI786423 SRE786414:SRE786423 TBA786414:TBA786423 TKW786414:TKW786423 TUS786414:TUS786423 UEO786414:UEO786423 UOK786414:UOK786423 UYG786414:UYG786423 VIC786414:VIC786423 VRY786414:VRY786423 WBU786414:WBU786423 WLQ786414:WLQ786423 WVM786414:WVM786423 GEG12:GEG13 JA851950:JA851959 SW851950:SW851959 ACS851950:ACS851959 AMO851950:AMO851959 AWK851950:AWK851959 BGG851950:BGG851959 BQC851950:BQC851959 BZY851950:BZY851959 CJU851950:CJU851959 CTQ851950:CTQ851959 DDM851950:DDM851959 DNI851950:DNI851959 DXE851950:DXE851959 EHA851950:EHA851959 EQW851950:EQW851959 FAS851950:FAS851959 FKO851950:FKO851959 FUK851950:FUK851959 GEG851950:GEG851959 GOC851950:GOC851959 GXY851950:GXY851959 HHU851950:HHU851959 HRQ851950:HRQ851959 IBM851950:IBM851959 ILI851950:ILI851959 IVE851950:IVE851959 JFA851950:JFA851959 JOW851950:JOW851959 JYS851950:JYS851959 KIO851950:KIO851959 KSK851950:KSK851959 LCG851950:LCG851959 LMC851950:LMC851959 LVY851950:LVY851959 MFU851950:MFU851959 MPQ851950:MPQ851959 MZM851950:MZM851959 NJI851950:NJI851959 NTE851950:NTE851959 ODA851950:ODA851959 OMW851950:OMW851959 OWS851950:OWS851959 PGO851950:PGO851959 PQK851950:PQK851959 QAG851950:QAG851959 QKC851950:QKC851959 QTY851950:QTY851959 RDU851950:RDU851959 RNQ851950:RNQ851959 RXM851950:RXM851959 SHI851950:SHI851959 SRE851950:SRE851959 TBA851950:TBA851959 TKW851950:TKW851959 TUS851950:TUS851959 UEO851950:UEO851959 UOK851950:UOK851959 UYG851950:UYG851959 VIC851950:VIC851959 VRY851950:VRY851959 WBU851950:WBU851959 WLQ851950:WLQ851959 WVM851950:WVM851959 FUK12:FUK13 JA917486:JA917495 SW917486:SW917495 ACS917486:ACS917495 AMO917486:AMO917495 AWK917486:AWK917495 BGG917486:BGG917495 BQC917486:BQC917495 BZY917486:BZY917495 CJU917486:CJU917495 CTQ917486:CTQ917495 DDM917486:DDM917495 DNI917486:DNI917495 DXE917486:DXE917495 EHA917486:EHA917495 EQW917486:EQW917495 FAS917486:FAS917495 FKO917486:FKO917495 FUK917486:FUK917495 GEG917486:GEG917495 GOC917486:GOC917495 GXY917486:GXY917495 HHU917486:HHU917495 HRQ917486:HRQ917495 IBM917486:IBM917495 ILI917486:ILI917495 IVE917486:IVE917495 JFA917486:JFA917495 JOW917486:JOW917495 JYS917486:JYS917495 KIO917486:KIO917495 KSK917486:KSK917495 LCG917486:LCG917495 LMC917486:LMC917495 LVY917486:LVY917495 MFU917486:MFU917495 MPQ917486:MPQ917495 MZM917486:MZM917495 NJI917486:NJI917495 NTE917486:NTE917495 ODA917486:ODA917495 OMW917486:OMW917495 OWS917486:OWS917495 PGO917486:PGO917495 PQK917486:PQK917495 QAG917486:QAG917495 QKC917486:QKC917495 QTY917486:QTY917495 RDU917486:RDU917495 RNQ917486:RNQ917495 RXM917486:RXM917495 SHI917486:SHI917495 SRE917486:SRE917495 TBA917486:TBA917495 TKW917486:TKW917495 TUS917486:TUS917495 UEO917486:UEO917495 UOK917486:UOK917495 UYG917486:UYG917495 VIC917486:VIC917495 VRY917486:VRY917495 WBU917486:WBU917495 WLQ917486:WLQ917495 WVM917486:WVM917495 FKO12:FKO13 JA983022:JA983031 SW983022:SW983031 ACS983022:ACS983031 AMO983022:AMO983031 AWK983022:AWK983031 BGG983022:BGG983031 BQC983022:BQC983031 BZY983022:BZY983031 CJU983022:CJU983031 CTQ983022:CTQ983031 DDM983022:DDM983031 DNI983022:DNI983031 DXE983022:DXE983031 EHA983022:EHA983031 EQW983022:EQW983031 FAS983022:FAS983031 FKO983022:FKO983031 FUK983022:FUK983031 GEG983022:GEG983031 GOC983022:GOC983031 GXY983022:GXY983031 HHU983022:HHU983031 HRQ983022:HRQ983031 IBM983022:IBM983031 ILI983022:ILI983031 IVE983022:IVE983031 JFA983022:JFA983031 JOW983022:JOW983031 JYS983022:JYS983031 KIO983022:KIO983031 KSK983022:KSK983031 LCG983022:LCG983031 LMC983022:LMC983031 LVY983022:LVY983031 MFU983022:MFU983031 MPQ983022:MPQ983031 MZM983022:MZM983031 NJI983022:NJI983031 NTE983022:NTE983031 ODA983022:ODA983031 OMW983022:OMW983031 OWS983022:OWS983031 PGO983022:PGO983031 PQK983022:PQK983031 QAG983022:QAG983031 QKC983022:QKC983031 QTY983022:QTY983031 RDU983022:RDU983031 RNQ983022:RNQ983031 RXM983022:RXM983031 SHI983022:SHI983031 SRE983022:SRE983031 TBA983022:TBA983031 TKW983022:TKW983031 TUS983022:TUS983031 UEO983022:UEO983031 UOK983022:UOK983031 UYG983022:UYG983031 VIC983022:VIC983031 VRY983022:VRY983031 WBU983022:WBU983031 WLQ983022:WLQ983031 WVM983022:WVM983031 FAS12:FAS13 JA4:JA10 SW4:SW10 ACS4:ACS10 AMO4:AMO10 AWK4:AWK10 BGG4:BGG10 BQC4:BQC10 BZY4:BZY10 CJU4:CJU10 CTQ4:CTQ10 DDM4:DDM10 DNI4:DNI10 DXE4:DXE10 EHA4:EHA10 EQW4:EQW10 FAS4:FAS10 FKO4:FKO10 FUK4:FUK10 GEG4:GEG10 GOC4:GOC10 GXY4:GXY10 HHU4:HHU10 HRQ4:HRQ10 IBM4:IBM10 ILI4:ILI10 IVE4:IVE10 JFA4:JFA10 JOW4:JOW10 JYS4:JYS10 KIO4:KIO10 KSK4:KSK10 LCG4:LCG10 LMC4:LMC10 LVY4:LVY10 MFU4:MFU10 MPQ4:MPQ10 MZM4:MZM10 NJI4:NJI10 NTE4:NTE10 ODA4:ODA10 OMW4:OMW10 OWS4:OWS10 PGO4:PGO10 PQK4:PQK10 QAG4:QAG10 QKC4:QKC10 QTY4:QTY10 RDU4:RDU10 RNQ4:RNQ10 RXM4:RXM10 SHI4:SHI10 SRE4:SRE10 TBA4:TBA10 TKW4:TKW10 TUS4:TUS10 UEO4:UEO10 UOK4:UOK10 UYG4:UYG10 VIC4:VIC10 VRY4:VRY10 WBU4:WBU10 WLQ4:WLQ10 WVM4:WVM10 EQW12:EQW13 JA65515:JA65516 SW65515:SW65516 ACS65515:ACS65516 AMO65515:AMO65516 AWK65515:AWK65516 BGG65515:BGG65516 BQC65515:BQC65516 BZY65515:BZY65516 CJU65515:CJU65516 CTQ65515:CTQ65516 DDM65515:DDM65516 DNI65515:DNI65516 DXE65515:DXE65516 EHA65515:EHA65516 EQW65515:EQW65516 FAS65515:FAS65516 FKO65515:FKO65516 FUK65515:FUK65516 GEG65515:GEG65516 GOC65515:GOC65516 GXY65515:GXY65516 HHU65515:HHU65516 HRQ65515:HRQ65516 IBM65515:IBM65516 ILI65515:ILI65516 IVE65515:IVE65516 JFA65515:JFA65516 JOW65515:JOW65516 JYS65515:JYS65516 KIO65515:KIO65516 KSK65515:KSK65516 LCG65515:LCG65516 LMC65515:LMC65516 LVY65515:LVY65516 MFU65515:MFU65516 MPQ65515:MPQ65516 MZM65515:MZM65516 NJI65515:NJI65516 NTE65515:NTE65516 ODA65515:ODA65516 OMW65515:OMW65516 OWS65515:OWS65516 PGO65515:PGO65516 PQK65515:PQK65516 QAG65515:QAG65516 QKC65515:QKC65516 QTY65515:QTY65516 RDU65515:RDU65516 RNQ65515:RNQ65516 RXM65515:RXM65516 SHI65515:SHI65516 SRE65515:SRE65516 TBA65515:TBA65516 TKW65515:TKW65516 TUS65515:TUS65516 UEO65515:UEO65516 UOK65515:UOK65516 UYG65515:UYG65516 VIC65515:VIC65516 VRY65515:VRY65516 WBU65515:WBU65516 WLQ65515:WLQ65516 WVM65515:WVM65516 EHA12:EHA13 JA131051:JA131052 SW131051:SW131052 ACS131051:ACS131052 AMO131051:AMO131052 AWK131051:AWK131052 BGG131051:BGG131052 BQC131051:BQC131052 BZY131051:BZY131052 CJU131051:CJU131052 CTQ131051:CTQ131052 DDM131051:DDM131052 DNI131051:DNI131052 DXE131051:DXE131052 EHA131051:EHA131052 EQW131051:EQW131052 FAS131051:FAS131052 FKO131051:FKO131052 FUK131051:FUK131052 GEG131051:GEG131052 GOC131051:GOC131052 GXY131051:GXY131052 HHU131051:HHU131052 HRQ131051:HRQ131052 IBM131051:IBM131052 ILI131051:ILI131052 IVE131051:IVE131052 JFA131051:JFA131052 JOW131051:JOW131052 JYS131051:JYS131052 KIO131051:KIO131052 KSK131051:KSK131052 LCG131051:LCG131052 LMC131051:LMC131052 LVY131051:LVY131052 MFU131051:MFU131052 MPQ131051:MPQ131052 MZM131051:MZM131052 NJI131051:NJI131052 NTE131051:NTE131052 ODA131051:ODA131052 OMW131051:OMW131052 OWS131051:OWS131052 PGO131051:PGO131052 PQK131051:PQK131052 QAG131051:QAG131052 QKC131051:QKC131052 QTY131051:QTY131052 RDU131051:RDU131052 RNQ131051:RNQ131052 RXM131051:RXM131052 SHI131051:SHI131052 SRE131051:SRE131052 TBA131051:TBA131052 TKW131051:TKW131052 TUS131051:TUS131052 UEO131051:UEO131052 UOK131051:UOK131052 UYG131051:UYG131052 VIC131051:VIC131052 VRY131051:VRY131052 WBU131051:WBU131052 WLQ131051:WLQ131052 WVM131051:WVM131052 DXE12:DXE13 JA196587:JA196588 SW196587:SW196588 ACS196587:ACS196588 AMO196587:AMO196588 AWK196587:AWK196588 BGG196587:BGG196588 BQC196587:BQC196588 BZY196587:BZY196588 CJU196587:CJU196588 CTQ196587:CTQ196588 DDM196587:DDM196588 DNI196587:DNI196588 DXE196587:DXE196588 EHA196587:EHA196588 EQW196587:EQW196588 FAS196587:FAS196588 FKO196587:FKO196588 FUK196587:FUK196588 GEG196587:GEG196588 GOC196587:GOC196588 GXY196587:GXY196588 HHU196587:HHU196588 HRQ196587:HRQ196588 IBM196587:IBM196588 ILI196587:ILI196588 IVE196587:IVE196588 JFA196587:JFA196588 JOW196587:JOW196588 JYS196587:JYS196588 KIO196587:KIO196588 KSK196587:KSK196588 LCG196587:LCG196588 LMC196587:LMC196588 LVY196587:LVY196588 MFU196587:MFU196588 MPQ196587:MPQ196588 MZM196587:MZM196588 NJI196587:NJI196588 NTE196587:NTE196588 ODA196587:ODA196588 OMW196587:OMW196588 OWS196587:OWS196588 PGO196587:PGO196588 PQK196587:PQK196588 QAG196587:QAG196588 QKC196587:QKC196588 QTY196587:QTY196588 RDU196587:RDU196588 RNQ196587:RNQ196588 RXM196587:RXM196588 SHI196587:SHI196588 SRE196587:SRE196588 TBA196587:TBA196588 TKW196587:TKW196588 TUS196587:TUS196588 UEO196587:UEO196588 UOK196587:UOK196588 UYG196587:UYG196588 VIC196587:VIC196588 VRY196587:VRY196588 WBU196587:WBU196588 WLQ196587:WLQ196588 WVM196587:WVM196588 DNI12:DNI13 JA262123:JA262124 SW262123:SW262124 ACS262123:ACS262124 AMO262123:AMO262124 AWK262123:AWK262124 BGG262123:BGG262124 BQC262123:BQC262124 BZY262123:BZY262124 CJU262123:CJU262124 CTQ262123:CTQ262124 DDM262123:DDM262124 DNI262123:DNI262124 DXE262123:DXE262124 EHA262123:EHA262124 EQW262123:EQW262124 FAS262123:FAS262124 FKO262123:FKO262124 FUK262123:FUK262124 GEG262123:GEG262124 GOC262123:GOC262124 GXY262123:GXY262124 HHU262123:HHU262124 HRQ262123:HRQ262124 IBM262123:IBM262124 ILI262123:ILI262124 IVE262123:IVE262124 JFA262123:JFA262124 JOW262123:JOW262124 JYS262123:JYS262124 KIO262123:KIO262124 KSK262123:KSK262124 LCG262123:LCG262124 LMC262123:LMC262124 LVY262123:LVY262124 MFU262123:MFU262124 MPQ262123:MPQ262124 MZM262123:MZM262124 NJI262123:NJI262124 NTE262123:NTE262124 ODA262123:ODA262124 OMW262123:OMW262124 OWS262123:OWS262124 PGO262123:PGO262124 PQK262123:PQK262124 QAG262123:QAG262124 QKC262123:QKC262124 QTY262123:QTY262124 RDU262123:RDU262124 RNQ262123:RNQ262124 RXM262123:RXM262124 SHI262123:SHI262124 SRE262123:SRE262124 TBA262123:TBA262124 TKW262123:TKW262124 TUS262123:TUS262124 UEO262123:UEO262124 UOK262123:UOK262124 UYG262123:UYG262124 VIC262123:VIC262124 VRY262123:VRY262124 WBU262123:WBU262124 WLQ262123:WLQ262124 WVM262123:WVM262124 DDM12:DDM13 JA327659:JA327660 SW327659:SW327660 ACS327659:ACS327660 AMO327659:AMO327660 AWK327659:AWK327660 BGG327659:BGG327660 BQC327659:BQC327660 BZY327659:BZY327660 CJU327659:CJU327660 CTQ327659:CTQ327660 DDM327659:DDM327660 DNI327659:DNI327660 DXE327659:DXE327660 EHA327659:EHA327660 EQW327659:EQW327660 FAS327659:FAS327660 FKO327659:FKO327660 FUK327659:FUK327660 GEG327659:GEG327660 GOC327659:GOC327660 GXY327659:GXY327660 HHU327659:HHU327660 HRQ327659:HRQ327660 IBM327659:IBM327660 ILI327659:ILI327660 IVE327659:IVE327660 JFA327659:JFA327660 JOW327659:JOW327660 JYS327659:JYS327660 KIO327659:KIO327660 KSK327659:KSK327660 LCG327659:LCG327660 LMC327659:LMC327660 LVY327659:LVY327660 MFU327659:MFU327660 MPQ327659:MPQ327660 MZM327659:MZM327660 NJI327659:NJI327660 NTE327659:NTE327660 ODA327659:ODA327660 OMW327659:OMW327660 OWS327659:OWS327660 PGO327659:PGO327660 PQK327659:PQK327660 QAG327659:QAG327660 QKC327659:QKC327660 QTY327659:QTY327660 RDU327659:RDU327660 RNQ327659:RNQ327660 RXM327659:RXM327660 SHI327659:SHI327660 SRE327659:SRE327660 TBA327659:TBA327660 TKW327659:TKW327660 TUS327659:TUS327660 UEO327659:UEO327660 UOK327659:UOK327660 UYG327659:UYG327660 VIC327659:VIC327660 VRY327659:VRY327660 WBU327659:WBU327660 WLQ327659:WLQ327660 WVM327659:WVM327660 CTQ12:CTQ13 JA393195:JA393196 SW393195:SW393196 ACS393195:ACS393196 AMO393195:AMO393196 AWK393195:AWK393196 BGG393195:BGG393196 BQC393195:BQC393196 BZY393195:BZY393196 CJU393195:CJU393196 CTQ393195:CTQ393196 DDM393195:DDM393196 DNI393195:DNI393196 DXE393195:DXE393196 EHA393195:EHA393196 EQW393195:EQW393196 FAS393195:FAS393196 FKO393195:FKO393196 FUK393195:FUK393196 GEG393195:GEG393196 GOC393195:GOC393196 GXY393195:GXY393196 HHU393195:HHU393196 HRQ393195:HRQ393196 IBM393195:IBM393196 ILI393195:ILI393196 IVE393195:IVE393196 JFA393195:JFA393196 JOW393195:JOW393196 JYS393195:JYS393196 KIO393195:KIO393196 KSK393195:KSK393196 LCG393195:LCG393196 LMC393195:LMC393196 LVY393195:LVY393196 MFU393195:MFU393196 MPQ393195:MPQ393196 MZM393195:MZM393196 NJI393195:NJI393196 NTE393195:NTE393196 ODA393195:ODA393196 OMW393195:OMW393196 OWS393195:OWS393196 PGO393195:PGO393196 PQK393195:PQK393196 QAG393195:QAG393196 QKC393195:QKC393196 QTY393195:QTY393196 RDU393195:RDU393196 RNQ393195:RNQ393196 RXM393195:RXM393196 SHI393195:SHI393196 SRE393195:SRE393196 TBA393195:TBA393196 TKW393195:TKW393196 TUS393195:TUS393196 UEO393195:UEO393196 UOK393195:UOK393196 UYG393195:UYG393196 VIC393195:VIC393196 VRY393195:VRY393196 WBU393195:WBU393196 WLQ393195:WLQ393196 WVM393195:WVM393196 CJU12:CJU13 JA458731:JA458732 SW458731:SW458732 ACS458731:ACS458732 AMO458731:AMO458732 AWK458731:AWK458732 BGG458731:BGG458732 BQC458731:BQC458732 BZY458731:BZY458732 CJU458731:CJU458732 CTQ458731:CTQ458732 DDM458731:DDM458732 DNI458731:DNI458732 DXE458731:DXE458732 EHA458731:EHA458732 EQW458731:EQW458732 FAS458731:FAS458732 FKO458731:FKO458732 FUK458731:FUK458732 GEG458731:GEG458732 GOC458731:GOC458732 GXY458731:GXY458732 HHU458731:HHU458732 HRQ458731:HRQ458732 IBM458731:IBM458732 ILI458731:ILI458732 IVE458731:IVE458732 JFA458731:JFA458732 JOW458731:JOW458732 JYS458731:JYS458732 KIO458731:KIO458732 KSK458731:KSK458732 LCG458731:LCG458732 LMC458731:LMC458732 LVY458731:LVY458732 MFU458731:MFU458732 MPQ458731:MPQ458732 MZM458731:MZM458732 NJI458731:NJI458732 NTE458731:NTE458732 ODA458731:ODA458732 OMW458731:OMW458732 OWS458731:OWS458732 PGO458731:PGO458732 PQK458731:PQK458732 QAG458731:QAG458732 QKC458731:QKC458732 QTY458731:QTY458732 RDU458731:RDU458732 RNQ458731:RNQ458732 RXM458731:RXM458732 SHI458731:SHI458732 SRE458731:SRE458732 TBA458731:TBA458732 TKW458731:TKW458732 TUS458731:TUS458732 UEO458731:UEO458732 UOK458731:UOK458732 UYG458731:UYG458732 VIC458731:VIC458732 VRY458731:VRY458732 WBU458731:WBU458732 WLQ458731:WLQ458732 WVM458731:WVM458732 BZY12:BZY13 JA524267:JA524268 SW524267:SW524268 ACS524267:ACS524268 AMO524267:AMO524268 AWK524267:AWK524268 BGG524267:BGG524268 BQC524267:BQC524268 BZY524267:BZY524268 CJU524267:CJU524268 CTQ524267:CTQ524268 DDM524267:DDM524268 DNI524267:DNI524268 DXE524267:DXE524268 EHA524267:EHA524268 EQW524267:EQW524268 FAS524267:FAS524268 FKO524267:FKO524268 FUK524267:FUK524268 GEG524267:GEG524268 GOC524267:GOC524268 GXY524267:GXY524268 HHU524267:HHU524268 HRQ524267:HRQ524268 IBM524267:IBM524268 ILI524267:ILI524268 IVE524267:IVE524268 JFA524267:JFA524268 JOW524267:JOW524268 JYS524267:JYS524268 KIO524267:KIO524268 KSK524267:KSK524268 LCG524267:LCG524268 LMC524267:LMC524268 LVY524267:LVY524268 MFU524267:MFU524268 MPQ524267:MPQ524268 MZM524267:MZM524268 NJI524267:NJI524268 NTE524267:NTE524268 ODA524267:ODA524268 OMW524267:OMW524268 OWS524267:OWS524268 PGO524267:PGO524268 PQK524267:PQK524268 QAG524267:QAG524268 QKC524267:QKC524268 QTY524267:QTY524268 RDU524267:RDU524268 RNQ524267:RNQ524268 RXM524267:RXM524268 SHI524267:SHI524268 SRE524267:SRE524268 TBA524267:TBA524268 TKW524267:TKW524268 TUS524267:TUS524268 UEO524267:UEO524268 UOK524267:UOK524268 UYG524267:UYG524268 VIC524267:VIC524268 VRY524267:VRY524268 WBU524267:WBU524268 WLQ524267:WLQ524268 WVM524267:WVM524268 BQC12:BQC13 JA589803:JA589804 SW589803:SW589804 ACS589803:ACS589804 AMO589803:AMO589804 AWK589803:AWK589804 BGG589803:BGG589804 BQC589803:BQC589804 BZY589803:BZY589804 CJU589803:CJU589804 CTQ589803:CTQ589804 DDM589803:DDM589804 DNI589803:DNI589804 DXE589803:DXE589804 EHA589803:EHA589804 EQW589803:EQW589804 FAS589803:FAS589804 FKO589803:FKO589804 FUK589803:FUK589804 GEG589803:GEG589804 GOC589803:GOC589804 GXY589803:GXY589804 HHU589803:HHU589804 HRQ589803:HRQ589804 IBM589803:IBM589804 ILI589803:ILI589804 IVE589803:IVE589804 JFA589803:JFA589804 JOW589803:JOW589804 JYS589803:JYS589804 KIO589803:KIO589804 KSK589803:KSK589804 LCG589803:LCG589804 LMC589803:LMC589804 LVY589803:LVY589804 MFU589803:MFU589804 MPQ589803:MPQ589804 MZM589803:MZM589804 NJI589803:NJI589804 NTE589803:NTE589804 ODA589803:ODA589804 OMW589803:OMW589804 OWS589803:OWS589804 PGO589803:PGO589804 PQK589803:PQK589804 QAG589803:QAG589804 QKC589803:QKC589804 QTY589803:QTY589804 RDU589803:RDU589804 RNQ589803:RNQ589804 RXM589803:RXM589804 SHI589803:SHI589804 SRE589803:SRE589804 TBA589803:TBA589804 TKW589803:TKW589804 TUS589803:TUS589804 UEO589803:UEO589804 UOK589803:UOK589804 UYG589803:UYG589804 VIC589803:VIC589804 VRY589803:VRY589804 WBU589803:WBU589804 WLQ589803:WLQ589804 WVM589803:WVM589804 BGG12:BGG13 JA655339:JA655340 SW655339:SW655340 ACS655339:ACS655340 AMO655339:AMO655340 AWK655339:AWK655340 BGG655339:BGG655340 BQC655339:BQC655340 BZY655339:BZY655340 CJU655339:CJU655340 CTQ655339:CTQ655340 DDM655339:DDM655340 DNI655339:DNI655340 DXE655339:DXE655340 EHA655339:EHA655340 EQW655339:EQW655340 FAS655339:FAS655340 FKO655339:FKO655340 FUK655339:FUK655340 GEG655339:GEG655340 GOC655339:GOC655340 GXY655339:GXY655340 HHU655339:HHU655340 HRQ655339:HRQ655340 IBM655339:IBM655340 ILI655339:ILI655340 IVE655339:IVE655340 JFA655339:JFA655340 JOW655339:JOW655340 JYS655339:JYS655340 KIO655339:KIO655340 KSK655339:KSK655340 LCG655339:LCG655340 LMC655339:LMC655340 LVY655339:LVY655340 MFU655339:MFU655340 MPQ655339:MPQ655340 MZM655339:MZM655340 NJI655339:NJI655340 NTE655339:NTE655340 ODA655339:ODA655340 OMW655339:OMW655340 OWS655339:OWS655340 PGO655339:PGO655340 PQK655339:PQK655340 QAG655339:QAG655340 QKC655339:QKC655340 QTY655339:QTY655340 RDU655339:RDU655340 RNQ655339:RNQ655340 RXM655339:RXM655340 SHI655339:SHI655340 SRE655339:SRE655340 TBA655339:TBA655340 TKW655339:TKW655340 TUS655339:TUS655340 UEO655339:UEO655340 UOK655339:UOK655340 UYG655339:UYG655340 VIC655339:VIC655340 VRY655339:VRY655340 WBU655339:WBU655340 WLQ655339:WLQ655340 WVM655339:WVM655340 AWK12:AWK13 JA720875:JA720876 SW720875:SW720876 ACS720875:ACS720876 AMO720875:AMO720876 AWK720875:AWK720876 BGG720875:BGG720876 BQC720875:BQC720876 BZY720875:BZY720876 CJU720875:CJU720876 CTQ720875:CTQ720876 DDM720875:DDM720876 DNI720875:DNI720876 DXE720875:DXE720876 EHA720875:EHA720876 EQW720875:EQW720876 FAS720875:FAS720876 FKO720875:FKO720876 FUK720875:FUK720876 GEG720875:GEG720876 GOC720875:GOC720876 GXY720875:GXY720876 HHU720875:HHU720876 HRQ720875:HRQ720876 IBM720875:IBM720876 ILI720875:ILI720876 IVE720875:IVE720876 JFA720875:JFA720876 JOW720875:JOW720876 JYS720875:JYS720876 KIO720875:KIO720876 KSK720875:KSK720876 LCG720875:LCG720876 LMC720875:LMC720876 LVY720875:LVY720876 MFU720875:MFU720876 MPQ720875:MPQ720876 MZM720875:MZM720876 NJI720875:NJI720876 NTE720875:NTE720876 ODA720875:ODA720876 OMW720875:OMW720876 OWS720875:OWS720876 PGO720875:PGO720876 PQK720875:PQK720876 QAG720875:QAG720876 QKC720875:QKC720876 QTY720875:QTY720876 RDU720875:RDU720876 RNQ720875:RNQ720876 RXM720875:RXM720876 SHI720875:SHI720876 SRE720875:SRE720876 TBA720875:TBA720876 TKW720875:TKW720876 TUS720875:TUS720876 UEO720875:UEO720876 UOK720875:UOK720876 UYG720875:UYG720876 VIC720875:VIC720876 VRY720875:VRY720876 WBU720875:WBU720876 WLQ720875:WLQ720876 WVM720875:WVM720876 AMO12:AMO13 JA786411:JA786412 SW786411:SW786412 ACS786411:ACS786412 AMO786411:AMO786412 AWK786411:AWK786412 BGG786411:BGG786412 BQC786411:BQC786412 BZY786411:BZY786412 CJU786411:CJU786412 CTQ786411:CTQ786412 DDM786411:DDM786412 DNI786411:DNI786412 DXE786411:DXE786412 EHA786411:EHA786412 EQW786411:EQW786412 FAS786411:FAS786412 FKO786411:FKO786412 FUK786411:FUK786412 GEG786411:GEG786412 GOC786411:GOC786412 GXY786411:GXY786412 HHU786411:HHU786412 HRQ786411:HRQ786412 IBM786411:IBM786412 ILI786411:ILI786412 IVE786411:IVE786412 JFA786411:JFA786412 JOW786411:JOW786412 JYS786411:JYS786412 KIO786411:KIO786412 KSK786411:KSK786412 LCG786411:LCG786412 LMC786411:LMC786412 LVY786411:LVY786412 MFU786411:MFU786412 MPQ786411:MPQ786412 MZM786411:MZM786412 NJI786411:NJI786412 NTE786411:NTE786412 ODA786411:ODA786412 OMW786411:OMW786412 OWS786411:OWS786412 PGO786411:PGO786412 PQK786411:PQK786412 QAG786411:QAG786412 QKC786411:QKC786412 QTY786411:QTY786412 RDU786411:RDU786412 RNQ786411:RNQ786412 RXM786411:RXM786412 SHI786411:SHI786412 SRE786411:SRE786412 TBA786411:TBA786412 TKW786411:TKW786412 TUS786411:TUS786412 UEO786411:UEO786412 UOK786411:UOK786412 UYG786411:UYG786412 VIC786411:VIC786412 VRY786411:VRY786412 WBU786411:WBU786412 WLQ786411:WLQ786412 WVM786411:WVM786412 ACS12:ACS13 JA851947:JA851948 SW851947:SW851948 ACS851947:ACS851948 AMO851947:AMO851948 AWK851947:AWK851948 BGG851947:BGG851948 BQC851947:BQC851948 BZY851947:BZY851948 CJU851947:CJU851948 CTQ851947:CTQ851948 DDM851947:DDM851948 DNI851947:DNI851948 DXE851947:DXE851948 EHA851947:EHA851948 EQW851947:EQW851948 FAS851947:FAS851948 FKO851947:FKO851948 FUK851947:FUK851948 GEG851947:GEG851948 GOC851947:GOC851948 GXY851947:GXY851948 HHU851947:HHU851948 HRQ851947:HRQ851948 IBM851947:IBM851948 ILI851947:ILI851948 IVE851947:IVE851948 JFA851947:JFA851948 JOW851947:JOW851948 JYS851947:JYS851948 KIO851947:KIO851948 KSK851947:KSK851948 LCG851947:LCG851948 LMC851947:LMC851948 LVY851947:LVY851948 MFU851947:MFU851948 MPQ851947:MPQ851948 MZM851947:MZM851948 NJI851947:NJI851948 NTE851947:NTE851948 ODA851947:ODA851948 OMW851947:OMW851948 OWS851947:OWS851948 PGO851947:PGO851948 PQK851947:PQK851948 QAG851947:QAG851948 QKC851947:QKC851948 QTY851947:QTY851948 RDU851947:RDU851948 RNQ851947:RNQ851948 RXM851947:RXM851948 SHI851947:SHI851948 SRE851947:SRE851948 TBA851947:TBA851948 TKW851947:TKW851948 TUS851947:TUS851948 UEO851947:UEO851948 UOK851947:UOK851948 UYG851947:UYG851948 VIC851947:VIC851948 VRY851947:VRY851948 WBU851947:WBU851948 WLQ851947:WLQ851948 WVM851947:WVM851948 SW12:SW13 JA917483:JA917484 SW917483:SW917484 ACS917483:ACS917484 AMO917483:AMO917484 AWK917483:AWK917484 BGG917483:BGG917484 BQC917483:BQC917484 BZY917483:BZY917484 CJU917483:CJU917484 CTQ917483:CTQ917484 DDM917483:DDM917484 DNI917483:DNI917484 DXE917483:DXE917484 EHA917483:EHA917484 EQW917483:EQW917484 FAS917483:FAS917484 FKO917483:FKO917484 FUK917483:FUK917484 GEG917483:GEG917484 GOC917483:GOC917484 GXY917483:GXY917484 HHU917483:HHU917484 HRQ917483:HRQ917484 IBM917483:IBM917484 ILI917483:ILI917484 IVE917483:IVE917484 JFA917483:JFA917484 JOW917483:JOW917484 JYS917483:JYS917484 KIO917483:KIO917484 KSK917483:KSK917484 LCG917483:LCG917484 LMC917483:LMC917484 LVY917483:LVY917484 MFU917483:MFU917484 MPQ917483:MPQ917484 MZM917483:MZM917484 NJI917483:NJI917484 NTE917483:NTE917484 ODA917483:ODA917484 OMW917483:OMW917484 OWS917483:OWS917484 PGO917483:PGO917484 PQK917483:PQK917484 QAG917483:QAG917484 QKC917483:QKC917484 QTY917483:QTY917484 RDU917483:RDU917484 RNQ917483:RNQ917484 RXM917483:RXM917484 SHI917483:SHI917484 SRE917483:SRE917484 TBA917483:TBA917484 TKW917483:TKW917484 TUS917483:TUS917484 UEO917483:UEO917484 UOK917483:UOK917484 UYG917483:UYG917484 VIC917483:VIC917484 VRY917483:VRY917484 WBU917483:WBU917484 WLQ917483:WLQ917484 WVM917483:WVM917484 JA12:JA13 JA983019:JA983020 SW983019:SW983020 ACS983019:ACS983020 AMO983019:AMO983020 AWK983019:AWK983020 BGG983019:BGG983020 BQC983019:BQC983020 BZY983019:BZY983020 CJU983019:CJU983020 CTQ983019:CTQ983020 DDM983019:DDM983020 DNI983019:DNI983020 DXE983019:DXE983020 EHA983019:EHA983020 EQW983019:EQW983020 FAS983019:FAS983020 FKO983019:FKO983020 FUK983019:FUK983020 GEG983019:GEG983020 GOC983019:GOC983020 GXY983019:GXY983020 HHU983019:HHU983020 HRQ983019:HRQ983020 IBM983019:IBM983020 ILI983019:ILI983020 IVE983019:IVE983020 JFA983019:JFA983020 JOW983019:JOW983020 JYS983019:JYS983020 KIO983019:KIO983020 KSK983019:KSK983020 LCG983019:LCG983020 LMC983019:LMC983020 LVY983019:LVY983020 MFU983019:MFU983020 MPQ983019:MPQ983020 MZM983019:MZM983020 NJI983019:NJI983020 NTE983019:NTE983020 ODA983019:ODA983020 OMW983019:OMW983020 OWS983019:OWS983020 PGO983019:PGO983020 PQK983019:PQK983020 QAG983019:QAG983020 QKC983019:QKC983020 QTY983019:QTY983020 RDU983019:RDU983020 WVM23:WVM28 WLQ23:WLQ28 WBU23:WBU28 VRY23:VRY28 VIC23:VIC28 UYG23:UYG28 UOK23:UOK28 UEO23:UEO28 TUS23:TUS28 TKW23:TKW28 TBA23:TBA28 SRE23:SRE28 SHI23:SHI28 RXM23:RXM28 RNQ23:RNQ28 RDU23:RDU28 QTY23:QTY28 QKC23:QKC28 QAG23:QAG28 PQK23:PQK28 PGO23:PGO28 OWS23:OWS28 OMW23:OMW28 ODA23:ODA28 NTE23:NTE28 NJI23:NJI28 MZM23:MZM28 MPQ23:MPQ28 MFU23:MFU28 LVY23:LVY28 LMC23:LMC28 LCG23:LCG28 KSK23:KSK28 KIO23:KIO28 JYS23:JYS28 JOW23:JOW28 JFA23:JFA28 IVE23:IVE28 ILI23:ILI28 IBM23:IBM28 HRQ23:HRQ28 HHU23:HHU28 GXY23:GXY28 GOC23:GOC28 GEG23:GEG28 FUK23:FUK28 FKO23:FKO28 FAS23:FAS28 EQW23:EQW28 EHA23:EHA28 DXE23:DXE28 DNI23:DNI28 DDM23:DDM28 CTQ23:CTQ28 CJU23:CJU28 BZY23:BZY28 BQC23:BQC28 BGG23:BGG28 AWK23:AWK28 AMO23:AMO28 ACS23:ACS28 SW23:SW28 JA23:JA28">
      <formula1>"N/A"</formula1>
    </dataValidation>
  </dataValidations>
  <pageMargins left="0.37" right="0.35" top="0.39" bottom="0.32" header="0.3" footer="0.2"/>
  <pageSetup scale="7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"Yes, No"</xm:f>
          </x14:formula1>
          <xm:sqref>D4:D10 IZ4:IZ10 SV4:SV10 ACR4:ACR10 AMN4:AMN10 AWJ4:AWJ10 BGF4:BGF10 BQB4:BQB10 BZX4:BZX10 CJT4:CJT10 CTP4:CTP10 DDL4:DDL10 DNH4:DNH10 DXD4:DXD10 EGZ4:EGZ10 EQV4:EQV10 FAR4:FAR10 FKN4:FKN10 FUJ4:FUJ10 GEF4:GEF10 GOB4:GOB10 GXX4:GXX10 HHT4:HHT10 HRP4:HRP10 IBL4:IBL10 ILH4:ILH10 IVD4:IVD10 JEZ4:JEZ10 JOV4:JOV10 JYR4:JYR10 KIN4:KIN10 KSJ4:KSJ10 LCF4:LCF10 LMB4:LMB10 LVX4:LVX10 MFT4:MFT10 MPP4:MPP10 MZL4:MZL10 NJH4:NJH10 NTD4:NTD10 OCZ4:OCZ10 OMV4:OMV10 OWR4:OWR10 PGN4:PGN10 PQJ4:PQJ10 QAF4:QAF10 QKB4:QKB10 QTX4:QTX10 RDT4:RDT10 RNP4:RNP10 RXL4:RXL10 SHH4:SHH10 SRD4:SRD10 TAZ4:TAZ10 TKV4:TKV10 TUR4:TUR10 UEN4:UEN10 UOJ4:UOJ10 UYF4:UYF10 VIB4:VIB10 VRX4:VRX10 WBT4:WBT10 WLP4:WLP10 WVL4:WVL10 D65515:D65516 IZ65515:IZ65516 SV65515:SV65516 ACR65515:ACR65516 AMN65515:AMN65516 AWJ65515:AWJ65516 BGF65515:BGF65516 BQB65515:BQB65516 BZX65515:BZX65516 CJT65515:CJT65516 CTP65515:CTP65516 DDL65515:DDL65516 DNH65515:DNH65516 DXD65515:DXD65516 EGZ65515:EGZ65516 EQV65515:EQV65516 FAR65515:FAR65516 FKN65515:FKN65516 FUJ65515:FUJ65516 GEF65515:GEF65516 GOB65515:GOB65516 GXX65515:GXX65516 HHT65515:HHT65516 HRP65515:HRP65516 IBL65515:IBL65516 ILH65515:ILH65516 IVD65515:IVD65516 JEZ65515:JEZ65516 JOV65515:JOV65516 JYR65515:JYR65516 KIN65515:KIN65516 KSJ65515:KSJ65516 LCF65515:LCF65516 LMB65515:LMB65516 LVX65515:LVX65516 MFT65515:MFT65516 MPP65515:MPP65516 MZL65515:MZL65516 NJH65515:NJH65516 NTD65515:NTD65516 OCZ65515:OCZ65516 OMV65515:OMV65516 OWR65515:OWR65516 PGN65515:PGN65516 PQJ65515:PQJ65516 QAF65515:QAF65516 QKB65515:QKB65516 QTX65515:QTX65516 RDT65515:RDT65516 RNP65515:RNP65516 RXL65515:RXL65516 SHH65515:SHH65516 SRD65515:SRD65516 TAZ65515:TAZ65516 TKV65515:TKV65516 TUR65515:TUR65516 UEN65515:UEN65516 UOJ65515:UOJ65516 UYF65515:UYF65516 VIB65515:VIB65516 VRX65515:VRX65516 WBT65515:WBT65516 WLP65515:WLP65516 WVL65515:WVL65516 D131051:D131052 IZ131051:IZ131052 SV131051:SV131052 ACR131051:ACR131052 AMN131051:AMN131052 AWJ131051:AWJ131052 BGF131051:BGF131052 BQB131051:BQB131052 BZX131051:BZX131052 CJT131051:CJT131052 CTP131051:CTP131052 DDL131051:DDL131052 DNH131051:DNH131052 DXD131051:DXD131052 EGZ131051:EGZ131052 EQV131051:EQV131052 FAR131051:FAR131052 FKN131051:FKN131052 FUJ131051:FUJ131052 GEF131051:GEF131052 GOB131051:GOB131052 GXX131051:GXX131052 HHT131051:HHT131052 HRP131051:HRP131052 IBL131051:IBL131052 ILH131051:ILH131052 IVD131051:IVD131052 JEZ131051:JEZ131052 JOV131051:JOV131052 JYR131051:JYR131052 KIN131051:KIN131052 KSJ131051:KSJ131052 LCF131051:LCF131052 LMB131051:LMB131052 LVX131051:LVX131052 MFT131051:MFT131052 MPP131051:MPP131052 MZL131051:MZL131052 NJH131051:NJH131052 NTD131051:NTD131052 OCZ131051:OCZ131052 OMV131051:OMV131052 OWR131051:OWR131052 PGN131051:PGN131052 PQJ131051:PQJ131052 QAF131051:QAF131052 QKB131051:QKB131052 QTX131051:QTX131052 RDT131051:RDT131052 RNP131051:RNP131052 RXL131051:RXL131052 SHH131051:SHH131052 SRD131051:SRD131052 TAZ131051:TAZ131052 TKV131051:TKV131052 TUR131051:TUR131052 UEN131051:UEN131052 UOJ131051:UOJ131052 UYF131051:UYF131052 VIB131051:VIB131052 VRX131051:VRX131052 WBT131051:WBT131052 WLP131051:WLP131052 WVL131051:WVL131052 D196587:D196588 IZ196587:IZ196588 SV196587:SV196588 ACR196587:ACR196588 AMN196587:AMN196588 AWJ196587:AWJ196588 BGF196587:BGF196588 BQB196587:BQB196588 BZX196587:BZX196588 CJT196587:CJT196588 CTP196587:CTP196588 DDL196587:DDL196588 DNH196587:DNH196588 DXD196587:DXD196588 EGZ196587:EGZ196588 EQV196587:EQV196588 FAR196587:FAR196588 FKN196587:FKN196588 FUJ196587:FUJ196588 GEF196587:GEF196588 GOB196587:GOB196588 GXX196587:GXX196588 HHT196587:HHT196588 HRP196587:HRP196588 IBL196587:IBL196588 ILH196587:ILH196588 IVD196587:IVD196588 JEZ196587:JEZ196588 JOV196587:JOV196588 JYR196587:JYR196588 KIN196587:KIN196588 KSJ196587:KSJ196588 LCF196587:LCF196588 LMB196587:LMB196588 LVX196587:LVX196588 MFT196587:MFT196588 MPP196587:MPP196588 MZL196587:MZL196588 NJH196587:NJH196588 NTD196587:NTD196588 OCZ196587:OCZ196588 OMV196587:OMV196588 OWR196587:OWR196588 PGN196587:PGN196588 PQJ196587:PQJ196588 QAF196587:QAF196588 QKB196587:QKB196588 QTX196587:QTX196588 RDT196587:RDT196588 RNP196587:RNP196588 RXL196587:RXL196588 SHH196587:SHH196588 SRD196587:SRD196588 TAZ196587:TAZ196588 TKV196587:TKV196588 TUR196587:TUR196588 UEN196587:UEN196588 UOJ196587:UOJ196588 UYF196587:UYF196588 VIB196587:VIB196588 VRX196587:VRX196588 WBT196587:WBT196588 WLP196587:WLP196588 WVL196587:WVL196588 D262123:D262124 IZ262123:IZ262124 SV262123:SV262124 ACR262123:ACR262124 AMN262123:AMN262124 AWJ262123:AWJ262124 BGF262123:BGF262124 BQB262123:BQB262124 BZX262123:BZX262124 CJT262123:CJT262124 CTP262123:CTP262124 DDL262123:DDL262124 DNH262123:DNH262124 DXD262123:DXD262124 EGZ262123:EGZ262124 EQV262123:EQV262124 FAR262123:FAR262124 FKN262123:FKN262124 FUJ262123:FUJ262124 GEF262123:GEF262124 GOB262123:GOB262124 GXX262123:GXX262124 HHT262123:HHT262124 HRP262123:HRP262124 IBL262123:IBL262124 ILH262123:ILH262124 IVD262123:IVD262124 JEZ262123:JEZ262124 JOV262123:JOV262124 JYR262123:JYR262124 KIN262123:KIN262124 KSJ262123:KSJ262124 LCF262123:LCF262124 LMB262123:LMB262124 LVX262123:LVX262124 MFT262123:MFT262124 MPP262123:MPP262124 MZL262123:MZL262124 NJH262123:NJH262124 NTD262123:NTD262124 OCZ262123:OCZ262124 OMV262123:OMV262124 OWR262123:OWR262124 PGN262123:PGN262124 PQJ262123:PQJ262124 QAF262123:QAF262124 QKB262123:QKB262124 QTX262123:QTX262124 RDT262123:RDT262124 RNP262123:RNP262124 RXL262123:RXL262124 SHH262123:SHH262124 SRD262123:SRD262124 TAZ262123:TAZ262124 TKV262123:TKV262124 TUR262123:TUR262124 UEN262123:UEN262124 UOJ262123:UOJ262124 UYF262123:UYF262124 VIB262123:VIB262124 VRX262123:VRX262124 WBT262123:WBT262124 WLP262123:WLP262124 WVL262123:WVL262124 D327659:D327660 IZ327659:IZ327660 SV327659:SV327660 ACR327659:ACR327660 AMN327659:AMN327660 AWJ327659:AWJ327660 BGF327659:BGF327660 BQB327659:BQB327660 BZX327659:BZX327660 CJT327659:CJT327660 CTP327659:CTP327660 DDL327659:DDL327660 DNH327659:DNH327660 DXD327659:DXD327660 EGZ327659:EGZ327660 EQV327659:EQV327660 FAR327659:FAR327660 FKN327659:FKN327660 FUJ327659:FUJ327660 GEF327659:GEF327660 GOB327659:GOB327660 GXX327659:GXX327660 HHT327659:HHT327660 HRP327659:HRP327660 IBL327659:IBL327660 ILH327659:ILH327660 IVD327659:IVD327660 JEZ327659:JEZ327660 JOV327659:JOV327660 JYR327659:JYR327660 KIN327659:KIN327660 KSJ327659:KSJ327660 LCF327659:LCF327660 LMB327659:LMB327660 LVX327659:LVX327660 MFT327659:MFT327660 MPP327659:MPP327660 MZL327659:MZL327660 NJH327659:NJH327660 NTD327659:NTD327660 OCZ327659:OCZ327660 OMV327659:OMV327660 OWR327659:OWR327660 PGN327659:PGN327660 PQJ327659:PQJ327660 QAF327659:QAF327660 QKB327659:QKB327660 QTX327659:QTX327660 RDT327659:RDT327660 RNP327659:RNP327660 RXL327659:RXL327660 SHH327659:SHH327660 SRD327659:SRD327660 TAZ327659:TAZ327660 TKV327659:TKV327660 TUR327659:TUR327660 UEN327659:UEN327660 UOJ327659:UOJ327660 UYF327659:UYF327660 VIB327659:VIB327660 VRX327659:VRX327660 WBT327659:WBT327660 WLP327659:WLP327660 WVL327659:WVL327660 D393195:D393196 IZ393195:IZ393196 SV393195:SV393196 ACR393195:ACR393196 AMN393195:AMN393196 AWJ393195:AWJ393196 BGF393195:BGF393196 BQB393195:BQB393196 BZX393195:BZX393196 CJT393195:CJT393196 CTP393195:CTP393196 DDL393195:DDL393196 DNH393195:DNH393196 DXD393195:DXD393196 EGZ393195:EGZ393196 EQV393195:EQV393196 FAR393195:FAR393196 FKN393195:FKN393196 FUJ393195:FUJ393196 GEF393195:GEF393196 GOB393195:GOB393196 GXX393195:GXX393196 HHT393195:HHT393196 HRP393195:HRP393196 IBL393195:IBL393196 ILH393195:ILH393196 IVD393195:IVD393196 JEZ393195:JEZ393196 JOV393195:JOV393196 JYR393195:JYR393196 KIN393195:KIN393196 KSJ393195:KSJ393196 LCF393195:LCF393196 LMB393195:LMB393196 LVX393195:LVX393196 MFT393195:MFT393196 MPP393195:MPP393196 MZL393195:MZL393196 NJH393195:NJH393196 NTD393195:NTD393196 OCZ393195:OCZ393196 OMV393195:OMV393196 OWR393195:OWR393196 PGN393195:PGN393196 PQJ393195:PQJ393196 QAF393195:QAF393196 QKB393195:QKB393196 QTX393195:QTX393196 RDT393195:RDT393196 RNP393195:RNP393196 RXL393195:RXL393196 SHH393195:SHH393196 SRD393195:SRD393196 TAZ393195:TAZ393196 TKV393195:TKV393196 TUR393195:TUR393196 UEN393195:UEN393196 UOJ393195:UOJ393196 UYF393195:UYF393196 VIB393195:VIB393196 VRX393195:VRX393196 WBT393195:WBT393196 WLP393195:WLP393196 WVL393195:WVL393196 D458731:D458732 IZ458731:IZ458732 SV458731:SV458732 ACR458731:ACR458732 AMN458731:AMN458732 AWJ458731:AWJ458732 BGF458731:BGF458732 BQB458731:BQB458732 BZX458731:BZX458732 CJT458731:CJT458732 CTP458731:CTP458732 DDL458731:DDL458732 DNH458731:DNH458732 DXD458731:DXD458732 EGZ458731:EGZ458732 EQV458731:EQV458732 FAR458731:FAR458732 FKN458731:FKN458732 FUJ458731:FUJ458732 GEF458731:GEF458732 GOB458731:GOB458732 GXX458731:GXX458732 HHT458731:HHT458732 HRP458731:HRP458732 IBL458731:IBL458732 ILH458731:ILH458732 IVD458731:IVD458732 JEZ458731:JEZ458732 JOV458731:JOV458732 JYR458731:JYR458732 KIN458731:KIN458732 KSJ458731:KSJ458732 LCF458731:LCF458732 LMB458731:LMB458732 LVX458731:LVX458732 MFT458731:MFT458732 MPP458731:MPP458732 MZL458731:MZL458732 NJH458731:NJH458732 NTD458731:NTD458732 OCZ458731:OCZ458732 OMV458731:OMV458732 OWR458731:OWR458732 PGN458731:PGN458732 PQJ458731:PQJ458732 QAF458731:QAF458732 QKB458731:QKB458732 QTX458731:QTX458732 RDT458731:RDT458732 RNP458731:RNP458732 RXL458731:RXL458732 SHH458731:SHH458732 SRD458731:SRD458732 TAZ458731:TAZ458732 TKV458731:TKV458732 TUR458731:TUR458732 UEN458731:UEN458732 UOJ458731:UOJ458732 UYF458731:UYF458732 VIB458731:VIB458732 VRX458731:VRX458732 WBT458731:WBT458732 WLP458731:WLP458732 WVL458731:WVL458732 D524267:D524268 IZ524267:IZ524268 SV524267:SV524268 ACR524267:ACR524268 AMN524267:AMN524268 AWJ524267:AWJ524268 BGF524267:BGF524268 BQB524267:BQB524268 BZX524267:BZX524268 CJT524267:CJT524268 CTP524267:CTP524268 DDL524267:DDL524268 DNH524267:DNH524268 DXD524267:DXD524268 EGZ524267:EGZ524268 EQV524267:EQV524268 FAR524267:FAR524268 FKN524267:FKN524268 FUJ524267:FUJ524268 GEF524267:GEF524268 GOB524267:GOB524268 GXX524267:GXX524268 HHT524267:HHT524268 HRP524267:HRP524268 IBL524267:IBL524268 ILH524267:ILH524268 IVD524267:IVD524268 JEZ524267:JEZ524268 JOV524267:JOV524268 JYR524267:JYR524268 KIN524267:KIN524268 KSJ524267:KSJ524268 LCF524267:LCF524268 LMB524267:LMB524268 LVX524267:LVX524268 MFT524267:MFT524268 MPP524267:MPP524268 MZL524267:MZL524268 NJH524267:NJH524268 NTD524267:NTD524268 OCZ524267:OCZ524268 OMV524267:OMV524268 OWR524267:OWR524268 PGN524267:PGN524268 PQJ524267:PQJ524268 QAF524267:QAF524268 QKB524267:QKB524268 QTX524267:QTX524268 RDT524267:RDT524268 RNP524267:RNP524268 RXL524267:RXL524268 SHH524267:SHH524268 SRD524267:SRD524268 TAZ524267:TAZ524268 TKV524267:TKV524268 TUR524267:TUR524268 UEN524267:UEN524268 UOJ524267:UOJ524268 UYF524267:UYF524268 VIB524267:VIB524268 VRX524267:VRX524268 WBT524267:WBT524268 WLP524267:WLP524268 WVL524267:WVL524268 D589803:D589804 IZ589803:IZ589804 SV589803:SV589804 ACR589803:ACR589804 AMN589803:AMN589804 AWJ589803:AWJ589804 BGF589803:BGF589804 BQB589803:BQB589804 BZX589803:BZX589804 CJT589803:CJT589804 CTP589803:CTP589804 DDL589803:DDL589804 DNH589803:DNH589804 DXD589803:DXD589804 EGZ589803:EGZ589804 EQV589803:EQV589804 FAR589803:FAR589804 FKN589803:FKN589804 FUJ589803:FUJ589804 GEF589803:GEF589804 GOB589803:GOB589804 GXX589803:GXX589804 HHT589803:HHT589804 HRP589803:HRP589804 IBL589803:IBL589804 ILH589803:ILH589804 IVD589803:IVD589804 JEZ589803:JEZ589804 JOV589803:JOV589804 JYR589803:JYR589804 KIN589803:KIN589804 KSJ589803:KSJ589804 LCF589803:LCF589804 LMB589803:LMB589804 LVX589803:LVX589804 MFT589803:MFT589804 MPP589803:MPP589804 MZL589803:MZL589804 NJH589803:NJH589804 NTD589803:NTD589804 OCZ589803:OCZ589804 OMV589803:OMV589804 OWR589803:OWR589804 PGN589803:PGN589804 PQJ589803:PQJ589804 QAF589803:QAF589804 QKB589803:QKB589804 QTX589803:QTX589804 RDT589803:RDT589804 RNP589803:RNP589804 RXL589803:RXL589804 SHH589803:SHH589804 SRD589803:SRD589804 TAZ589803:TAZ589804 TKV589803:TKV589804 TUR589803:TUR589804 UEN589803:UEN589804 UOJ589803:UOJ589804 UYF589803:UYF589804 VIB589803:VIB589804 VRX589803:VRX589804 WBT589803:WBT589804 WLP589803:WLP589804 WVL589803:WVL589804 D655339:D655340 IZ655339:IZ655340 SV655339:SV655340 ACR655339:ACR655340 AMN655339:AMN655340 AWJ655339:AWJ655340 BGF655339:BGF655340 BQB655339:BQB655340 BZX655339:BZX655340 CJT655339:CJT655340 CTP655339:CTP655340 DDL655339:DDL655340 DNH655339:DNH655340 DXD655339:DXD655340 EGZ655339:EGZ655340 EQV655339:EQV655340 FAR655339:FAR655340 FKN655339:FKN655340 FUJ655339:FUJ655340 GEF655339:GEF655340 GOB655339:GOB655340 GXX655339:GXX655340 HHT655339:HHT655340 HRP655339:HRP655340 IBL655339:IBL655340 ILH655339:ILH655340 IVD655339:IVD655340 JEZ655339:JEZ655340 JOV655339:JOV655340 JYR655339:JYR655340 KIN655339:KIN655340 KSJ655339:KSJ655340 LCF655339:LCF655340 LMB655339:LMB655340 LVX655339:LVX655340 MFT655339:MFT655340 MPP655339:MPP655340 MZL655339:MZL655340 NJH655339:NJH655340 NTD655339:NTD655340 OCZ655339:OCZ655340 OMV655339:OMV655340 OWR655339:OWR655340 PGN655339:PGN655340 PQJ655339:PQJ655340 QAF655339:QAF655340 QKB655339:QKB655340 QTX655339:QTX655340 RDT655339:RDT655340 RNP655339:RNP655340 RXL655339:RXL655340 SHH655339:SHH655340 SRD655339:SRD655340 TAZ655339:TAZ655340 TKV655339:TKV655340 TUR655339:TUR655340 UEN655339:UEN655340 UOJ655339:UOJ655340 UYF655339:UYF655340 VIB655339:VIB655340 VRX655339:VRX655340 WBT655339:WBT655340 WLP655339:WLP655340 WVL655339:WVL655340 D720875:D720876 IZ720875:IZ720876 SV720875:SV720876 ACR720875:ACR720876 AMN720875:AMN720876 AWJ720875:AWJ720876 BGF720875:BGF720876 BQB720875:BQB720876 BZX720875:BZX720876 CJT720875:CJT720876 CTP720875:CTP720876 DDL720875:DDL720876 DNH720875:DNH720876 DXD720875:DXD720876 EGZ720875:EGZ720876 EQV720875:EQV720876 FAR720875:FAR720876 FKN720875:FKN720876 FUJ720875:FUJ720876 GEF720875:GEF720876 GOB720875:GOB720876 GXX720875:GXX720876 HHT720875:HHT720876 HRP720875:HRP720876 IBL720875:IBL720876 ILH720875:ILH720876 IVD720875:IVD720876 JEZ720875:JEZ720876 JOV720875:JOV720876 JYR720875:JYR720876 KIN720875:KIN720876 KSJ720875:KSJ720876 LCF720875:LCF720876 LMB720875:LMB720876 LVX720875:LVX720876 MFT720875:MFT720876 MPP720875:MPP720876 MZL720875:MZL720876 NJH720875:NJH720876 NTD720875:NTD720876 OCZ720875:OCZ720876 OMV720875:OMV720876 OWR720875:OWR720876 PGN720875:PGN720876 PQJ720875:PQJ720876 QAF720875:QAF720876 QKB720875:QKB720876 QTX720875:QTX720876 RDT720875:RDT720876 RNP720875:RNP720876 RXL720875:RXL720876 SHH720875:SHH720876 SRD720875:SRD720876 TAZ720875:TAZ720876 TKV720875:TKV720876 TUR720875:TUR720876 UEN720875:UEN720876 UOJ720875:UOJ720876 UYF720875:UYF720876 VIB720875:VIB720876 VRX720875:VRX720876 WBT720875:WBT720876 WLP720875:WLP720876 WVL720875:WVL720876 D786411:D786412 IZ786411:IZ786412 SV786411:SV786412 ACR786411:ACR786412 AMN786411:AMN786412 AWJ786411:AWJ786412 BGF786411:BGF786412 BQB786411:BQB786412 BZX786411:BZX786412 CJT786411:CJT786412 CTP786411:CTP786412 DDL786411:DDL786412 DNH786411:DNH786412 DXD786411:DXD786412 EGZ786411:EGZ786412 EQV786411:EQV786412 FAR786411:FAR786412 FKN786411:FKN786412 FUJ786411:FUJ786412 GEF786411:GEF786412 GOB786411:GOB786412 GXX786411:GXX786412 HHT786411:HHT786412 HRP786411:HRP786412 IBL786411:IBL786412 ILH786411:ILH786412 IVD786411:IVD786412 JEZ786411:JEZ786412 JOV786411:JOV786412 JYR786411:JYR786412 KIN786411:KIN786412 KSJ786411:KSJ786412 LCF786411:LCF786412 LMB786411:LMB786412 LVX786411:LVX786412 MFT786411:MFT786412 MPP786411:MPP786412 MZL786411:MZL786412 NJH786411:NJH786412 NTD786411:NTD786412 OCZ786411:OCZ786412 OMV786411:OMV786412 OWR786411:OWR786412 PGN786411:PGN786412 PQJ786411:PQJ786412 QAF786411:QAF786412 QKB786411:QKB786412 QTX786411:QTX786412 RDT786411:RDT786412 RNP786411:RNP786412 RXL786411:RXL786412 SHH786411:SHH786412 SRD786411:SRD786412 TAZ786411:TAZ786412 TKV786411:TKV786412 TUR786411:TUR786412 UEN786411:UEN786412 UOJ786411:UOJ786412 UYF786411:UYF786412 VIB786411:VIB786412 VRX786411:VRX786412 WBT786411:WBT786412 WLP786411:WLP786412 WVL786411:WVL786412 D851947:D851948 IZ851947:IZ851948 SV851947:SV851948 ACR851947:ACR851948 AMN851947:AMN851948 AWJ851947:AWJ851948 BGF851947:BGF851948 BQB851947:BQB851948 BZX851947:BZX851948 CJT851947:CJT851948 CTP851947:CTP851948 DDL851947:DDL851948 DNH851947:DNH851948 DXD851947:DXD851948 EGZ851947:EGZ851948 EQV851947:EQV851948 FAR851947:FAR851948 FKN851947:FKN851948 FUJ851947:FUJ851948 GEF851947:GEF851948 GOB851947:GOB851948 GXX851947:GXX851948 HHT851947:HHT851948 HRP851947:HRP851948 IBL851947:IBL851948 ILH851947:ILH851948 IVD851947:IVD851948 JEZ851947:JEZ851948 JOV851947:JOV851948 JYR851947:JYR851948 KIN851947:KIN851948 KSJ851947:KSJ851948 LCF851947:LCF851948 LMB851947:LMB851948 LVX851947:LVX851948 MFT851947:MFT851948 MPP851947:MPP851948 MZL851947:MZL851948 NJH851947:NJH851948 NTD851947:NTD851948 OCZ851947:OCZ851948 OMV851947:OMV851948 OWR851947:OWR851948 PGN851947:PGN851948 PQJ851947:PQJ851948 QAF851947:QAF851948 QKB851947:QKB851948 QTX851947:QTX851948 RDT851947:RDT851948 RNP851947:RNP851948 RXL851947:RXL851948 SHH851947:SHH851948 SRD851947:SRD851948 TAZ851947:TAZ851948 TKV851947:TKV851948 TUR851947:TUR851948 UEN851947:UEN851948 UOJ851947:UOJ851948 UYF851947:UYF851948 VIB851947:VIB851948 VRX851947:VRX851948 WBT851947:WBT851948 WLP851947:WLP851948 WVL851947:WVL851948 D917483:D917484 IZ917483:IZ917484 SV917483:SV917484 ACR917483:ACR917484 AMN917483:AMN917484 AWJ917483:AWJ917484 BGF917483:BGF917484 BQB917483:BQB917484 BZX917483:BZX917484 CJT917483:CJT917484 CTP917483:CTP917484 DDL917483:DDL917484 DNH917483:DNH917484 DXD917483:DXD917484 EGZ917483:EGZ917484 EQV917483:EQV917484 FAR917483:FAR917484 FKN917483:FKN917484 FUJ917483:FUJ917484 GEF917483:GEF917484 GOB917483:GOB917484 GXX917483:GXX917484 HHT917483:HHT917484 HRP917483:HRP917484 IBL917483:IBL917484 ILH917483:ILH917484 IVD917483:IVD917484 JEZ917483:JEZ917484 JOV917483:JOV917484 JYR917483:JYR917484 KIN917483:KIN917484 KSJ917483:KSJ917484 LCF917483:LCF917484 LMB917483:LMB917484 LVX917483:LVX917484 MFT917483:MFT917484 MPP917483:MPP917484 MZL917483:MZL917484 NJH917483:NJH917484 NTD917483:NTD917484 OCZ917483:OCZ917484 OMV917483:OMV917484 OWR917483:OWR917484 PGN917483:PGN917484 PQJ917483:PQJ917484 QAF917483:QAF917484 QKB917483:QKB917484 QTX917483:QTX917484 RDT917483:RDT917484 RNP917483:RNP917484 RXL917483:RXL917484 SHH917483:SHH917484 SRD917483:SRD917484 TAZ917483:TAZ917484 TKV917483:TKV917484 TUR917483:TUR917484 UEN917483:UEN917484 UOJ917483:UOJ917484 UYF917483:UYF917484 VIB917483:VIB917484 VRX917483:VRX917484 WBT917483:WBT917484 WLP917483:WLP917484 WVL917483:WVL917484 D983019:D983020 IZ983019:IZ983020 SV983019:SV983020 ACR983019:ACR983020 AMN983019:AMN983020 AWJ983019:AWJ983020 BGF983019:BGF983020 BQB983019:BQB983020 BZX983019:BZX983020 CJT983019:CJT983020 CTP983019:CTP983020 DDL983019:DDL983020 DNH983019:DNH983020 DXD983019:DXD983020 EGZ983019:EGZ983020 EQV983019:EQV983020 FAR983019:FAR983020 FKN983019:FKN983020 FUJ983019:FUJ983020 GEF983019:GEF983020 GOB983019:GOB983020 GXX983019:GXX983020 HHT983019:HHT983020 HRP983019:HRP983020 IBL983019:IBL983020 ILH983019:ILH983020 IVD983019:IVD983020 JEZ983019:JEZ983020 JOV983019:JOV983020 JYR983019:JYR983020 KIN983019:KIN983020 KSJ983019:KSJ983020 LCF983019:LCF983020 LMB983019:LMB983020 LVX983019:LVX983020 MFT983019:MFT983020 MPP983019:MPP983020 MZL983019:MZL983020 NJH983019:NJH983020 NTD983019:NTD983020 OCZ983019:OCZ983020 OMV983019:OMV983020 OWR983019:OWR983020 PGN983019:PGN983020 PQJ983019:PQJ983020 QAF983019:QAF983020 QKB983019:QKB983020 QTX983019:QTX983020 RDT983019:RDT983020 RNP983019:RNP983020 RXL983019:RXL983020 SHH983019:SHH983020 SRD983019:SRD983020 TAZ983019:TAZ983020 TKV983019:TKV983020 TUR983019:TUR983020 UEN983019:UEN983020 UOJ983019:UOJ983020 UYF983019:UYF983020 VIB983019:VIB983020 VRX983019:VRX983020 WBT983019:WBT983020 WLP983019:WLP983020 WVL983019:WVL983020 C12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C65518 IY65518 SU65518 ACQ65518 AMM65518 AWI65518 BGE65518 BQA65518 BZW65518 CJS65518 CTO65518 DDK65518 DNG65518 DXC65518 EGY65518 EQU65518 FAQ65518 FKM65518 FUI65518 GEE65518 GOA65518 GXW65518 HHS65518 HRO65518 IBK65518 ILG65518 IVC65518 JEY65518 JOU65518 JYQ65518 KIM65518 KSI65518 LCE65518 LMA65518 LVW65518 MFS65518 MPO65518 MZK65518 NJG65518 NTC65518 OCY65518 OMU65518 OWQ65518 PGM65518 PQI65518 QAE65518 QKA65518 QTW65518 RDS65518 RNO65518 RXK65518 SHG65518 SRC65518 TAY65518 TKU65518 TUQ65518 UEM65518 UOI65518 UYE65518 VIA65518 VRW65518 WBS65518 WLO65518 WVK65518 C131054 IY131054 SU131054 ACQ131054 AMM131054 AWI131054 BGE131054 BQA131054 BZW131054 CJS131054 CTO131054 DDK131054 DNG131054 DXC131054 EGY131054 EQU131054 FAQ131054 FKM131054 FUI131054 GEE131054 GOA131054 GXW131054 HHS131054 HRO131054 IBK131054 ILG131054 IVC131054 JEY131054 JOU131054 JYQ131054 KIM131054 KSI131054 LCE131054 LMA131054 LVW131054 MFS131054 MPO131054 MZK131054 NJG131054 NTC131054 OCY131054 OMU131054 OWQ131054 PGM131054 PQI131054 QAE131054 QKA131054 QTW131054 RDS131054 RNO131054 RXK131054 SHG131054 SRC131054 TAY131054 TKU131054 TUQ131054 UEM131054 UOI131054 UYE131054 VIA131054 VRW131054 WBS131054 WLO131054 WVK131054 C196590 IY196590 SU196590 ACQ196590 AMM196590 AWI196590 BGE196590 BQA196590 BZW196590 CJS196590 CTO196590 DDK196590 DNG196590 DXC196590 EGY196590 EQU196590 FAQ196590 FKM196590 FUI196590 GEE196590 GOA196590 GXW196590 HHS196590 HRO196590 IBK196590 ILG196590 IVC196590 JEY196590 JOU196590 JYQ196590 KIM196590 KSI196590 LCE196590 LMA196590 LVW196590 MFS196590 MPO196590 MZK196590 NJG196590 NTC196590 OCY196590 OMU196590 OWQ196590 PGM196590 PQI196590 QAE196590 QKA196590 QTW196590 RDS196590 RNO196590 RXK196590 SHG196590 SRC196590 TAY196590 TKU196590 TUQ196590 UEM196590 UOI196590 UYE196590 VIA196590 VRW196590 WBS196590 WLO196590 WVK196590 C262126 IY262126 SU262126 ACQ262126 AMM262126 AWI262126 BGE262126 BQA262126 BZW262126 CJS262126 CTO262126 DDK262126 DNG262126 DXC262126 EGY262126 EQU262126 FAQ262126 FKM262126 FUI262126 GEE262126 GOA262126 GXW262126 HHS262126 HRO262126 IBK262126 ILG262126 IVC262126 JEY262126 JOU262126 JYQ262126 KIM262126 KSI262126 LCE262126 LMA262126 LVW262126 MFS262126 MPO262126 MZK262126 NJG262126 NTC262126 OCY262126 OMU262126 OWQ262126 PGM262126 PQI262126 QAE262126 QKA262126 QTW262126 RDS262126 RNO262126 RXK262126 SHG262126 SRC262126 TAY262126 TKU262126 TUQ262126 UEM262126 UOI262126 UYE262126 VIA262126 VRW262126 WBS262126 WLO262126 WVK262126 C327662 IY327662 SU327662 ACQ327662 AMM327662 AWI327662 BGE327662 BQA327662 BZW327662 CJS327662 CTO327662 DDK327662 DNG327662 DXC327662 EGY327662 EQU327662 FAQ327662 FKM327662 FUI327662 GEE327662 GOA327662 GXW327662 HHS327662 HRO327662 IBK327662 ILG327662 IVC327662 JEY327662 JOU327662 JYQ327662 KIM327662 KSI327662 LCE327662 LMA327662 LVW327662 MFS327662 MPO327662 MZK327662 NJG327662 NTC327662 OCY327662 OMU327662 OWQ327662 PGM327662 PQI327662 QAE327662 QKA327662 QTW327662 RDS327662 RNO327662 RXK327662 SHG327662 SRC327662 TAY327662 TKU327662 TUQ327662 UEM327662 UOI327662 UYE327662 VIA327662 VRW327662 WBS327662 WLO327662 WVK327662 C393198 IY393198 SU393198 ACQ393198 AMM393198 AWI393198 BGE393198 BQA393198 BZW393198 CJS393198 CTO393198 DDK393198 DNG393198 DXC393198 EGY393198 EQU393198 FAQ393198 FKM393198 FUI393198 GEE393198 GOA393198 GXW393198 HHS393198 HRO393198 IBK393198 ILG393198 IVC393198 JEY393198 JOU393198 JYQ393198 KIM393198 KSI393198 LCE393198 LMA393198 LVW393198 MFS393198 MPO393198 MZK393198 NJG393198 NTC393198 OCY393198 OMU393198 OWQ393198 PGM393198 PQI393198 QAE393198 QKA393198 QTW393198 RDS393198 RNO393198 RXK393198 SHG393198 SRC393198 TAY393198 TKU393198 TUQ393198 UEM393198 UOI393198 UYE393198 VIA393198 VRW393198 WBS393198 WLO393198 WVK393198 C458734 IY458734 SU458734 ACQ458734 AMM458734 AWI458734 BGE458734 BQA458734 BZW458734 CJS458734 CTO458734 DDK458734 DNG458734 DXC458734 EGY458734 EQU458734 FAQ458734 FKM458734 FUI458734 GEE458734 GOA458734 GXW458734 HHS458734 HRO458734 IBK458734 ILG458734 IVC458734 JEY458734 JOU458734 JYQ458734 KIM458734 KSI458734 LCE458734 LMA458734 LVW458734 MFS458734 MPO458734 MZK458734 NJG458734 NTC458734 OCY458734 OMU458734 OWQ458734 PGM458734 PQI458734 QAE458734 QKA458734 QTW458734 RDS458734 RNO458734 RXK458734 SHG458734 SRC458734 TAY458734 TKU458734 TUQ458734 UEM458734 UOI458734 UYE458734 VIA458734 VRW458734 WBS458734 WLO458734 WVK458734 C524270 IY524270 SU524270 ACQ524270 AMM524270 AWI524270 BGE524270 BQA524270 BZW524270 CJS524270 CTO524270 DDK524270 DNG524270 DXC524270 EGY524270 EQU524270 FAQ524270 FKM524270 FUI524270 GEE524270 GOA524270 GXW524270 HHS524270 HRO524270 IBK524270 ILG524270 IVC524270 JEY524270 JOU524270 JYQ524270 KIM524270 KSI524270 LCE524270 LMA524270 LVW524270 MFS524270 MPO524270 MZK524270 NJG524270 NTC524270 OCY524270 OMU524270 OWQ524270 PGM524270 PQI524270 QAE524270 QKA524270 QTW524270 RDS524270 RNO524270 RXK524270 SHG524270 SRC524270 TAY524270 TKU524270 TUQ524270 UEM524270 UOI524270 UYE524270 VIA524270 VRW524270 WBS524270 WLO524270 WVK524270 C589806 IY589806 SU589806 ACQ589806 AMM589806 AWI589806 BGE589806 BQA589806 BZW589806 CJS589806 CTO589806 DDK589806 DNG589806 DXC589806 EGY589806 EQU589806 FAQ589806 FKM589806 FUI589806 GEE589806 GOA589806 GXW589806 HHS589806 HRO589806 IBK589806 ILG589806 IVC589806 JEY589806 JOU589806 JYQ589806 KIM589806 KSI589806 LCE589806 LMA589806 LVW589806 MFS589806 MPO589806 MZK589806 NJG589806 NTC589806 OCY589806 OMU589806 OWQ589806 PGM589806 PQI589806 QAE589806 QKA589806 QTW589806 RDS589806 RNO589806 RXK589806 SHG589806 SRC589806 TAY589806 TKU589806 TUQ589806 UEM589806 UOI589806 UYE589806 VIA589806 VRW589806 WBS589806 WLO589806 WVK589806 C655342 IY655342 SU655342 ACQ655342 AMM655342 AWI655342 BGE655342 BQA655342 BZW655342 CJS655342 CTO655342 DDK655342 DNG655342 DXC655342 EGY655342 EQU655342 FAQ655342 FKM655342 FUI655342 GEE655342 GOA655342 GXW655342 HHS655342 HRO655342 IBK655342 ILG655342 IVC655342 JEY655342 JOU655342 JYQ655342 KIM655342 KSI655342 LCE655342 LMA655342 LVW655342 MFS655342 MPO655342 MZK655342 NJG655342 NTC655342 OCY655342 OMU655342 OWQ655342 PGM655342 PQI655342 QAE655342 QKA655342 QTW655342 RDS655342 RNO655342 RXK655342 SHG655342 SRC655342 TAY655342 TKU655342 TUQ655342 UEM655342 UOI655342 UYE655342 VIA655342 VRW655342 WBS655342 WLO655342 WVK655342 C720878 IY720878 SU720878 ACQ720878 AMM720878 AWI720878 BGE720878 BQA720878 BZW720878 CJS720878 CTO720878 DDK720878 DNG720878 DXC720878 EGY720878 EQU720878 FAQ720878 FKM720878 FUI720878 GEE720878 GOA720878 GXW720878 HHS720878 HRO720878 IBK720878 ILG720878 IVC720878 JEY720878 JOU720878 JYQ720878 KIM720878 KSI720878 LCE720878 LMA720878 LVW720878 MFS720878 MPO720878 MZK720878 NJG720878 NTC720878 OCY720878 OMU720878 OWQ720878 PGM720878 PQI720878 QAE720878 QKA720878 QTW720878 RDS720878 RNO720878 RXK720878 SHG720878 SRC720878 TAY720878 TKU720878 TUQ720878 UEM720878 UOI720878 UYE720878 VIA720878 VRW720878 WBS720878 WLO720878 WVK720878 C786414 IY786414 SU786414 ACQ786414 AMM786414 AWI786414 BGE786414 BQA786414 BZW786414 CJS786414 CTO786414 DDK786414 DNG786414 DXC786414 EGY786414 EQU786414 FAQ786414 FKM786414 FUI786414 GEE786414 GOA786414 GXW786414 HHS786414 HRO786414 IBK786414 ILG786414 IVC786414 JEY786414 JOU786414 JYQ786414 KIM786414 KSI786414 LCE786414 LMA786414 LVW786414 MFS786414 MPO786414 MZK786414 NJG786414 NTC786414 OCY786414 OMU786414 OWQ786414 PGM786414 PQI786414 QAE786414 QKA786414 QTW786414 RDS786414 RNO786414 RXK786414 SHG786414 SRC786414 TAY786414 TKU786414 TUQ786414 UEM786414 UOI786414 UYE786414 VIA786414 VRW786414 WBS786414 WLO786414 WVK786414 C851950 IY851950 SU851950 ACQ851950 AMM851950 AWI851950 BGE851950 BQA851950 BZW851950 CJS851950 CTO851950 DDK851950 DNG851950 DXC851950 EGY851950 EQU851950 FAQ851950 FKM851950 FUI851950 GEE851950 GOA851950 GXW851950 HHS851950 HRO851950 IBK851950 ILG851950 IVC851950 JEY851950 JOU851950 JYQ851950 KIM851950 KSI851950 LCE851950 LMA851950 LVW851950 MFS851950 MPO851950 MZK851950 NJG851950 NTC851950 OCY851950 OMU851950 OWQ851950 PGM851950 PQI851950 QAE851950 QKA851950 QTW851950 RDS851950 RNO851950 RXK851950 SHG851950 SRC851950 TAY851950 TKU851950 TUQ851950 UEM851950 UOI851950 UYE851950 VIA851950 VRW851950 WBS851950 WLO851950 WVK851950 C917486 IY917486 SU917486 ACQ917486 AMM917486 AWI917486 BGE917486 BQA917486 BZW917486 CJS917486 CTO917486 DDK917486 DNG917486 DXC917486 EGY917486 EQU917486 FAQ917486 FKM917486 FUI917486 GEE917486 GOA917486 GXW917486 HHS917486 HRO917486 IBK917486 ILG917486 IVC917486 JEY917486 JOU917486 JYQ917486 KIM917486 KSI917486 LCE917486 LMA917486 LVW917486 MFS917486 MPO917486 MZK917486 NJG917486 NTC917486 OCY917486 OMU917486 OWQ917486 PGM917486 PQI917486 QAE917486 QKA917486 QTW917486 RDS917486 RNO917486 RXK917486 SHG917486 SRC917486 TAY917486 TKU917486 TUQ917486 UEM917486 UOI917486 UYE917486 VIA917486 VRW917486 WBS917486 WLO917486 WVK917486 C983022 IY983022 SU983022 ACQ983022 AMM983022 AWI983022 BGE983022 BQA983022 BZW983022 CJS983022 CTO983022 DDK983022 DNG983022 DXC983022 EGY983022 EQU983022 FAQ983022 FKM983022 FUI983022 GEE983022 GOA983022 GXW983022 HHS983022 HRO983022 IBK983022 ILG983022 IVC983022 JEY983022 JOU983022 JYQ983022 KIM983022 KSI983022 LCE983022 LMA983022 LVW983022 MFS983022 MPO983022 MZK983022 NJG983022 NTC983022 OCY983022 OMU983022 OWQ983022 PGM983022 PQI983022 QAE983022 QKA983022 QTW983022 RDS983022 RNO983022 RXK983022 SHG983022 SRC983022 TAY983022 TKU983022 TUQ983022 UEM983022 UOI983022 UYE983022 VIA983022 VRW983022 WBS983022 WLO983022 WVK983022 D13 IZ13 SV13 ACR13 AMN13 AWJ13 BGF13 BQB13 BZX13 CJT13 CTP13 DDL13 DNH13 DXD13 EGZ13 EQV13 FAR13 FKN13 FUJ13 GEF13 GOB13 GXX13 HHT13 HRP13 IBL13 ILH13 IVD13 JEZ13 JOV13 JYR13 KIN13 KSJ13 LCF13 LMB13 LVX13 MFT13 MPP13 MZL13 NJH13 NTD13 OCZ13 OMV13 OWR13 PGN13 PQJ13 QAF13 QKB13 QTX13 RDT13 RNP13 RXL13 SHH13 SRD13 TAZ13 TKV13 TUR13 UEN13 UOJ13 UYF13 VIB13 VRX13 WBT13 WLP13 WVL13 D65523:D65527 IZ65523:IZ65527 SV65523:SV65527 ACR65523:ACR65527 AMN65523:AMN65527 AWJ65523:AWJ65527 BGF65523:BGF65527 BQB65523:BQB65527 BZX65523:BZX65527 CJT65523:CJT65527 CTP65523:CTP65527 DDL65523:DDL65527 DNH65523:DNH65527 DXD65523:DXD65527 EGZ65523:EGZ65527 EQV65523:EQV65527 FAR65523:FAR65527 FKN65523:FKN65527 FUJ65523:FUJ65527 GEF65523:GEF65527 GOB65523:GOB65527 GXX65523:GXX65527 HHT65523:HHT65527 HRP65523:HRP65527 IBL65523:IBL65527 ILH65523:ILH65527 IVD65523:IVD65527 JEZ65523:JEZ65527 JOV65523:JOV65527 JYR65523:JYR65527 KIN65523:KIN65527 KSJ65523:KSJ65527 LCF65523:LCF65527 LMB65523:LMB65527 LVX65523:LVX65527 MFT65523:MFT65527 MPP65523:MPP65527 MZL65523:MZL65527 NJH65523:NJH65527 NTD65523:NTD65527 OCZ65523:OCZ65527 OMV65523:OMV65527 OWR65523:OWR65527 PGN65523:PGN65527 PQJ65523:PQJ65527 QAF65523:QAF65527 QKB65523:QKB65527 QTX65523:QTX65527 RDT65523:RDT65527 RNP65523:RNP65527 RXL65523:RXL65527 SHH65523:SHH65527 SRD65523:SRD65527 TAZ65523:TAZ65527 TKV65523:TKV65527 TUR65523:TUR65527 UEN65523:UEN65527 UOJ65523:UOJ65527 UYF65523:UYF65527 VIB65523:VIB65527 VRX65523:VRX65527 WBT65523:WBT65527 WLP65523:WLP65527 WVL65523:WVL65527 D131059:D131063 IZ131059:IZ131063 SV131059:SV131063 ACR131059:ACR131063 AMN131059:AMN131063 AWJ131059:AWJ131063 BGF131059:BGF131063 BQB131059:BQB131063 BZX131059:BZX131063 CJT131059:CJT131063 CTP131059:CTP131063 DDL131059:DDL131063 DNH131059:DNH131063 DXD131059:DXD131063 EGZ131059:EGZ131063 EQV131059:EQV131063 FAR131059:FAR131063 FKN131059:FKN131063 FUJ131059:FUJ131063 GEF131059:GEF131063 GOB131059:GOB131063 GXX131059:GXX131063 HHT131059:HHT131063 HRP131059:HRP131063 IBL131059:IBL131063 ILH131059:ILH131063 IVD131059:IVD131063 JEZ131059:JEZ131063 JOV131059:JOV131063 JYR131059:JYR131063 KIN131059:KIN131063 KSJ131059:KSJ131063 LCF131059:LCF131063 LMB131059:LMB131063 LVX131059:LVX131063 MFT131059:MFT131063 MPP131059:MPP131063 MZL131059:MZL131063 NJH131059:NJH131063 NTD131059:NTD131063 OCZ131059:OCZ131063 OMV131059:OMV131063 OWR131059:OWR131063 PGN131059:PGN131063 PQJ131059:PQJ131063 QAF131059:QAF131063 QKB131059:QKB131063 QTX131059:QTX131063 RDT131059:RDT131063 RNP131059:RNP131063 RXL131059:RXL131063 SHH131059:SHH131063 SRD131059:SRD131063 TAZ131059:TAZ131063 TKV131059:TKV131063 TUR131059:TUR131063 UEN131059:UEN131063 UOJ131059:UOJ131063 UYF131059:UYF131063 VIB131059:VIB131063 VRX131059:VRX131063 WBT131059:WBT131063 WLP131059:WLP131063 WVL131059:WVL131063 D196595:D196599 IZ196595:IZ196599 SV196595:SV196599 ACR196595:ACR196599 AMN196595:AMN196599 AWJ196595:AWJ196599 BGF196595:BGF196599 BQB196595:BQB196599 BZX196595:BZX196599 CJT196595:CJT196599 CTP196595:CTP196599 DDL196595:DDL196599 DNH196595:DNH196599 DXD196595:DXD196599 EGZ196595:EGZ196599 EQV196595:EQV196599 FAR196595:FAR196599 FKN196595:FKN196599 FUJ196595:FUJ196599 GEF196595:GEF196599 GOB196595:GOB196599 GXX196595:GXX196599 HHT196595:HHT196599 HRP196595:HRP196599 IBL196595:IBL196599 ILH196595:ILH196599 IVD196595:IVD196599 JEZ196595:JEZ196599 JOV196595:JOV196599 JYR196595:JYR196599 KIN196595:KIN196599 KSJ196595:KSJ196599 LCF196595:LCF196599 LMB196595:LMB196599 LVX196595:LVX196599 MFT196595:MFT196599 MPP196595:MPP196599 MZL196595:MZL196599 NJH196595:NJH196599 NTD196595:NTD196599 OCZ196595:OCZ196599 OMV196595:OMV196599 OWR196595:OWR196599 PGN196595:PGN196599 PQJ196595:PQJ196599 QAF196595:QAF196599 QKB196595:QKB196599 QTX196595:QTX196599 RDT196595:RDT196599 RNP196595:RNP196599 RXL196595:RXL196599 SHH196595:SHH196599 SRD196595:SRD196599 TAZ196595:TAZ196599 TKV196595:TKV196599 TUR196595:TUR196599 UEN196595:UEN196599 UOJ196595:UOJ196599 UYF196595:UYF196599 VIB196595:VIB196599 VRX196595:VRX196599 WBT196595:WBT196599 WLP196595:WLP196599 WVL196595:WVL196599 D262131:D262135 IZ262131:IZ262135 SV262131:SV262135 ACR262131:ACR262135 AMN262131:AMN262135 AWJ262131:AWJ262135 BGF262131:BGF262135 BQB262131:BQB262135 BZX262131:BZX262135 CJT262131:CJT262135 CTP262131:CTP262135 DDL262131:DDL262135 DNH262131:DNH262135 DXD262131:DXD262135 EGZ262131:EGZ262135 EQV262131:EQV262135 FAR262131:FAR262135 FKN262131:FKN262135 FUJ262131:FUJ262135 GEF262131:GEF262135 GOB262131:GOB262135 GXX262131:GXX262135 HHT262131:HHT262135 HRP262131:HRP262135 IBL262131:IBL262135 ILH262131:ILH262135 IVD262131:IVD262135 JEZ262131:JEZ262135 JOV262131:JOV262135 JYR262131:JYR262135 KIN262131:KIN262135 KSJ262131:KSJ262135 LCF262131:LCF262135 LMB262131:LMB262135 LVX262131:LVX262135 MFT262131:MFT262135 MPP262131:MPP262135 MZL262131:MZL262135 NJH262131:NJH262135 NTD262131:NTD262135 OCZ262131:OCZ262135 OMV262131:OMV262135 OWR262131:OWR262135 PGN262131:PGN262135 PQJ262131:PQJ262135 QAF262131:QAF262135 QKB262131:QKB262135 QTX262131:QTX262135 RDT262131:RDT262135 RNP262131:RNP262135 RXL262131:RXL262135 SHH262131:SHH262135 SRD262131:SRD262135 TAZ262131:TAZ262135 TKV262131:TKV262135 TUR262131:TUR262135 UEN262131:UEN262135 UOJ262131:UOJ262135 UYF262131:UYF262135 VIB262131:VIB262135 VRX262131:VRX262135 WBT262131:WBT262135 WLP262131:WLP262135 WVL262131:WVL262135 D327667:D327671 IZ327667:IZ327671 SV327667:SV327671 ACR327667:ACR327671 AMN327667:AMN327671 AWJ327667:AWJ327671 BGF327667:BGF327671 BQB327667:BQB327671 BZX327667:BZX327671 CJT327667:CJT327671 CTP327667:CTP327671 DDL327667:DDL327671 DNH327667:DNH327671 DXD327667:DXD327671 EGZ327667:EGZ327671 EQV327667:EQV327671 FAR327667:FAR327671 FKN327667:FKN327671 FUJ327667:FUJ327671 GEF327667:GEF327671 GOB327667:GOB327671 GXX327667:GXX327671 HHT327667:HHT327671 HRP327667:HRP327671 IBL327667:IBL327671 ILH327667:ILH327671 IVD327667:IVD327671 JEZ327667:JEZ327671 JOV327667:JOV327671 JYR327667:JYR327671 KIN327667:KIN327671 KSJ327667:KSJ327671 LCF327667:LCF327671 LMB327667:LMB327671 LVX327667:LVX327671 MFT327667:MFT327671 MPP327667:MPP327671 MZL327667:MZL327671 NJH327667:NJH327671 NTD327667:NTD327671 OCZ327667:OCZ327671 OMV327667:OMV327671 OWR327667:OWR327671 PGN327667:PGN327671 PQJ327667:PQJ327671 QAF327667:QAF327671 QKB327667:QKB327671 QTX327667:QTX327671 RDT327667:RDT327671 RNP327667:RNP327671 RXL327667:RXL327671 SHH327667:SHH327671 SRD327667:SRD327671 TAZ327667:TAZ327671 TKV327667:TKV327671 TUR327667:TUR327671 UEN327667:UEN327671 UOJ327667:UOJ327671 UYF327667:UYF327671 VIB327667:VIB327671 VRX327667:VRX327671 WBT327667:WBT327671 WLP327667:WLP327671 WVL327667:WVL327671 D393203:D393207 IZ393203:IZ393207 SV393203:SV393207 ACR393203:ACR393207 AMN393203:AMN393207 AWJ393203:AWJ393207 BGF393203:BGF393207 BQB393203:BQB393207 BZX393203:BZX393207 CJT393203:CJT393207 CTP393203:CTP393207 DDL393203:DDL393207 DNH393203:DNH393207 DXD393203:DXD393207 EGZ393203:EGZ393207 EQV393203:EQV393207 FAR393203:FAR393207 FKN393203:FKN393207 FUJ393203:FUJ393207 GEF393203:GEF393207 GOB393203:GOB393207 GXX393203:GXX393207 HHT393203:HHT393207 HRP393203:HRP393207 IBL393203:IBL393207 ILH393203:ILH393207 IVD393203:IVD393207 JEZ393203:JEZ393207 JOV393203:JOV393207 JYR393203:JYR393207 KIN393203:KIN393207 KSJ393203:KSJ393207 LCF393203:LCF393207 LMB393203:LMB393207 LVX393203:LVX393207 MFT393203:MFT393207 MPP393203:MPP393207 MZL393203:MZL393207 NJH393203:NJH393207 NTD393203:NTD393207 OCZ393203:OCZ393207 OMV393203:OMV393207 OWR393203:OWR393207 PGN393203:PGN393207 PQJ393203:PQJ393207 QAF393203:QAF393207 QKB393203:QKB393207 QTX393203:QTX393207 RDT393203:RDT393207 RNP393203:RNP393207 RXL393203:RXL393207 SHH393203:SHH393207 SRD393203:SRD393207 TAZ393203:TAZ393207 TKV393203:TKV393207 TUR393203:TUR393207 UEN393203:UEN393207 UOJ393203:UOJ393207 UYF393203:UYF393207 VIB393203:VIB393207 VRX393203:VRX393207 WBT393203:WBT393207 WLP393203:WLP393207 WVL393203:WVL393207 D458739:D458743 IZ458739:IZ458743 SV458739:SV458743 ACR458739:ACR458743 AMN458739:AMN458743 AWJ458739:AWJ458743 BGF458739:BGF458743 BQB458739:BQB458743 BZX458739:BZX458743 CJT458739:CJT458743 CTP458739:CTP458743 DDL458739:DDL458743 DNH458739:DNH458743 DXD458739:DXD458743 EGZ458739:EGZ458743 EQV458739:EQV458743 FAR458739:FAR458743 FKN458739:FKN458743 FUJ458739:FUJ458743 GEF458739:GEF458743 GOB458739:GOB458743 GXX458739:GXX458743 HHT458739:HHT458743 HRP458739:HRP458743 IBL458739:IBL458743 ILH458739:ILH458743 IVD458739:IVD458743 JEZ458739:JEZ458743 JOV458739:JOV458743 JYR458739:JYR458743 KIN458739:KIN458743 KSJ458739:KSJ458743 LCF458739:LCF458743 LMB458739:LMB458743 LVX458739:LVX458743 MFT458739:MFT458743 MPP458739:MPP458743 MZL458739:MZL458743 NJH458739:NJH458743 NTD458739:NTD458743 OCZ458739:OCZ458743 OMV458739:OMV458743 OWR458739:OWR458743 PGN458739:PGN458743 PQJ458739:PQJ458743 QAF458739:QAF458743 QKB458739:QKB458743 QTX458739:QTX458743 RDT458739:RDT458743 RNP458739:RNP458743 RXL458739:RXL458743 SHH458739:SHH458743 SRD458739:SRD458743 TAZ458739:TAZ458743 TKV458739:TKV458743 TUR458739:TUR458743 UEN458739:UEN458743 UOJ458739:UOJ458743 UYF458739:UYF458743 VIB458739:VIB458743 VRX458739:VRX458743 WBT458739:WBT458743 WLP458739:WLP458743 WVL458739:WVL458743 D524275:D524279 IZ524275:IZ524279 SV524275:SV524279 ACR524275:ACR524279 AMN524275:AMN524279 AWJ524275:AWJ524279 BGF524275:BGF524279 BQB524275:BQB524279 BZX524275:BZX524279 CJT524275:CJT524279 CTP524275:CTP524279 DDL524275:DDL524279 DNH524275:DNH524279 DXD524275:DXD524279 EGZ524275:EGZ524279 EQV524275:EQV524279 FAR524275:FAR524279 FKN524275:FKN524279 FUJ524275:FUJ524279 GEF524275:GEF524279 GOB524275:GOB524279 GXX524275:GXX524279 HHT524275:HHT524279 HRP524275:HRP524279 IBL524275:IBL524279 ILH524275:ILH524279 IVD524275:IVD524279 JEZ524275:JEZ524279 JOV524275:JOV524279 JYR524275:JYR524279 KIN524275:KIN524279 KSJ524275:KSJ524279 LCF524275:LCF524279 LMB524275:LMB524279 LVX524275:LVX524279 MFT524275:MFT524279 MPP524275:MPP524279 MZL524275:MZL524279 NJH524275:NJH524279 NTD524275:NTD524279 OCZ524275:OCZ524279 OMV524275:OMV524279 OWR524275:OWR524279 PGN524275:PGN524279 PQJ524275:PQJ524279 QAF524275:QAF524279 QKB524275:QKB524279 QTX524275:QTX524279 RDT524275:RDT524279 RNP524275:RNP524279 RXL524275:RXL524279 SHH524275:SHH524279 SRD524275:SRD524279 TAZ524275:TAZ524279 TKV524275:TKV524279 TUR524275:TUR524279 UEN524275:UEN524279 UOJ524275:UOJ524279 UYF524275:UYF524279 VIB524275:VIB524279 VRX524275:VRX524279 WBT524275:WBT524279 WLP524275:WLP524279 WVL524275:WVL524279 D589811:D589815 IZ589811:IZ589815 SV589811:SV589815 ACR589811:ACR589815 AMN589811:AMN589815 AWJ589811:AWJ589815 BGF589811:BGF589815 BQB589811:BQB589815 BZX589811:BZX589815 CJT589811:CJT589815 CTP589811:CTP589815 DDL589811:DDL589815 DNH589811:DNH589815 DXD589811:DXD589815 EGZ589811:EGZ589815 EQV589811:EQV589815 FAR589811:FAR589815 FKN589811:FKN589815 FUJ589811:FUJ589815 GEF589811:GEF589815 GOB589811:GOB589815 GXX589811:GXX589815 HHT589811:HHT589815 HRP589811:HRP589815 IBL589811:IBL589815 ILH589811:ILH589815 IVD589811:IVD589815 JEZ589811:JEZ589815 JOV589811:JOV589815 JYR589811:JYR589815 KIN589811:KIN589815 KSJ589811:KSJ589815 LCF589811:LCF589815 LMB589811:LMB589815 LVX589811:LVX589815 MFT589811:MFT589815 MPP589811:MPP589815 MZL589811:MZL589815 NJH589811:NJH589815 NTD589811:NTD589815 OCZ589811:OCZ589815 OMV589811:OMV589815 OWR589811:OWR589815 PGN589811:PGN589815 PQJ589811:PQJ589815 QAF589811:QAF589815 QKB589811:QKB589815 QTX589811:QTX589815 RDT589811:RDT589815 RNP589811:RNP589815 RXL589811:RXL589815 SHH589811:SHH589815 SRD589811:SRD589815 TAZ589811:TAZ589815 TKV589811:TKV589815 TUR589811:TUR589815 UEN589811:UEN589815 UOJ589811:UOJ589815 UYF589811:UYF589815 VIB589811:VIB589815 VRX589811:VRX589815 WBT589811:WBT589815 WLP589811:WLP589815 WVL589811:WVL589815 D655347:D655351 IZ655347:IZ655351 SV655347:SV655351 ACR655347:ACR655351 AMN655347:AMN655351 AWJ655347:AWJ655351 BGF655347:BGF655351 BQB655347:BQB655351 BZX655347:BZX655351 CJT655347:CJT655351 CTP655347:CTP655351 DDL655347:DDL655351 DNH655347:DNH655351 DXD655347:DXD655351 EGZ655347:EGZ655351 EQV655347:EQV655351 FAR655347:FAR655351 FKN655347:FKN655351 FUJ655347:FUJ655351 GEF655347:GEF655351 GOB655347:GOB655351 GXX655347:GXX655351 HHT655347:HHT655351 HRP655347:HRP655351 IBL655347:IBL655351 ILH655347:ILH655351 IVD655347:IVD655351 JEZ655347:JEZ655351 JOV655347:JOV655351 JYR655347:JYR655351 KIN655347:KIN655351 KSJ655347:KSJ655351 LCF655347:LCF655351 LMB655347:LMB655351 LVX655347:LVX655351 MFT655347:MFT655351 MPP655347:MPP655351 MZL655347:MZL655351 NJH655347:NJH655351 NTD655347:NTD655351 OCZ655347:OCZ655351 OMV655347:OMV655351 OWR655347:OWR655351 PGN655347:PGN655351 PQJ655347:PQJ655351 QAF655347:QAF655351 QKB655347:QKB655351 QTX655347:QTX655351 RDT655347:RDT655351 RNP655347:RNP655351 RXL655347:RXL655351 SHH655347:SHH655351 SRD655347:SRD655351 TAZ655347:TAZ655351 TKV655347:TKV655351 TUR655347:TUR655351 UEN655347:UEN655351 UOJ655347:UOJ655351 UYF655347:UYF655351 VIB655347:VIB655351 VRX655347:VRX655351 WBT655347:WBT655351 WLP655347:WLP655351 WVL655347:WVL655351 D720883:D720887 IZ720883:IZ720887 SV720883:SV720887 ACR720883:ACR720887 AMN720883:AMN720887 AWJ720883:AWJ720887 BGF720883:BGF720887 BQB720883:BQB720887 BZX720883:BZX720887 CJT720883:CJT720887 CTP720883:CTP720887 DDL720883:DDL720887 DNH720883:DNH720887 DXD720883:DXD720887 EGZ720883:EGZ720887 EQV720883:EQV720887 FAR720883:FAR720887 FKN720883:FKN720887 FUJ720883:FUJ720887 GEF720883:GEF720887 GOB720883:GOB720887 GXX720883:GXX720887 HHT720883:HHT720887 HRP720883:HRP720887 IBL720883:IBL720887 ILH720883:ILH720887 IVD720883:IVD720887 JEZ720883:JEZ720887 JOV720883:JOV720887 JYR720883:JYR720887 KIN720883:KIN720887 KSJ720883:KSJ720887 LCF720883:LCF720887 LMB720883:LMB720887 LVX720883:LVX720887 MFT720883:MFT720887 MPP720883:MPP720887 MZL720883:MZL720887 NJH720883:NJH720887 NTD720883:NTD720887 OCZ720883:OCZ720887 OMV720883:OMV720887 OWR720883:OWR720887 PGN720883:PGN720887 PQJ720883:PQJ720887 QAF720883:QAF720887 QKB720883:QKB720887 QTX720883:QTX720887 RDT720883:RDT720887 RNP720883:RNP720887 RXL720883:RXL720887 SHH720883:SHH720887 SRD720883:SRD720887 TAZ720883:TAZ720887 TKV720883:TKV720887 TUR720883:TUR720887 UEN720883:UEN720887 UOJ720883:UOJ720887 UYF720883:UYF720887 VIB720883:VIB720887 VRX720883:VRX720887 WBT720883:WBT720887 WLP720883:WLP720887 WVL720883:WVL720887 D786419:D786423 IZ786419:IZ786423 SV786419:SV786423 ACR786419:ACR786423 AMN786419:AMN786423 AWJ786419:AWJ786423 BGF786419:BGF786423 BQB786419:BQB786423 BZX786419:BZX786423 CJT786419:CJT786423 CTP786419:CTP786423 DDL786419:DDL786423 DNH786419:DNH786423 DXD786419:DXD786423 EGZ786419:EGZ786423 EQV786419:EQV786423 FAR786419:FAR786423 FKN786419:FKN786423 FUJ786419:FUJ786423 GEF786419:GEF786423 GOB786419:GOB786423 GXX786419:GXX786423 HHT786419:HHT786423 HRP786419:HRP786423 IBL786419:IBL786423 ILH786419:ILH786423 IVD786419:IVD786423 JEZ786419:JEZ786423 JOV786419:JOV786423 JYR786419:JYR786423 KIN786419:KIN786423 KSJ786419:KSJ786423 LCF786419:LCF786423 LMB786419:LMB786423 LVX786419:LVX786423 MFT786419:MFT786423 MPP786419:MPP786423 MZL786419:MZL786423 NJH786419:NJH786423 NTD786419:NTD786423 OCZ786419:OCZ786423 OMV786419:OMV786423 OWR786419:OWR786423 PGN786419:PGN786423 PQJ786419:PQJ786423 QAF786419:QAF786423 QKB786419:QKB786423 QTX786419:QTX786423 RDT786419:RDT786423 RNP786419:RNP786423 RXL786419:RXL786423 SHH786419:SHH786423 SRD786419:SRD786423 TAZ786419:TAZ786423 TKV786419:TKV786423 TUR786419:TUR786423 UEN786419:UEN786423 UOJ786419:UOJ786423 UYF786419:UYF786423 VIB786419:VIB786423 VRX786419:VRX786423 WBT786419:WBT786423 WLP786419:WLP786423 WVL786419:WVL786423 D851955:D851959 IZ851955:IZ851959 SV851955:SV851959 ACR851955:ACR851959 AMN851955:AMN851959 AWJ851955:AWJ851959 BGF851955:BGF851959 BQB851955:BQB851959 BZX851955:BZX851959 CJT851955:CJT851959 CTP851955:CTP851959 DDL851955:DDL851959 DNH851955:DNH851959 DXD851955:DXD851959 EGZ851955:EGZ851959 EQV851955:EQV851959 FAR851955:FAR851959 FKN851955:FKN851959 FUJ851955:FUJ851959 GEF851955:GEF851959 GOB851955:GOB851959 GXX851955:GXX851959 HHT851955:HHT851959 HRP851955:HRP851959 IBL851955:IBL851959 ILH851955:ILH851959 IVD851955:IVD851959 JEZ851955:JEZ851959 JOV851955:JOV851959 JYR851955:JYR851959 KIN851955:KIN851959 KSJ851955:KSJ851959 LCF851955:LCF851959 LMB851955:LMB851959 LVX851955:LVX851959 MFT851955:MFT851959 MPP851955:MPP851959 MZL851955:MZL851959 NJH851955:NJH851959 NTD851955:NTD851959 OCZ851955:OCZ851959 OMV851955:OMV851959 OWR851955:OWR851959 PGN851955:PGN851959 PQJ851955:PQJ851959 QAF851955:QAF851959 QKB851955:QKB851959 QTX851955:QTX851959 RDT851955:RDT851959 RNP851955:RNP851959 RXL851955:RXL851959 SHH851955:SHH851959 SRD851955:SRD851959 TAZ851955:TAZ851959 TKV851955:TKV851959 TUR851955:TUR851959 UEN851955:UEN851959 UOJ851955:UOJ851959 UYF851955:UYF851959 VIB851955:VIB851959 VRX851955:VRX851959 WBT851955:WBT851959 WLP851955:WLP851959 WVL851955:WVL851959 D917491:D917495 IZ917491:IZ917495 SV917491:SV917495 ACR917491:ACR917495 AMN917491:AMN917495 AWJ917491:AWJ917495 BGF917491:BGF917495 BQB917491:BQB917495 BZX917491:BZX917495 CJT917491:CJT917495 CTP917491:CTP917495 DDL917491:DDL917495 DNH917491:DNH917495 DXD917491:DXD917495 EGZ917491:EGZ917495 EQV917491:EQV917495 FAR917491:FAR917495 FKN917491:FKN917495 FUJ917491:FUJ917495 GEF917491:GEF917495 GOB917491:GOB917495 GXX917491:GXX917495 HHT917491:HHT917495 HRP917491:HRP917495 IBL917491:IBL917495 ILH917491:ILH917495 IVD917491:IVD917495 JEZ917491:JEZ917495 JOV917491:JOV917495 JYR917491:JYR917495 KIN917491:KIN917495 KSJ917491:KSJ917495 LCF917491:LCF917495 LMB917491:LMB917495 LVX917491:LVX917495 MFT917491:MFT917495 MPP917491:MPP917495 MZL917491:MZL917495 NJH917491:NJH917495 NTD917491:NTD917495 OCZ917491:OCZ917495 OMV917491:OMV917495 OWR917491:OWR917495 PGN917491:PGN917495 PQJ917491:PQJ917495 QAF917491:QAF917495 QKB917491:QKB917495 QTX917491:QTX917495 RDT917491:RDT917495 RNP917491:RNP917495 RXL917491:RXL917495 SHH917491:SHH917495 SRD917491:SRD917495 TAZ917491:TAZ917495 TKV917491:TKV917495 TUR917491:TUR917495 UEN917491:UEN917495 UOJ917491:UOJ917495 UYF917491:UYF917495 VIB917491:VIB917495 VRX917491:VRX917495 WBT917491:WBT917495 WLP917491:WLP917495 WVL917491:WVL917495 D983027:D983031 IZ983027:IZ983031 SV983027:SV983031 ACR983027:ACR983031 AMN983027:AMN983031 AWJ983027:AWJ983031 BGF983027:BGF983031 BQB983027:BQB983031 BZX983027:BZX983031 CJT983027:CJT983031 CTP983027:CTP983031 DDL983027:DDL983031 DNH983027:DNH983031 DXD983027:DXD983031 EGZ983027:EGZ983031 EQV983027:EQV983031 FAR983027:FAR983031 FKN983027:FKN983031 FUJ983027:FUJ983031 GEF983027:GEF983031 GOB983027:GOB983031 GXX983027:GXX983031 HHT983027:HHT983031 HRP983027:HRP983031 IBL983027:IBL983031 ILH983027:ILH983031 IVD983027:IVD983031 JEZ983027:JEZ983031 JOV983027:JOV983031 JYR983027:JYR983031 KIN983027:KIN983031 KSJ983027:KSJ983031 LCF983027:LCF983031 LMB983027:LMB983031 LVX983027:LVX983031 MFT983027:MFT983031 MPP983027:MPP983031 MZL983027:MZL983031 NJH983027:NJH983031 NTD983027:NTD983031 OCZ983027:OCZ983031 OMV983027:OMV983031 OWR983027:OWR983031 PGN983027:PGN983031 PQJ983027:PQJ983031 QAF983027:QAF983031 QKB983027:QKB983031 QTX983027:QTX983031 RDT983027:RDT983031 RNP983027:RNP983031 RXL983027:RXL983031 SHH983027:SHH983031 SRD983027:SRD983031 TAZ983027:TAZ983031 TKV983027:TKV983031 TUR983027:TUR983031 UEN983027:UEN983031 UOJ983027:UOJ983031 UYF983027:UYF983031 VIB983027:VIB983031 VRX983027:VRX983031 WBT983027:WBT983031 WLP983027:WLP983031 WVL983027:WVL983031 C15:D16 IZ15:IZ21 SV15:SV21 ACR15:ACR21 AMN15:AMN21 AWJ15:AWJ21 BGF15:BGF21 BQB15:BQB21 BZX15:BZX21 CJT15:CJT21 CTP15:CTP21 DDL15:DDL21 DNH15:DNH21 DXD15:DXD21 EGZ15:EGZ21 EQV15:EQV21 FAR15:FAR21 FKN15:FKN21 FUJ15:FUJ21 GEF15:GEF21 GOB15:GOB21 GXX15:GXX21 HHT15:HHT21 HRP15:HRP21 IBL15:IBL21 ILH15:ILH21 IVD15:IVD21 JEZ15:JEZ21 JOV15:JOV21 JYR15:JYR21 KIN15:KIN21 KSJ15:KSJ21 LCF15:LCF21 LMB15:LMB21 LVX15:LVX21 MFT15:MFT21 MPP15:MPP21 MZL15:MZL21 NJH15:NJH21 NTD15:NTD21 OCZ15:OCZ21 OMV15:OMV21 OWR15:OWR21 PGN15:PGN21 PQJ15:PQJ21 QAF15:QAF21 QKB15:QKB21 QTX15:QTX21 RDT15:RDT21 RNP15:RNP21 RXL15:RXL21 SHH15:SHH21 SRD15:SRD21 TAZ15:TAZ21 TKV15:TKV21 TUR15:TUR21 UEN15:UEN21 UOJ15:UOJ21 UYF15:UYF21 VIB15:VIB21 VRX15:VRX21 WBT15:WBT21 WLP15:WLP21 WVL15:WVL21 D65529:D65530 IZ65529:IZ65530 SV65529:SV65530 ACR65529:ACR65530 AMN65529:AMN65530 AWJ65529:AWJ65530 BGF65529:BGF65530 BQB65529:BQB65530 BZX65529:BZX65530 CJT65529:CJT65530 CTP65529:CTP65530 DDL65529:DDL65530 DNH65529:DNH65530 DXD65529:DXD65530 EGZ65529:EGZ65530 EQV65529:EQV65530 FAR65529:FAR65530 FKN65529:FKN65530 FUJ65529:FUJ65530 GEF65529:GEF65530 GOB65529:GOB65530 GXX65529:GXX65530 HHT65529:HHT65530 HRP65529:HRP65530 IBL65529:IBL65530 ILH65529:ILH65530 IVD65529:IVD65530 JEZ65529:JEZ65530 JOV65529:JOV65530 JYR65529:JYR65530 KIN65529:KIN65530 KSJ65529:KSJ65530 LCF65529:LCF65530 LMB65529:LMB65530 LVX65529:LVX65530 MFT65529:MFT65530 MPP65529:MPP65530 MZL65529:MZL65530 NJH65529:NJH65530 NTD65529:NTD65530 OCZ65529:OCZ65530 OMV65529:OMV65530 OWR65529:OWR65530 PGN65529:PGN65530 PQJ65529:PQJ65530 QAF65529:QAF65530 QKB65529:QKB65530 QTX65529:QTX65530 RDT65529:RDT65530 RNP65529:RNP65530 RXL65529:RXL65530 SHH65529:SHH65530 SRD65529:SRD65530 TAZ65529:TAZ65530 TKV65529:TKV65530 TUR65529:TUR65530 UEN65529:UEN65530 UOJ65529:UOJ65530 UYF65529:UYF65530 VIB65529:VIB65530 VRX65529:VRX65530 WBT65529:WBT65530 WLP65529:WLP65530 WVL65529:WVL65530 D131065:D131066 IZ131065:IZ131066 SV131065:SV131066 ACR131065:ACR131066 AMN131065:AMN131066 AWJ131065:AWJ131066 BGF131065:BGF131066 BQB131065:BQB131066 BZX131065:BZX131066 CJT131065:CJT131066 CTP131065:CTP131066 DDL131065:DDL131066 DNH131065:DNH131066 DXD131065:DXD131066 EGZ131065:EGZ131066 EQV131065:EQV131066 FAR131065:FAR131066 FKN131065:FKN131066 FUJ131065:FUJ131066 GEF131065:GEF131066 GOB131065:GOB131066 GXX131065:GXX131066 HHT131065:HHT131066 HRP131065:HRP131066 IBL131065:IBL131066 ILH131065:ILH131066 IVD131065:IVD131066 JEZ131065:JEZ131066 JOV131065:JOV131066 JYR131065:JYR131066 KIN131065:KIN131066 KSJ131065:KSJ131066 LCF131065:LCF131066 LMB131065:LMB131066 LVX131065:LVX131066 MFT131065:MFT131066 MPP131065:MPP131066 MZL131065:MZL131066 NJH131065:NJH131066 NTD131065:NTD131066 OCZ131065:OCZ131066 OMV131065:OMV131066 OWR131065:OWR131066 PGN131065:PGN131066 PQJ131065:PQJ131066 QAF131065:QAF131066 QKB131065:QKB131066 QTX131065:QTX131066 RDT131065:RDT131066 RNP131065:RNP131066 RXL131065:RXL131066 SHH131065:SHH131066 SRD131065:SRD131066 TAZ131065:TAZ131066 TKV131065:TKV131066 TUR131065:TUR131066 UEN131065:UEN131066 UOJ131065:UOJ131066 UYF131065:UYF131066 VIB131065:VIB131066 VRX131065:VRX131066 WBT131065:WBT131066 WLP131065:WLP131066 WVL131065:WVL131066 D196601:D196602 IZ196601:IZ196602 SV196601:SV196602 ACR196601:ACR196602 AMN196601:AMN196602 AWJ196601:AWJ196602 BGF196601:BGF196602 BQB196601:BQB196602 BZX196601:BZX196602 CJT196601:CJT196602 CTP196601:CTP196602 DDL196601:DDL196602 DNH196601:DNH196602 DXD196601:DXD196602 EGZ196601:EGZ196602 EQV196601:EQV196602 FAR196601:FAR196602 FKN196601:FKN196602 FUJ196601:FUJ196602 GEF196601:GEF196602 GOB196601:GOB196602 GXX196601:GXX196602 HHT196601:HHT196602 HRP196601:HRP196602 IBL196601:IBL196602 ILH196601:ILH196602 IVD196601:IVD196602 JEZ196601:JEZ196602 JOV196601:JOV196602 JYR196601:JYR196602 KIN196601:KIN196602 KSJ196601:KSJ196602 LCF196601:LCF196602 LMB196601:LMB196602 LVX196601:LVX196602 MFT196601:MFT196602 MPP196601:MPP196602 MZL196601:MZL196602 NJH196601:NJH196602 NTD196601:NTD196602 OCZ196601:OCZ196602 OMV196601:OMV196602 OWR196601:OWR196602 PGN196601:PGN196602 PQJ196601:PQJ196602 QAF196601:QAF196602 QKB196601:QKB196602 QTX196601:QTX196602 RDT196601:RDT196602 RNP196601:RNP196602 RXL196601:RXL196602 SHH196601:SHH196602 SRD196601:SRD196602 TAZ196601:TAZ196602 TKV196601:TKV196602 TUR196601:TUR196602 UEN196601:UEN196602 UOJ196601:UOJ196602 UYF196601:UYF196602 VIB196601:VIB196602 VRX196601:VRX196602 WBT196601:WBT196602 WLP196601:WLP196602 WVL196601:WVL196602 D262137:D262138 IZ262137:IZ262138 SV262137:SV262138 ACR262137:ACR262138 AMN262137:AMN262138 AWJ262137:AWJ262138 BGF262137:BGF262138 BQB262137:BQB262138 BZX262137:BZX262138 CJT262137:CJT262138 CTP262137:CTP262138 DDL262137:DDL262138 DNH262137:DNH262138 DXD262137:DXD262138 EGZ262137:EGZ262138 EQV262137:EQV262138 FAR262137:FAR262138 FKN262137:FKN262138 FUJ262137:FUJ262138 GEF262137:GEF262138 GOB262137:GOB262138 GXX262137:GXX262138 HHT262137:HHT262138 HRP262137:HRP262138 IBL262137:IBL262138 ILH262137:ILH262138 IVD262137:IVD262138 JEZ262137:JEZ262138 JOV262137:JOV262138 JYR262137:JYR262138 KIN262137:KIN262138 KSJ262137:KSJ262138 LCF262137:LCF262138 LMB262137:LMB262138 LVX262137:LVX262138 MFT262137:MFT262138 MPP262137:MPP262138 MZL262137:MZL262138 NJH262137:NJH262138 NTD262137:NTD262138 OCZ262137:OCZ262138 OMV262137:OMV262138 OWR262137:OWR262138 PGN262137:PGN262138 PQJ262137:PQJ262138 QAF262137:QAF262138 QKB262137:QKB262138 QTX262137:QTX262138 RDT262137:RDT262138 RNP262137:RNP262138 RXL262137:RXL262138 SHH262137:SHH262138 SRD262137:SRD262138 TAZ262137:TAZ262138 TKV262137:TKV262138 TUR262137:TUR262138 UEN262137:UEN262138 UOJ262137:UOJ262138 UYF262137:UYF262138 VIB262137:VIB262138 VRX262137:VRX262138 WBT262137:WBT262138 WLP262137:WLP262138 WVL262137:WVL262138 D327673:D327674 IZ327673:IZ327674 SV327673:SV327674 ACR327673:ACR327674 AMN327673:AMN327674 AWJ327673:AWJ327674 BGF327673:BGF327674 BQB327673:BQB327674 BZX327673:BZX327674 CJT327673:CJT327674 CTP327673:CTP327674 DDL327673:DDL327674 DNH327673:DNH327674 DXD327673:DXD327674 EGZ327673:EGZ327674 EQV327673:EQV327674 FAR327673:FAR327674 FKN327673:FKN327674 FUJ327673:FUJ327674 GEF327673:GEF327674 GOB327673:GOB327674 GXX327673:GXX327674 HHT327673:HHT327674 HRP327673:HRP327674 IBL327673:IBL327674 ILH327673:ILH327674 IVD327673:IVD327674 JEZ327673:JEZ327674 JOV327673:JOV327674 JYR327673:JYR327674 KIN327673:KIN327674 KSJ327673:KSJ327674 LCF327673:LCF327674 LMB327673:LMB327674 LVX327673:LVX327674 MFT327673:MFT327674 MPP327673:MPP327674 MZL327673:MZL327674 NJH327673:NJH327674 NTD327673:NTD327674 OCZ327673:OCZ327674 OMV327673:OMV327674 OWR327673:OWR327674 PGN327673:PGN327674 PQJ327673:PQJ327674 QAF327673:QAF327674 QKB327673:QKB327674 QTX327673:QTX327674 RDT327673:RDT327674 RNP327673:RNP327674 RXL327673:RXL327674 SHH327673:SHH327674 SRD327673:SRD327674 TAZ327673:TAZ327674 TKV327673:TKV327674 TUR327673:TUR327674 UEN327673:UEN327674 UOJ327673:UOJ327674 UYF327673:UYF327674 VIB327673:VIB327674 VRX327673:VRX327674 WBT327673:WBT327674 WLP327673:WLP327674 WVL327673:WVL327674 D393209:D393210 IZ393209:IZ393210 SV393209:SV393210 ACR393209:ACR393210 AMN393209:AMN393210 AWJ393209:AWJ393210 BGF393209:BGF393210 BQB393209:BQB393210 BZX393209:BZX393210 CJT393209:CJT393210 CTP393209:CTP393210 DDL393209:DDL393210 DNH393209:DNH393210 DXD393209:DXD393210 EGZ393209:EGZ393210 EQV393209:EQV393210 FAR393209:FAR393210 FKN393209:FKN393210 FUJ393209:FUJ393210 GEF393209:GEF393210 GOB393209:GOB393210 GXX393209:GXX393210 HHT393209:HHT393210 HRP393209:HRP393210 IBL393209:IBL393210 ILH393209:ILH393210 IVD393209:IVD393210 JEZ393209:JEZ393210 JOV393209:JOV393210 JYR393209:JYR393210 KIN393209:KIN393210 KSJ393209:KSJ393210 LCF393209:LCF393210 LMB393209:LMB393210 LVX393209:LVX393210 MFT393209:MFT393210 MPP393209:MPP393210 MZL393209:MZL393210 NJH393209:NJH393210 NTD393209:NTD393210 OCZ393209:OCZ393210 OMV393209:OMV393210 OWR393209:OWR393210 PGN393209:PGN393210 PQJ393209:PQJ393210 QAF393209:QAF393210 QKB393209:QKB393210 QTX393209:QTX393210 RDT393209:RDT393210 RNP393209:RNP393210 RXL393209:RXL393210 SHH393209:SHH393210 SRD393209:SRD393210 TAZ393209:TAZ393210 TKV393209:TKV393210 TUR393209:TUR393210 UEN393209:UEN393210 UOJ393209:UOJ393210 UYF393209:UYF393210 VIB393209:VIB393210 VRX393209:VRX393210 WBT393209:WBT393210 WLP393209:WLP393210 WVL393209:WVL393210 D458745:D458746 IZ458745:IZ458746 SV458745:SV458746 ACR458745:ACR458746 AMN458745:AMN458746 AWJ458745:AWJ458746 BGF458745:BGF458746 BQB458745:BQB458746 BZX458745:BZX458746 CJT458745:CJT458746 CTP458745:CTP458746 DDL458745:DDL458746 DNH458745:DNH458746 DXD458745:DXD458746 EGZ458745:EGZ458746 EQV458745:EQV458746 FAR458745:FAR458746 FKN458745:FKN458746 FUJ458745:FUJ458746 GEF458745:GEF458746 GOB458745:GOB458746 GXX458745:GXX458746 HHT458745:HHT458746 HRP458745:HRP458746 IBL458745:IBL458746 ILH458745:ILH458746 IVD458745:IVD458746 JEZ458745:JEZ458746 JOV458745:JOV458746 JYR458745:JYR458746 KIN458745:KIN458746 KSJ458745:KSJ458746 LCF458745:LCF458746 LMB458745:LMB458746 LVX458745:LVX458746 MFT458745:MFT458746 MPP458745:MPP458746 MZL458745:MZL458746 NJH458745:NJH458746 NTD458745:NTD458746 OCZ458745:OCZ458746 OMV458745:OMV458746 OWR458745:OWR458746 PGN458745:PGN458746 PQJ458745:PQJ458746 QAF458745:QAF458746 QKB458745:QKB458746 QTX458745:QTX458746 RDT458745:RDT458746 RNP458745:RNP458746 RXL458745:RXL458746 SHH458745:SHH458746 SRD458745:SRD458746 TAZ458745:TAZ458746 TKV458745:TKV458746 TUR458745:TUR458746 UEN458745:UEN458746 UOJ458745:UOJ458746 UYF458745:UYF458746 VIB458745:VIB458746 VRX458745:VRX458746 WBT458745:WBT458746 WLP458745:WLP458746 WVL458745:WVL458746 D524281:D524282 IZ524281:IZ524282 SV524281:SV524282 ACR524281:ACR524282 AMN524281:AMN524282 AWJ524281:AWJ524282 BGF524281:BGF524282 BQB524281:BQB524282 BZX524281:BZX524282 CJT524281:CJT524282 CTP524281:CTP524282 DDL524281:DDL524282 DNH524281:DNH524282 DXD524281:DXD524282 EGZ524281:EGZ524282 EQV524281:EQV524282 FAR524281:FAR524282 FKN524281:FKN524282 FUJ524281:FUJ524282 GEF524281:GEF524282 GOB524281:GOB524282 GXX524281:GXX524282 HHT524281:HHT524282 HRP524281:HRP524282 IBL524281:IBL524282 ILH524281:ILH524282 IVD524281:IVD524282 JEZ524281:JEZ524282 JOV524281:JOV524282 JYR524281:JYR524282 KIN524281:KIN524282 KSJ524281:KSJ524282 LCF524281:LCF524282 LMB524281:LMB524282 LVX524281:LVX524282 MFT524281:MFT524282 MPP524281:MPP524282 MZL524281:MZL524282 NJH524281:NJH524282 NTD524281:NTD524282 OCZ524281:OCZ524282 OMV524281:OMV524282 OWR524281:OWR524282 PGN524281:PGN524282 PQJ524281:PQJ524282 QAF524281:QAF524282 QKB524281:QKB524282 QTX524281:QTX524282 RDT524281:RDT524282 RNP524281:RNP524282 RXL524281:RXL524282 SHH524281:SHH524282 SRD524281:SRD524282 TAZ524281:TAZ524282 TKV524281:TKV524282 TUR524281:TUR524282 UEN524281:UEN524282 UOJ524281:UOJ524282 UYF524281:UYF524282 VIB524281:VIB524282 VRX524281:VRX524282 WBT524281:WBT524282 WLP524281:WLP524282 WVL524281:WVL524282 D589817:D589818 IZ589817:IZ589818 SV589817:SV589818 ACR589817:ACR589818 AMN589817:AMN589818 AWJ589817:AWJ589818 BGF589817:BGF589818 BQB589817:BQB589818 BZX589817:BZX589818 CJT589817:CJT589818 CTP589817:CTP589818 DDL589817:DDL589818 DNH589817:DNH589818 DXD589817:DXD589818 EGZ589817:EGZ589818 EQV589817:EQV589818 FAR589817:FAR589818 FKN589817:FKN589818 FUJ589817:FUJ589818 GEF589817:GEF589818 GOB589817:GOB589818 GXX589817:GXX589818 HHT589817:HHT589818 HRP589817:HRP589818 IBL589817:IBL589818 ILH589817:ILH589818 IVD589817:IVD589818 JEZ589817:JEZ589818 JOV589817:JOV589818 JYR589817:JYR589818 KIN589817:KIN589818 KSJ589817:KSJ589818 LCF589817:LCF589818 LMB589817:LMB589818 LVX589817:LVX589818 MFT589817:MFT589818 MPP589817:MPP589818 MZL589817:MZL589818 NJH589817:NJH589818 NTD589817:NTD589818 OCZ589817:OCZ589818 OMV589817:OMV589818 OWR589817:OWR589818 PGN589817:PGN589818 PQJ589817:PQJ589818 QAF589817:QAF589818 QKB589817:QKB589818 QTX589817:QTX589818 RDT589817:RDT589818 RNP589817:RNP589818 RXL589817:RXL589818 SHH589817:SHH589818 SRD589817:SRD589818 TAZ589817:TAZ589818 TKV589817:TKV589818 TUR589817:TUR589818 UEN589817:UEN589818 UOJ589817:UOJ589818 UYF589817:UYF589818 VIB589817:VIB589818 VRX589817:VRX589818 WBT589817:WBT589818 WLP589817:WLP589818 WVL589817:WVL589818 D655353:D655354 IZ655353:IZ655354 SV655353:SV655354 ACR655353:ACR655354 AMN655353:AMN655354 AWJ655353:AWJ655354 BGF655353:BGF655354 BQB655353:BQB655354 BZX655353:BZX655354 CJT655353:CJT655354 CTP655353:CTP655354 DDL655353:DDL655354 DNH655353:DNH655354 DXD655353:DXD655354 EGZ655353:EGZ655354 EQV655353:EQV655354 FAR655353:FAR655354 FKN655353:FKN655354 FUJ655353:FUJ655354 GEF655353:GEF655354 GOB655353:GOB655354 GXX655353:GXX655354 HHT655353:HHT655354 HRP655353:HRP655354 IBL655353:IBL655354 ILH655353:ILH655354 IVD655353:IVD655354 JEZ655353:JEZ655354 JOV655353:JOV655354 JYR655353:JYR655354 KIN655353:KIN655354 KSJ655353:KSJ655354 LCF655353:LCF655354 LMB655353:LMB655354 LVX655353:LVX655354 MFT655353:MFT655354 MPP655353:MPP655354 MZL655353:MZL655354 NJH655353:NJH655354 NTD655353:NTD655354 OCZ655353:OCZ655354 OMV655353:OMV655354 OWR655353:OWR655354 PGN655353:PGN655354 PQJ655353:PQJ655354 QAF655353:QAF655354 QKB655353:QKB655354 QTX655353:QTX655354 RDT655353:RDT655354 RNP655353:RNP655354 RXL655353:RXL655354 SHH655353:SHH655354 SRD655353:SRD655354 TAZ655353:TAZ655354 TKV655353:TKV655354 TUR655353:TUR655354 UEN655353:UEN655354 UOJ655353:UOJ655354 UYF655353:UYF655354 VIB655353:VIB655354 VRX655353:VRX655354 WBT655353:WBT655354 WLP655353:WLP655354 WVL655353:WVL655354 D720889:D720890 IZ720889:IZ720890 SV720889:SV720890 ACR720889:ACR720890 AMN720889:AMN720890 AWJ720889:AWJ720890 BGF720889:BGF720890 BQB720889:BQB720890 BZX720889:BZX720890 CJT720889:CJT720890 CTP720889:CTP720890 DDL720889:DDL720890 DNH720889:DNH720890 DXD720889:DXD720890 EGZ720889:EGZ720890 EQV720889:EQV720890 FAR720889:FAR720890 FKN720889:FKN720890 FUJ720889:FUJ720890 GEF720889:GEF720890 GOB720889:GOB720890 GXX720889:GXX720890 HHT720889:HHT720890 HRP720889:HRP720890 IBL720889:IBL720890 ILH720889:ILH720890 IVD720889:IVD720890 JEZ720889:JEZ720890 JOV720889:JOV720890 JYR720889:JYR720890 KIN720889:KIN720890 KSJ720889:KSJ720890 LCF720889:LCF720890 LMB720889:LMB720890 LVX720889:LVX720890 MFT720889:MFT720890 MPP720889:MPP720890 MZL720889:MZL720890 NJH720889:NJH720890 NTD720889:NTD720890 OCZ720889:OCZ720890 OMV720889:OMV720890 OWR720889:OWR720890 PGN720889:PGN720890 PQJ720889:PQJ720890 QAF720889:QAF720890 QKB720889:QKB720890 QTX720889:QTX720890 RDT720889:RDT720890 RNP720889:RNP720890 RXL720889:RXL720890 SHH720889:SHH720890 SRD720889:SRD720890 TAZ720889:TAZ720890 TKV720889:TKV720890 TUR720889:TUR720890 UEN720889:UEN720890 UOJ720889:UOJ720890 UYF720889:UYF720890 VIB720889:VIB720890 VRX720889:VRX720890 WBT720889:WBT720890 WLP720889:WLP720890 WVL720889:WVL720890 D786425:D786426 IZ786425:IZ786426 SV786425:SV786426 ACR786425:ACR786426 AMN786425:AMN786426 AWJ786425:AWJ786426 BGF786425:BGF786426 BQB786425:BQB786426 BZX786425:BZX786426 CJT786425:CJT786426 CTP786425:CTP786426 DDL786425:DDL786426 DNH786425:DNH786426 DXD786425:DXD786426 EGZ786425:EGZ786426 EQV786425:EQV786426 FAR786425:FAR786426 FKN786425:FKN786426 FUJ786425:FUJ786426 GEF786425:GEF786426 GOB786425:GOB786426 GXX786425:GXX786426 HHT786425:HHT786426 HRP786425:HRP786426 IBL786425:IBL786426 ILH786425:ILH786426 IVD786425:IVD786426 JEZ786425:JEZ786426 JOV786425:JOV786426 JYR786425:JYR786426 KIN786425:KIN786426 KSJ786425:KSJ786426 LCF786425:LCF786426 LMB786425:LMB786426 LVX786425:LVX786426 MFT786425:MFT786426 MPP786425:MPP786426 MZL786425:MZL786426 NJH786425:NJH786426 NTD786425:NTD786426 OCZ786425:OCZ786426 OMV786425:OMV786426 OWR786425:OWR786426 PGN786425:PGN786426 PQJ786425:PQJ786426 QAF786425:QAF786426 QKB786425:QKB786426 QTX786425:QTX786426 RDT786425:RDT786426 RNP786425:RNP786426 RXL786425:RXL786426 SHH786425:SHH786426 SRD786425:SRD786426 TAZ786425:TAZ786426 TKV786425:TKV786426 TUR786425:TUR786426 UEN786425:UEN786426 UOJ786425:UOJ786426 UYF786425:UYF786426 VIB786425:VIB786426 VRX786425:VRX786426 WBT786425:WBT786426 WLP786425:WLP786426 WVL786425:WVL786426 D851961:D851962 IZ851961:IZ851962 SV851961:SV851962 ACR851961:ACR851962 AMN851961:AMN851962 AWJ851961:AWJ851962 BGF851961:BGF851962 BQB851961:BQB851962 BZX851961:BZX851962 CJT851961:CJT851962 CTP851961:CTP851962 DDL851961:DDL851962 DNH851961:DNH851962 DXD851961:DXD851962 EGZ851961:EGZ851962 EQV851961:EQV851962 FAR851961:FAR851962 FKN851961:FKN851962 FUJ851961:FUJ851962 GEF851961:GEF851962 GOB851961:GOB851962 GXX851961:GXX851962 HHT851961:HHT851962 HRP851961:HRP851962 IBL851961:IBL851962 ILH851961:ILH851962 IVD851961:IVD851962 JEZ851961:JEZ851962 JOV851961:JOV851962 JYR851961:JYR851962 KIN851961:KIN851962 KSJ851961:KSJ851962 LCF851961:LCF851962 LMB851961:LMB851962 LVX851961:LVX851962 MFT851961:MFT851962 MPP851961:MPP851962 MZL851961:MZL851962 NJH851961:NJH851962 NTD851961:NTD851962 OCZ851961:OCZ851962 OMV851961:OMV851962 OWR851961:OWR851962 PGN851961:PGN851962 PQJ851961:PQJ851962 QAF851961:QAF851962 QKB851961:QKB851962 QTX851961:QTX851962 RDT851961:RDT851962 RNP851961:RNP851962 RXL851961:RXL851962 SHH851961:SHH851962 SRD851961:SRD851962 TAZ851961:TAZ851962 TKV851961:TKV851962 TUR851961:TUR851962 UEN851961:UEN851962 UOJ851961:UOJ851962 UYF851961:UYF851962 VIB851961:VIB851962 VRX851961:VRX851962 WBT851961:WBT851962 WLP851961:WLP851962 WVL851961:WVL851962 D917497:D917498 IZ917497:IZ917498 SV917497:SV917498 ACR917497:ACR917498 AMN917497:AMN917498 AWJ917497:AWJ917498 BGF917497:BGF917498 BQB917497:BQB917498 BZX917497:BZX917498 CJT917497:CJT917498 CTP917497:CTP917498 DDL917497:DDL917498 DNH917497:DNH917498 DXD917497:DXD917498 EGZ917497:EGZ917498 EQV917497:EQV917498 FAR917497:FAR917498 FKN917497:FKN917498 FUJ917497:FUJ917498 GEF917497:GEF917498 GOB917497:GOB917498 GXX917497:GXX917498 HHT917497:HHT917498 HRP917497:HRP917498 IBL917497:IBL917498 ILH917497:ILH917498 IVD917497:IVD917498 JEZ917497:JEZ917498 JOV917497:JOV917498 JYR917497:JYR917498 KIN917497:KIN917498 KSJ917497:KSJ917498 LCF917497:LCF917498 LMB917497:LMB917498 LVX917497:LVX917498 MFT917497:MFT917498 MPP917497:MPP917498 MZL917497:MZL917498 NJH917497:NJH917498 NTD917497:NTD917498 OCZ917497:OCZ917498 OMV917497:OMV917498 OWR917497:OWR917498 PGN917497:PGN917498 PQJ917497:PQJ917498 QAF917497:QAF917498 QKB917497:QKB917498 QTX917497:QTX917498 RDT917497:RDT917498 RNP917497:RNP917498 RXL917497:RXL917498 SHH917497:SHH917498 SRD917497:SRD917498 TAZ917497:TAZ917498 TKV917497:TKV917498 TUR917497:TUR917498 UEN917497:UEN917498 UOJ917497:UOJ917498 UYF917497:UYF917498 VIB917497:VIB917498 VRX917497:VRX917498 WBT917497:WBT917498 WLP917497:WLP917498 WVL917497:WVL917498 D983033:D983034 IZ983033:IZ983034 SV983033:SV983034 ACR983033:ACR983034 AMN983033:AMN983034 AWJ983033:AWJ983034 BGF983033:BGF983034 BQB983033:BQB983034 BZX983033:BZX983034 CJT983033:CJT983034 CTP983033:CTP983034 DDL983033:DDL983034 DNH983033:DNH983034 DXD983033:DXD983034 EGZ983033:EGZ983034 EQV983033:EQV983034 FAR983033:FAR983034 FKN983033:FKN983034 FUJ983033:FUJ983034 GEF983033:GEF983034 GOB983033:GOB983034 GXX983033:GXX983034 HHT983033:HHT983034 HRP983033:HRP983034 IBL983033:IBL983034 ILH983033:ILH983034 IVD983033:IVD983034 JEZ983033:JEZ983034 JOV983033:JOV983034 JYR983033:JYR983034 KIN983033:KIN983034 KSJ983033:KSJ983034 LCF983033:LCF983034 LMB983033:LMB983034 LVX983033:LVX983034 MFT983033:MFT983034 MPP983033:MPP983034 MZL983033:MZL983034 NJH983033:NJH983034 NTD983033:NTD983034 OCZ983033:OCZ983034 OMV983033:OMV983034 OWR983033:OWR983034 PGN983033:PGN983034 PQJ983033:PQJ983034 QAF983033:QAF983034 QKB983033:QKB983034 QTX983033:QTX983034 RDT983033:RDT983034 RNP983033:RNP983034 RXL983033:RXL983034 SHH983033:SHH983034 SRD983033:SRD983034 TAZ983033:TAZ983034 TKV983033:TKV983034 TUR983033:TUR983034 UEN983033:UEN983034 UOJ983033:UOJ983034 UYF983033:UYF983034 VIB983033:VIB983034 VRX983033:VRX983034 WBT983033:WBT983034 WLP983033:WLP983034 WVL983033:WVL983034 C21 IZ23:IZ25 SV23:SV25 ACR23:ACR25 AMN23:AMN25 AWJ23:AWJ25 BGF23:BGF25 BQB23:BQB25 BZX23:BZX25 CJT23:CJT25 CTP23:CTP25 DDL23:DDL25 DNH23:DNH25 DXD23:DXD25 EGZ23:EGZ25 EQV23:EQV25 FAR23:FAR25 FKN23:FKN25 FUJ23:FUJ25 GEF23:GEF25 GOB23:GOB25 GXX23:GXX25 HHT23:HHT25 HRP23:HRP25 IBL23:IBL25 ILH23:ILH25 IVD23:IVD25 JEZ23:JEZ25 JOV23:JOV25 JYR23:JYR25 KIN23:KIN25 KSJ23:KSJ25 LCF23:LCF25 LMB23:LMB25 LVX23:LVX25 MFT23:MFT25 MPP23:MPP25 MZL23:MZL25 NJH23:NJH25 NTD23:NTD25 OCZ23:OCZ25 OMV23:OMV25 OWR23:OWR25 PGN23:PGN25 PQJ23:PQJ25 QAF23:QAF25 QKB23:QKB25 QTX23:QTX25 RDT23:RDT25 RNP23:RNP25 RXL23:RXL25 SHH23:SHH25 SRD23:SRD25 TAZ23:TAZ25 TKV23:TKV25 TUR23:TUR25 UEN23:UEN25 UOJ23:UOJ25 UYF23:UYF25 VIB23:VIB25 VRX23:VRX25 WBT23:WBT25 WLP23:WLP25 WVL23:WVL25 D65532:D65538 IZ65532:IZ65538 SV65532:SV65538 ACR65532:ACR65538 AMN65532:AMN65538 AWJ65532:AWJ65538 BGF65532:BGF65538 BQB65532:BQB65538 BZX65532:BZX65538 CJT65532:CJT65538 CTP65532:CTP65538 DDL65532:DDL65538 DNH65532:DNH65538 DXD65532:DXD65538 EGZ65532:EGZ65538 EQV65532:EQV65538 FAR65532:FAR65538 FKN65532:FKN65538 FUJ65532:FUJ65538 GEF65532:GEF65538 GOB65532:GOB65538 GXX65532:GXX65538 HHT65532:HHT65538 HRP65532:HRP65538 IBL65532:IBL65538 ILH65532:ILH65538 IVD65532:IVD65538 JEZ65532:JEZ65538 JOV65532:JOV65538 JYR65532:JYR65538 KIN65532:KIN65538 KSJ65532:KSJ65538 LCF65532:LCF65538 LMB65532:LMB65538 LVX65532:LVX65538 MFT65532:MFT65538 MPP65532:MPP65538 MZL65532:MZL65538 NJH65532:NJH65538 NTD65532:NTD65538 OCZ65532:OCZ65538 OMV65532:OMV65538 OWR65532:OWR65538 PGN65532:PGN65538 PQJ65532:PQJ65538 QAF65532:QAF65538 QKB65532:QKB65538 QTX65532:QTX65538 RDT65532:RDT65538 RNP65532:RNP65538 RXL65532:RXL65538 SHH65532:SHH65538 SRD65532:SRD65538 TAZ65532:TAZ65538 TKV65532:TKV65538 TUR65532:TUR65538 UEN65532:UEN65538 UOJ65532:UOJ65538 UYF65532:UYF65538 VIB65532:VIB65538 VRX65532:VRX65538 WBT65532:WBT65538 WLP65532:WLP65538 WVL65532:WVL65538 D131068:D131074 IZ131068:IZ131074 SV131068:SV131074 ACR131068:ACR131074 AMN131068:AMN131074 AWJ131068:AWJ131074 BGF131068:BGF131074 BQB131068:BQB131074 BZX131068:BZX131074 CJT131068:CJT131074 CTP131068:CTP131074 DDL131068:DDL131074 DNH131068:DNH131074 DXD131068:DXD131074 EGZ131068:EGZ131074 EQV131068:EQV131074 FAR131068:FAR131074 FKN131068:FKN131074 FUJ131068:FUJ131074 GEF131068:GEF131074 GOB131068:GOB131074 GXX131068:GXX131074 HHT131068:HHT131074 HRP131068:HRP131074 IBL131068:IBL131074 ILH131068:ILH131074 IVD131068:IVD131074 JEZ131068:JEZ131074 JOV131068:JOV131074 JYR131068:JYR131074 KIN131068:KIN131074 KSJ131068:KSJ131074 LCF131068:LCF131074 LMB131068:LMB131074 LVX131068:LVX131074 MFT131068:MFT131074 MPP131068:MPP131074 MZL131068:MZL131074 NJH131068:NJH131074 NTD131068:NTD131074 OCZ131068:OCZ131074 OMV131068:OMV131074 OWR131068:OWR131074 PGN131068:PGN131074 PQJ131068:PQJ131074 QAF131068:QAF131074 QKB131068:QKB131074 QTX131068:QTX131074 RDT131068:RDT131074 RNP131068:RNP131074 RXL131068:RXL131074 SHH131068:SHH131074 SRD131068:SRD131074 TAZ131068:TAZ131074 TKV131068:TKV131074 TUR131068:TUR131074 UEN131068:UEN131074 UOJ131068:UOJ131074 UYF131068:UYF131074 VIB131068:VIB131074 VRX131068:VRX131074 WBT131068:WBT131074 WLP131068:WLP131074 WVL131068:WVL131074 D196604:D196610 IZ196604:IZ196610 SV196604:SV196610 ACR196604:ACR196610 AMN196604:AMN196610 AWJ196604:AWJ196610 BGF196604:BGF196610 BQB196604:BQB196610 BZX196604:BZX196610 CJT196604:CJT196610 CTP196604:CTP196610 DDL196604:DDL196610 DNH196604:DNH196610 DXD196604:DXD196610 EGZ196604:EGZ196610 EQV196604:EQV196610 FAR196604:FAR196610 FKN196604:FKN196610 FUJ196604:FUJ196610 GEF196604:GEF196610 GOB196604:GOB196610 GXX196604:GXX196610 HHT196604:HHT196610 HRP196604:HRP196610 IBL196604:IBL196610 ILH196604:ILH196610 IVD196604:IVD196610 JEZ196604:JEZ196610 JOV196604:JOV196610 JYR196604:JYR196610 KIN196604:KIN196610 KSJ196604:KSJ196610 LCF196604:LCF196610 LMB196604:LMB196610 LVX196604:LVX196610 MFT196604:MFT196610 MPP196604:MPP196610 MZL196604:MZL196610 NJH196604:NJH196610 NTD196604:NTD196610 OCZ196604:OCZ196610 OMV196604:OMV196610 OWR196604:OWR196610 PGN196604:PGN196610 PQJ196604:PQJ196610 QAF196604:QAF196610 QKB196604:QKB196610 QTX196604:QTX196610 RDT196604:RDT196610 RNP196604:RNP196610 RXL196604:RXL196610 SHH196604:SHH196610 SRD196604:SRD196610 TAZ196604:TAZ196610 TKV196604:TKV196610 TUR196604:TUR196610 UEN196604:UEN196610 UOJ196604:UOJ196610 UYF196604:UYF196610 VIB196604:VIB196610 VRX196604:VRX196610 WBT196604:WBT196610 WLP196604:WLP196610 WVL196604:WVL196610 D262140:D262146 IZ262140:IZ262146 SV262140:SV262146 ACR262140:ACR262146 AMN262140:AMN262146 AWJ262140:AWJ262146 BGF262140:BGF262146 BQB262140:BQB262146 BZX262140:BZX262146 CJT262140:CJT262146 CTP262140:CTP262146 DDL262140:DDL262146 DNH262140:DNH262146 DXD262140:DXD262146 EGZ262140:EGZ262146 EQV262140:EQV262146 FAR262140:FAR262146 FKN262140:FKN262146 FUJ262140:FUJ262146 GEF262140:GEF262146 GOB262140:GOB262146 GXX262140:GXX262146 HHT262140:HHT262146 HRP262140:HRP262146 IBL262140:IBL262146 ILH262140:ILH262146 IVD262140:IVD262146 JEZ262140:JEZ262146 JOV262140:JOV262146 JYR262140:JYR262146 KIN262140:KIN262146 KSJ262140:KSJ262146 LCF262140:LCF262146 LMB262140:LMB262146 LVX262140:LVX262146 MFT262140:MFT262146 MPP262140:MPP262146 MZL262140:MZL262146 NJH262140:NJH262146 NTD262140:NTD262146 OCZ262140:OCZ262146 OMV262140:OMV262146 OWR262140:OWR262146 PGN262140:PGN262146 PQJ262140:PQJ262146 QAF262140:QAF262146 QKB262140:QKB262146 QTX262140:QTX262146 RDT262140:RDT262146 RNP262140:RNP262146 RXL262140:RXL262146 SHH262140:SHH262146 SRD262140:SRD262146 TAZ262140:TAZ262146 TKV262140:TKV262146 TUR262140:TUR262146 UEN262140:UEN262146 UOJ262140:UOJ262146 UYF262140:UYF262146 VIB262140:VIB262146 VRX262140:VRX262146 WBT262140:WBT262146 WLP262140:WLP262146 WVL262140:WVL262146 D327676:D327682 IZ327676:IZ327682 SV327676:SV327682 ACR327676:ACR327682 AMN327676:AMN327682 AWJ327676:AWJ327682 BGF327676:BGF327682 BQB327676:BQB327682 BZX327676:BZX327682 CJT327676:CJT327682 CTP327676:CTP327682 DDL327676:DDL327682 DNH327676:DNH327682 DXD327676:DXD327682 EGZ327676:EGZ327682 EQV327676:EQV327682 FAR327676:FAR327682 FKN327676:FKN327682 FUJ327676:FUJ327682 GEF327676:GEF327682 GOB327676:GOB327682 GXX327676:GXX327682 HHT327676:HHT327682 HRP327676:HRP327682 IBL327676:IBL327682 ILH327676:ILH327682 IVD327676:IVD327682 JEZ327676:JEZ327682 JOV327676:JOV327682 JYR327676:JYR327682 KIN327676:KIN327682 KSJ327676:KSJ327682 LCF327676:LCF327682 LMB327676:LMB327682 LVX327676:LVX327682 MFT327676:MFT327682 MPP327676:MPP327682 MZL327676:MZL327682 NJH327676:NJH327682 NTD327676:NTD327682 OCZ327676:OCZ327682 OMV327676:OMV327682 OWR327676:OWR327682 PGN327676:PGN327682 PQJ327676:PQJ327682 QAF327676:QAF327682 QKB327676:QKB327682 QTX327676:QTX327682 RDT327676:RDT327682 RNP327676:RNP327682 RXL327676:RXL327682 SHH327676:SHH327682 SRD327676:SRD327682 TAZ327676:TAZ327682 TKV327676:TKV327682 TUR327676:TUR327682 UEN327676:UEN327682 UOJ327676:UOJ327682 UYF327676:UYF327682 VIB327676:VIB327682 VRX327676:VRX327682 WBT327676:WBT327682 WLP327676:WLP327682 WVL327676:WVL327682 D393212:D393218 IZ393212:IZ393218 SV393212:SV393218 ACR393212:ACR393218 AMN393212:AMN393218 AWJ393212:AWJ393218 BGF393212:BGF393218 BQB393212:BQB393218 BZX393212:BZX393218 CJT393212:CJT393218 CTP393212:CTP393218 DDL393212:DDL393218 DNH393212:DNH393218 DXD393212:DXD393218 EGZ393212:EGZ393218 EQV393212:EQV393218 FAR393212:FAR393218 FKN393212:FKN393218 FUJ393212:FUJ393218 GEF393212:GEF393218 GOB393212:GOB393218 GXX393212:GXX393218 HHT393212:HHT393218 HRP393212:HRP393218 IBL393212:IBL393218 ILH393212:ILH393218 IVD393212:IVD393218 JEZ393212:JEZ393218 JOV393212:JOV393218 JYR393212:JYR393218 KIN393212:KIN393218 KSJ393212:KSJ393218 LCF393212:LCF393218 LMB393212:LMB393218 LVX393212:LVX393218 MFT393212:MFT393218 MPP393212:MPP393218 MZL393212:MZL393218 NJH393212:NJH393218 NTD393212:NTD393218 OCZ393212:OCZ393218 OMV393212:OMV393218 OWR393212:OWR393218 PGN393212:PGN393218 PQJ393212:PQJ393218 QAF393212:QAF393218 QKB393212:QKB393218 QTX393212:QTX393218 RDT393212:RDT393218 RNP393212:RNP393218 RXL393212:RXL393218 SHH393212:SHH393218 SRD393212:SRD393218 TAZ393212:TAZ393218 TKV393212:TKV393218 TUR393212:TUR393218 UEN393212:UEN393218 UOJ393212:UOJ393218 UYF393212:UYF393218 VIB393212:VIB393218 VRX393212:VRX393218 WBT393212:WBT393218 WLP393212:WLP393218 WVL393212:WVL393218 D458748:D458754 IZ458748:IZ458754 SV458748:SV458754 ACR458748:ACR458754 AMN458748:AMN458754 AWJ458748:AWJ458754 BGF458748:BGF458754 BQB458748:BQB458754 BZX458748:BZX458754 CJT458748:CJT458754 CTP458748:CTP458754 DDL458748:DDL458754 DNH458748:DNH458754 DXD458748:DXD458754 EGZ458748:EGZ458754 EQV458748:EQV458754 FAR458748:FAR458754 FKN458748:FKN458754 FUJ458748:FUJ458754 GEF458748:GEF458754 GOB458748:GOB458754 GXX458748:GXX458754 HHT458748:HHT458754 HRP458748:HRP458754 IBL458748:IBL458754 ILH458748:ILH458754 IVD458748:IVD458754 JEZ458748:JEZ458754 JOV458748:JOV458754 JYR458748:JYR458754 KIN458748:KIN458754 KSJ458748:KSJ458754 LCF458748:LCF458754 LMB458748:LMB458754 LVX458748:LVX458754 MFT458748:MFT458754 MPP458748:MPP458754 MZL458748:MZL458754 NJH458748:NJH458754 NTD458748:NTD458754 OCZ458748:OCZ458754 OMV458748:OMV458754 OWR458748:OWR458754 PGN458748:PGN458754 PQJ458748:PQJ458754 QAF458748:QAF458754 QKB458748:QKB458754 QTX458748:QTX458754 RDT458748:RDT458754 RNP458748:RNP458754 RXL458748:RXL458754 SHH458748:SHH458754 SRD458748:SRD458754 TAZ458748:TAZ458754 TKV458748:TKV458754 TUR458748:TUR458754 UEN458748:UEN458754 UOJ458748:UOJ458754 UYF458748:UYF458754 VIB458748:VIB458754 VRX458748:VRX458754 WBT458748:WBT458754 WLP458748:WLP458754 WVL458748:WVL458754 D524284:D524290 IZ524284:IZ524290 SV524284:SV524290 ACR524284:ACR524290 AMN524284:AMN524290 AWJ524284:AWJ524290 BGF524284:BGF524290 BQB524284:BQB524290 BZX524284:BZX524290 CJT524284:CJT524290 CTP524284:CTP524290 DDL524284:DDL524290 DNH524284:DNH524290 DXD524284:DXD524290 EGZ524284:EGZ524290 EQV524284:EQV524290 FAR524284:FAR524290 FKN524284:FKN524290 FUJ524284:FUJ524290 GEF524284:GEF524290 GOB524284:GOB524290 GXX524284:GXX524290 HHT524284:HHT524290 HRP524284:HRP524290 IBL524284:IBL524290 ILH524284:ILH524290 IVD524284:IVD524290 JEZ524284:JEZ524290 JOV524284:JOV524290 JYR524284:JYR524290 KIN524284:KIN524290 KSJ524284:KSJ524290 LCF524284:LCF524290 LMB524284:LMB524290 LVX524284:LVX524290 MFT524284:MFT524290 MPP524284:MPP524290 MZL524284:MZL524290 NJH524284:NJH524290 NTD524284:NTD524290 OCZ524284:OCZ524290 OMV524284:OMV524290 OWR524284:OWR524290 PGN524284:PGN524290 PQJ524284:PQJ524290 QAF524284:QAF524290 QKB524284:QKB524290 QTX524284:QTX524290 RDT524284:RDT524290 RNP524284:RNP524290 RXL524284:RXL524290 SHH524284:SHH524290 SRD524284:SRD524290 TAZ524284:TAZ524290 TKV524284:TKV524290 TUR524284:TUR524290 UEN524284:UEN524290 UOJ524284:UOJ524290 UYF524284:UYF524290 VIB524284:VIB524290 VRX524284:VRX524290 WBT524284:WBT524290 WLP524284:WLP524290 WVL524284:WVL524290 D589820:D589826 IZ589820:IZ589826 SV589820:SV589826 ACR589820:ACR589826 AMN589820:AMN589826 AWJ589820:AWJ589826 BGF589820:BGF589826 BQB589820:BQB589826 BZX589820:BZX589826 CJT589820:CJT589826 CTP589820:CTP589826 DDL589820:DDL589826 DNH589820:DNH589826 DXD589820:DXD589826 EGZ589820:EGZ589826 EQV589820:EQV589826 FAR589820:FAR589826 FKN589820:FKN589826 FUJ589820:FUJ589826 GEF589820:GEF589826 GOB589820:GOB589826 GXX589820:GXX589826 HHT589820:HHT589826 HRP589820:HRP589826 IBL589820:IBL589826 ILH589820:ILH589826 IVD589820:IVD589826 JEZ589820:JEZ589826 JOV589820:JOV589826 JYR589820:JYR589826 KIN589820:KIN589826 KSJ589820:KSJ589826 LCF589820:LCF589826 LMB589820:LMB589826 LVX589820:LVX589826 MFT589820:MFT589826 MPP589820:MPP589826 MZL589820:MZL589826 NJH589820:NJH589826 NTD589820:NTD589826 OCZ589820:OCZ589826 OMV589820:OMV589826 OWR589820:OWR589826 PGN589820:PGN589826 PQJ589820:PQJ589826 QAF589820:QAF589826 QKB589820:QKB589826 QTX589820:QTX589826 RDT589820:RDT589826 RNP589820:RNP589826 RXL589820:RXL589826 SHH589820:SHH589826 SRD589820:SRD589826 TAZ589820:TAZ589826 TKV589820:TKV589826 TUR589820:TUR589826 UEN589820:UEN589826 UOJ589820:UOJ589826 UYF589820:UYF589826 VIB589820:VIB589826 VRX589820:VRX589826 WBT589820:WBT589826 WLP589820:WLP589826 WVL589820:WVL589826 D655356:D655362 IZ655356:IZ655362 SV655356:SV655362 ACR655356:ACR655362 AMN655356:AMN655362 AWJ655356:AWJ655362 BGF655356:BGF655362 BQB655356:BQB655362 BZX655356:BZX655362 CJT655356:CJT655362 CTP655356:CTP655362 DDL655356:DDL655362 DNH655356:DNH655362 DXD655356:DXD655362 EGZ655356:EGZ655362 EQV655356:EQV655362 FAR655356:FAR655362 FKN655356:FKN655362 FUJ655356:FUJ655362 GEF655356:GEF655362 GOB655356:GOB655362 GXX655356:GXX655362 HHT655356:HHT655362 HRP655356:HRP655362 IBL655356:IBL655362 ILH655356:ILH655362 IVD655356:IVD655362 JEZ655356:JEZ655362 JOV655356:JOV655362 JYR655356:JYR655362 KIN655356:KIN655362 KSJ655356:KSJ655362 LCF655356:LCF655362 LMB655356:LMB655362 LVX655356:LVX655362 MFT655356:MFT655362 MPP655356:MPP655362 MZL655356:MZL655362 NJH655356:NJH655362 NTD655356:NTD655362 OCZ655356:OCZ655362 OMV655356:OMV655362 OWR655356:OWR655362 PGN655356:PGN655362 PQJ655356:PQJ655362 QAF655356:QAF655362 QKB655356:QKB655362 QTX655356:QTX655362 RDT655356:RDT655362 RNP655356:RNP655362 RXL655356:RXL655362 SHH655356:SHH655362 SRD655356:SRD655362 TAZ655356:TAZ655362 TKV655356:TKV655362 TUR655356:TUR655362 UEN655356:UEN655362 UOJ655356:UOJ655362 UYF655356:UYF655362 VIB655356:VIB655362 VRX655356:VRX655362 WBT655356:WBT655362 WLP655356:WLP655362 WVL655356:WVL655362 D720892:D720898 IZ720892:IZ720898 SV720892:SV720898 ACR720892:ACR720898 AMN720892:AMN720898 AWJ720892:AWJ720898 BGF720892:BGF720898 BQB720892:BQB720898 BZX720892:BZX720898 CJT720892:CJT720898 CTP720892:CTP720898 DDL720892:DDL720898 DNH720892:DNH720898 DXD720892:DXD720898 EGZ720892:EGZ720898 EQV720892:EQV720898 FAR720892:FAR720898 FKN720892:FKN720898 FUJ720892:FUJ720898 GEF720892:GEF720898 GOB720892:GOB720898 GXX720892:GXX720898 HHT720892:HHT720898 HRP720892:HRP720898 IBL720892:IBL720898 ILH720892:ILH720898 IVD720892:IVD720898 JEZ720892:JEZ720898 JOV720892:JOV720898 JYR720892:JYR720898 KIN720892:KIN720898 KSJ720892:KSJ720898 LCF720892:LCF720898 LMB720892:LMB720898 LVX720892:LVX720898 MFT720892:MFT720898 MPP720892:MPP720898 MZL720892:MZL720898 NJH720892:NJH720898 NTD720892:NTD720898 OCZ720892:OCZ720898 OMV720892:OMV720898 OWR720892:OWR720898 PGN720892:PGN720898 PQJ720892:PQJ720898 QAF720892:QAF720898 QKB720892:QKB720898 QTX720892:QTX720898 RDT720892:RDT720898 RNP720892:RNP720898 RXL720892:RXL720898 SHH720892:SHH720898 SRD720892:SRD720898 TAZ720892:TAZ720898 TKV720892:TKV720898 TUR720892:TUR720898 UEN720892:UEN720898 UOJ720892:UOJ720898 UYF720892:UYF720898 VIB720892:VIB720898 VRX720892:VRX720898 WBT720892:WBT720898 WLP720892:WLP720898 WVL720892:WVL720898 D786428:D786434 IZ786428:IZ786434 SV786428:SV786434 ACR786428:ACR786434 AMN786428:AMN786434 AWJ786428:AWJ786434 BGF786428:BGF786434 BQB786428:BQB786434 BZX786428:BZX786434 CJT786428:CJT786434 CTP786428:CTP786434 DDL786428:DDL786434 DNH786428:DNH786434 DXD786428:DXD786434 EGZ786428:EGZ786434 EQV786428:EQV786434 FAR786428:FAR786434 FKN786428:FKN786434 FUJ786428:FUJ786434 GEF786428:GEF786434 GOB786428:GOB786434 GXX786428:GXX786434 HHT786428:HHT786434 HRP786428:HRP786434 IBL786428:IBL786434 ILH786428:ILH786434 IVD786428:IVD786434 JEZ786428:JEZ786434 JOV786428:JOV786434 JYR786428:JYR786434 KIN786428:KIN786434 KSJ786428:KSJ786434 LCF786428:LCF786434 LMB786428:LMB786434 LVX786428:LVX786434 MFT786428:MFT786434 MPP786428:MPP786434 MZL786428:MZL786434 NJH786428:NJH786434 NTD786428:NTD786434 OCZ786428:OCZ786434 OMV786428:OMV786434 OWR786428:OWR786434 PGN786428:PGN786434 PQJ786428:PQJ786434 QAF786428:QAF786434 QKB786428:QKB786434 QTX786428:QTX786434 RDT786428:RDT786434 RNP786428:RNP786434 RXL786428:RXL786434 SHH786428:SHH786434 SRD786428:SRD786434 TAZ786428:TAZ786434 TKV786428:TKV786434 TUR786428:TUR786434 UEN786428:UEN786434 UOJ786428:UOJ786434 UYF786428:UYF786434 VIB786428:VIB786434 VRX786428:VRX786434 WBT786428:WBT786434 WLP786428:WLP786434 WVL786428:WVL786434 D851964:D851970 IZ851964:IZ851970 SV851964:SV851970 ACR851964:ACR851970 AMN851964:AMN851970 AWJ851964:AWJ851970 BGF851964:BGF851970 BQB851964:BQB851970 BZX851964:BZX851970 CJT851964:CJT851970 CTP851964:CTP851970 DDL851964:DDL851970 DNH851964:DNH851970 DXD851964:DXD851970 EGZ851964:EGZ851970 EQV851964:EQV851970 FAR851964:FAR851970 FKN851964:FKN851970 FUJ851964:FUJ851970 GEF851964:GEF851970 GOB851964:GOB851970 GXX851964:GXX851970 HHT851964:HHT851970 HRP851964:HRP851970 IBL851964:IBL851970 ILH851964:ILH851970 IVD851964:IVD851970 JEZ851964:JEZ851970 JOV851964:JOV851970 JYR851964:JYR851970 KIN851964:KIN851970 KSJ851964:KSJ851970 LCF851964:LCF851970 LMB851964:LMB851970 LVX851964:LVX851970 MFT851964:MFT851970 MPP851964:MPP851970 MZL851964:MZL851970 NJH851964:NJH851970 NTD851964:NTD851970 OCZ851964:OCZ851970 OMV851964:OMV851970 OWR851964:OWR851970 PGN851964:PGN851970 PQJ851964:PQJ851970 QAF851964:QAF851970 QKB851964:QKB851970 QTX851964:QTX851970 RDT851964:RDT851970 RNP851964:RNP851970 RXL851964:RXL851970 SHH851964:SHH851970 SRD851964:SRD851970 TAZ851964:TAZ851970 TKV851964:TKV851970 TUR851964:TUR851970 UEN851964:UEN851970 UOJ851964:UOJ851970 UYF851964:UYF851970 VIB851964:VIB851970 VRX851964:VRX851970 WBT851964:WBT851970 WLP851964:WLP851970 WVL851964:WVL851970 D917500:D917506 IZ917500:IZ917506 SV917500:SV917506 ACR917500:ACR917506 AMN917500:AMN917506 AWJ917500:AWJ917506 BGF917500:BGF917506 BQB917500:BQB917506 BZX917500:BZX917506 CJT917500:CJT917506 CTP917500:CTP917506 DDL917500:DDL917506 DNH917500:DNH917506 DXD917500:DXD917506 EGZ917500:EGZ917506 EQV917500:EQV917506 FAR917500:FAR917506 FKN917500:FKN917506 FUJ917500:FUJ917506 GEF917500:GEF917506 GOB917500:GOB917506 GXX917500:GXX917506 HHT917500:HHT917506 HRP917500:HRP917506 IBL917500:IBL917506 ILH917500:ILH917506 IVD917500:IVD917506 JEZ917500:JEZ917506 JOV917500:JOV917506 JYR917500:JYR917506 KIN917500:KIN917506 KSJ917500:KSJ917506 LCF917500:LCF917506 LMB917500:LMB917506 LVX917500:LVX917506 MFT917500:MFT917506 MPP917500:MPP917506 MZL917500:MZL917506 NJH917500:NJH917506 NTD917500:NTD917506 OCZ917500:OCZ917506 OMV917500:OMV917506 OWR917500:OWR917506 PGN917500:PGN917506 PQJ917500:PQJ917506 QAF917500:QAF917506 QKB917500:QKB917506 QTX917500:QTX917506 RDT917500:RDT917506 RNP917500:RNP917506 RXL917500:RXL917506 SHH917500:SHH917506 SRD917500:SRD917506 TAZ917500:TAZ917506 TKV917500:TKV917506 TUR917500:TUR917506 UEN917500:UEN917506 UOJ917500:UOJ917506 UYF917500:UYF917506 VIB917500:VIB917506 VRX917500:VRX917506 WBT917500:WBT917506 WLP917500:WLP917506 WVL917500:WVL917506 D983036:D983042 IZ983036:IZ983042 SV983036:SV983042 ACR983036:ACR983042 AMN983036:AMN983042 AWJ983036:AWJ983042 BGF983036:BGF983042 BQB983036:BQB983042 BZX983036:BZX983042 CJT983036:CJT983042 CTP983036:CTP983042 DDL983036:DDL983042 DNH983036:DNH983042 DXD983036:DXD983042 EGZ983036:EGZ983042 EQV983036:EQV983042 FAR983036:FAR983042 FKN983036:FKN983042 FUJ983036:FUJ983042 GEF983036:GEF983042 GOB983036:GOB983042 GXX983036:GXX983042 HHT983036:HHT983042 HRP983036:HRP983042 IBL983036:IBL983042 ILH983036:ILH983042 IVD983036:IVD983042 JEZ983036:JEZ983042 JOV983036:JOV983042 JYR983036:JYR983042 KIN983036:KIN983042 KSJ983036:KSJ983042 LCF983036:LCF983042 LMB983036:LMB983042 LVX983036:LVX983042 MFT983036:MFT983042 MPP983036:MPP983042 MZL983036:MZL983042 NJH983036:NJH983042 NTD983036:NTD983042 OCZ983036:OCZ983042 OMV983036:OMV983042 OWR983036:OWR983042 PGN983036:PGN983042 PQJ983036:PQJ983042 QAF983036:QAF983042 QKB983036:QKB983042 QTX983036:QTX983042 RDT983036:RDT983042 RNP983036:RNP983042 RXL983036:RXL983042 SHH983036:SHH983042 SRD983036:SRD983042 TAZ983036:TAZ983042 TKV983036:TKV983042 TUR983036:TUR983042 UEN983036:UEN983042 UOJ983036:UOJ983042 UYF983036:UYF983042 VIB983036:VIB983042 VRX983036:VRX983042 WBT983036:WBT983042 WLP983036:WLP983042 WVL983036:WVL983042 C65539 IY65539 SU65539 ACQ65539 AMM65539 AWI65539 BGE65539 BQA65539 BZW65539 CJS65539 CTO65539 DDK65539 DNG65539 DXC65539 EGY65539 EQU65539 FAQ65539 FKM65539 FUI65539 GEE65539 GOA65539 GXW65539 HHS65539 HRO65539 IBK65539 ILG65539 IVC65539 JEY65539 JOU65539 JYQ65539 KIM65539 KSI65539 LCE65539 LMA65539 LVW65539 MFS65539 MPO65539 MZK65539 NJG65539 NTC65539 OCY65539 OMU65539 OWQ65539 PGM65539 PQI65539 QAE65539 QKA65539 QTW65539 RDS65539 RNO65539 RXK65539 SHG65539 SRC65539 TAY65539 TKU65539 TUQ65539 UEM65539 UOI65539 UYE65539 VIA65539 VRW65539 WBS65539 WLO65539 WVK65539 C131075 IY131075 SU131075 ACQ131075 AMM131075 AWI131075 BGE131075 BQA131075 BZW131075 CJS131075 CTO131075 DDK131075 DNG131075 DXC131075 EGY131075 EQU131075 FAQ131075 FKM131075 FUI131075 GEE131075 GOA131075 GXW131075 HHS131075 HRO131075 IBK131075 ILG131075 IVC131075 JEY131075 JOU131075 JYQ131075 KIM131075 KSI131075 LCE131075 LMA131075 LVW131075 MFS131075 MPO131075 MZK131075 NJG131075 NTC131075 OCY131075 OMU131075 OWQ131075 PGM131075 PQI131075 QAE131075 QKA131075 QTW131075 RDS131075 RNO131075 RXK131075 SHG131075 SRC131075 TAY131075 TKU131075 TUQ131075 UEM131075 UOI131075 UYE131075 VIA131075 VRW131075 WBS131075 WLO131075 WVK131075 C196611 IY196611 SU196611 ACQ196611 AMM196611 AWI196611 BGE196611 BQA196611 BZW196611 CJS196611 CTO196611 DDK196611 DNG196611 DXC196611 EGY196611 EQU196611 FAQ196611 FKM196611 FUI196611 GEE196611 GOA196611 GXW196611 HHS196611 HRO196611 IBK196611 ILG196611 IVC196611 JEY196611 JOU196611 JYQ196611 KIM196611 KSI196611 LCE196611 LMA196611 LVW196611 MFS196611 MPO196611 MZK196611 NJG196611 NTC196611 OCY196611 OMU196611 OWQ196611 PGM196611 PQI196611 QAE196611 QKA196611 QTW196611 RDS196611 RNO196611 RXK196611 SHG196611 SRC196611 TAY196611 TKU196611 TUQ196611 UEM196611 UOI196611 UYE196611 VIA196611 VRW196611 WBS196611 WLO196611 WVK196611 C262147 IY262147 SU262147 ACQ262147 AMM262147 AWI262147 BGE262147 BQA262147 BZW262147 CJS262147 CTO262147 DDK262147 DNG262147 DXC262147 EGY262147 EQU262147 FAQ262147 FKM262147 FUI262147 GEE262147 GOA262147 GXW262147 HHS262147 HRO262147 IBK262147 ILG262147 IVC262147 JEY262147 JOU262147 JYQ262147 KIM262147 KSI262147 LCE262147 LMA262147 LVW262147 MFS262147 MPO262147 MZK262147 NJG262147 NTC262147 OCY262147 OMU262147 OWQ262147 PGM262147 PQI262147 QAE262147 QKA262147 QTW262147 RDS262147 RNO262147 RXK262147 SHG262147 SRC262147 TAY262147 TKU262147 TUQ262147 UEM262147 UOI262147 UYE262147 VIA262147 VRW262147 WBS262147 WLO262147 WVK262147 C327683 IY327683 SU327683 ACQ327683 AMM327683 AWI327683 BGE327683 BQA327683 BZW327683 CJS327683 CTO327683 DDK327683 DNG327683 DXC327683 EGY327683 EQU327683 FAQ327683 FKM327683 FUI327683 GEE327683 GOA327683 GXW327683 HHS327683 HRO327683 IBK327683 ILG327683 IVC327683 JEY327683 JOU327683 JYQ327683 KIM327683 KSI327683 LCE327683 LMA327683 LVW327683 MFS327683 MPO327683 MZK327683 NJG327683 NTC327683 OCY327683 OMU327683 OWQ327683 PGM327683 PQI327683 QAE327683 QKA327683 QTW327683 RDS327683 RNO327683 RXK327683 SHG327683 SRC327683 TAY327683 TKU327683 TUQ327683 UEM327683 UOI327683 UYE327683 VIA327683 VRW327683 WBS327683 WLO327683 WVK327683 C393219 IY393219 SU393219 ACQ393219 AMM393219 AWI393219 BGE393219 BQA393219 BZW393219 CJS393219 CTO393219 DDK393219 DNG393219 DXC393219 EGY393219 EQU393219 FAQ393219 FKM393219 FUI393219 GEE393219 GOA393219 GXW393219 HHS393219 HRO393219 IBK393219 ILG393219 IVC393219 JEY393219 JOU393219 JYQ393219 KIM393219 KSI393219 LCE393219 LMA393219 LVW393219 MFS393219 MPO393219 MZK393219 NJG393219 NTC393219 OCY393219 OMU393219 OWQ393219 PGM393219 PQI393219 QAE393219 QKA393219 QTW393219 RDS393219 RNO393219 RXK393219 SHG393219 SRC393219 TAY393219 TKU393219 TUQ393219 UEM393219 UOI393219 UYE393219 VIA393219 VRW393219 WBS393219 WLO393219 WVK393219 C458755 IY458755 SU458755 ACQ458755 AMM458755 AWI458755 BGE458755 BQA458755 BZW458755 CJS458755 CTO458755 DDK458755 DNG458755 DXC458755 EGY458755 EQU458755 FAQ458755 FKM458755 FUI458755 GEE458755 GOA458755 GXW458755 HHS458755 HRO458755 IBK458755 ILG458755 IVC458755 JEY458755 JOU458755 JYQ458755 KIM458755 KSI458755 LCE458755 LMA458755 LVW458755 MFS458755 MPO458755 MZK458755 NJG458755 NTC458755 OCY458755 OMU458755 OWQ458755 PGM458755 PQI458755 QAE458755 QKA458755 QTW458755 RDS458755 RNO458755 RXK458755 SHG458755 SRC458755 TAY458755 TKU458755 TUQ458755 UEM458755 UOI458755 UYE458755 VIA458755 VRW458755 WBS458755 WLO458755 WVK458755 C524291 IY524291 SU524291 ACQ524291 AMM524291 AWI524291 BGE524291 BQA524291 BZW524291 CJS524291 CTO524291 DDK524291 DNG524291 DXC524291 EGY524291 EQU524291 FAQ524291 FKM524291 FUI524291 GEE524291 GOA524291 GXW524291 HHS524291 HRO524291 IBK524291 ILG524291 IVC524291 JEY524291 JOU524291 JYQ524291 KIM524291 KSI524291 LCE524291 LMA524291 LVW524291 MFS524291 MPO524291 MZK524291 NJG524291 NTC524291 OCY524291 OMU524291 OWQ524291 PGM524291 PQI524291 QAE524291 QKA524291 QTW524291 RDS524291 RNO524291 RXK524291 SHG524291 SRC524291 TAY524291 TKU524291 TUQ524291 UEM524291 UOI524291 UYE524291 VIA524291 VRW524291 WBS524291 WLO524291 WVK524291 C589827 IY589827 SU589827 ACQ589827 AMM589827 AWI589827 BGE589827 BQA589827 BZW589827 CJS589827 CTO589827 DDK589827 DNG589827 DXC589827 EGY589827 EQU589827 FAQ589827 FKM589827 FUI589827 GEE589827 GOA589827 GXW589827 HHS589827 HRO589827 IBK589827 ILG589827 IVC589827 JEY589827 JOU589827 JYQ589827 KIM589827 KSI589827 LCE589827 LMA589827 LVW589827 MFS589827 MPO589827 MZK589827 NJG589827 NTC589827 OCY589827 OMU589827 OWQ589827 PGM589827 PQI589827 QAE589827 QKA589827 QTW589827 RDS589827 RNO589827 RXK589827 SHG589827 SRC589827 TAY589827 TKU589827 TUQ589827 UEM589827 UOI589827 UYE589827 VIA589827 VRW589827 WBS589827 WLO589827 WVK589827 C655363 IY655363 SU655363 ACQ655363 AMM655363 AWI655363 BGE655363 BQA655363 BZW655363 CJS655363 CTO655363 DDK655363 DNG655363 DXC655363 EGY655363 EQU655363 FAQ655363 FKM655363 FUI655363 GEE655363 GOA655363 GXW655363 HHS655363 HRO655363 IBK655363 ILG655363 IVC655363 JEY655363 JOU655363 JYQ655363 KIM655363 KSI655363 LCE655363 LMA655363 LVW655363 MFS655363 MPO655363 MZK655363 NJG655363 NTC655363 OCY655363 OMU655363 OWQ655363 PGM655363 PQI655363 QAE655363 QKA655363 QTW655363 RDS655363 RNO655363 RXK655363 SHG655363 SRC655363 TAY655363 TKU655363 TUQ655363 UEM655363 UOI655363 UYE655363 VIA655363 VRW655363 WBS655363 WLO655363 WVK655363 C720899 IY720899 SU720899 ACQ720899 AMM720899 AWI720899 BGE720899 BQA720899 BZW720899 CJS720899 CTO720899 DDK720899 DNG720899 DXC720899 EGY720899 EQU720899 FAQ720899 FKM720899 FUI720899 GEE720899 GOA720899 GXW720899 HHS720899 HRO720899 IBK720899 ILG720899 IVC720899 JEY720899 JOU720899 JYQ720899 KIM720899 KSI720899 LCE720899 LMA720899 LVW720899 MFS720899 MPO720899 MZK720899 NJG720899 NTC720899 OCY720899 OMU720899 OWQ720899 PGM720899 PQI720899 QAE720899 QKA720899 QTW720899 RDS720899 RNO720899 RXK720899 SHG720899 SRC720899 TAY720899 TKU720899 TUQ720899 UEM720899 UOI720899 UYE720899 VIA720899 VRW720899 WBS720899 WLO720899 WVK720899 C786435 IY786435 SU786435 ACQ786435 AMM786435 AWI786435 BGE786435 BQA786435 BZW786435 CJS786435 CTO786435 DDK786435 DNG786435 DXC786435 EGY786435 EQU786435 FAQ786435 FKM786435 FUI786435 GEE786435 GOA786435 GXW786435 HHS786435 HRO786435 IBK786435 ILG786435 IVC786435 JEY786435 JOU786435 JYQ786435 KIM786435 KSI786435 LCE786435 LMA786435 LVW786435 MFS786435 MPO786435 MZK786435 NJG786435 NTC786435 OCY786435 OMU786435 OWQ786435 PGM786435 PQI786435 QAE786435 QKA786435 QTW786435 RDS786435 RNO786435 RXK786435 SHG786435 SRC786435 TAY786435 TKU786435 TUQ786435 UEM786435 UOI786435 UYE786435 VIA786435 VRW786435 WBS786435 WLO786435 WVK786435 C851971 IY851971 SU851971 ACQ851971 AMM851971 AWI851971 BGE851971 BQA851971 BZW851971 CJS851971 CTO851971 DDK851971 DNG851971 DXC851971 EGY851971 EQU851971 FAQ851971 FKM851971 FUI851971 GEE851971 GOA851971 GXW851971 HHS851971 HRO851971 IBK851971 ILG851971 IVC851971 JEY851971 JOU851971 JYQ851971 KIM851971 KSI851971 LCE851971 LMA851971 LVW851971 MFS851971 MPO851971 MZK851971 NJG851971 NTC851971 OCY851971 OMU851971 OWQ851971 PGM851971 PQI851971 QAE851971 QKA851971 QTW851971 RDS851971 RNO851971 RXK851971 SHG851971 SRC851971 TAY851971 TKU851971 TUQ851971 UEM851971 UOI851971 UYE851971 VIA851971 VRW851971 WBS851971 WLO851971 WVK851971 C917507 IY917507 SU917507 ACQ917507 AMM917507 AWI917507 BGE917507 BQA917507 BZW917507 CJS917507 CTO917507 DDK917507 DNG917507 DXC917507 EGY917507 EQU917507 FAQ917507 FKM917507 FUI917507 GEE917507 GOA917507 GXW917507 HHS917507 HRO917507 IBK917507 ILG917507 IVC917507 JEY917507 JOU917507 JYQ917507 KIM917507 KSI917507 LCE917507 LMA917507 LVW917507 MFS917507 MPO917507 MZK917507 NJG917507 NTC917507 OCY917507 OMU917507 OWQ917507 PGM917507 PQI917507 QAE917507 QKA917507 QTW917507 RDS917507 RNO917507 RXK917507 SHG917507 SRC917507 TAY917507 TKU917507 TUQ917507 UEM917507 UOI917507 UYE917507 VIA917507 VRW917507 WBS917507 WLO917507 WVK917507 C983043 IY983043 SU983043 ACQ983043 AMM983043 AWI983043 BGE983043 BQA983043 BZW983043 CJS983043 CTO983043 DDK983043 DNG983043 DXC983043 EGY983043 EQU983043 FAQ983043 FKM983043 FUI983043 GEE983043 GOA983043 GXW983043 HHS983043 HRO983043 IBK983043 ILG983043 IVC983043 JEY983043 JOU983043 JYQ983043 KIM983043 KSI983043 LCE983043 LMA983043 LVW983043 MFS983043 MPO983043 MZK983043 NJG983043 NTC983043 OCY983043 OMU983043 OWQ983043 PGM983043 PQI983043 QAE983043 QKA983043 QTW983043 RDS983043 RNO983043 RXK983043 SHG983043 SRC983043 TAY983043 TKU983043 TUQ983043 UEM983043 UOI983043 UYE983043 VIA983043 VRW983043 WBS983043 WLO983043 WVK983043 C65543 IY65543 SU65543 ACQ65543 AMM65543 AWI65543 BGE65543 BQA65543 BZW65543 CJS65543 CTO65543 DDK65543 DNG65543 DXC65543 EGY65543 EQU65543 FAQ65543 FKM65543 FUI65543 GEE65543 GOA65543 GXW65543 HHS65543 HRO65543 IBK65543 ILG65543 IVC65543 JEY65543 JOU65543 JYQ65543 KIM65543 KSI65543 LCE65543 LMA65543 LVW65543 MFS65543 MPO65543 MZK65543 NJG65543 NTC65543 OCY65543 OMU65543 OWQ65543 PGM65543 PQI65543 QAE65543 QKA65543 QTW65543 RDS65543 RNO65543 RXK65543 SHG65543 SRC65543 TAY65543 TKU65543 TUQ65543 UEM65543 UOI65543 UYE65543 VIA65543 VRW65543 WBS65543 WLO65543 WVK65543 C131079 IY131079 SU131079 ACQ131079 AMM131079 AWI131079 BGE131079 BQA131079 BZW131079 CJS131079 CTO131079 DDK131079 DNG131079 DXC131079 EGY131079 EQU131079 FAQ131079 FKM131079 FUI131079 GEE131079 GOA131079 GXW131079 HHS131079 HRO131079 IBK131079 ILG131079 IVC131079 JEY131079 JOU131079 JYQ131079 KIM131079 KSI131079 LCE131079 LMA131079 LVW131079 MFS131079 MPO131079 MZK131079 NJG131079 NTC131079 OCY131079 OMU131079 OWQ131079 PGM131079 PQI131079 QAE131079 QKA131079 QTW131079 RDS131079 RNO131079 RXK131079 SHG131079 SRC131079 TAY131079 TKU131079 TUQ131079 UEM131079 UOI131079 UYE131079 VIA131079 VRW131079 WBS131079 WLO131079 WVK131079 C196615 IY196615 SU196615 ACQ196615 AMM196615 AWI196615 BGE196615 BQA196615 BZW196615 CJS196615 CTO196615 DDK196615 DNG196615 DXC196615 EGY196615 EQU196615 FAQ196615 FKM196615 FUI196615 GEE196615 GOA196615 GXW196615 HHS196615 HRO196615 IBK196615 ILG196615 IVC196615 JEY196615 JOU196615 JYQ196615 KIM196615 KSI196615 LCE196615 LMA196615 LVW196615 MFS196615 MPO196615 MZK196615 NJG196615 NTC196615 OCY196615 OMU196615 OWQ196615 PGM196615 PQI196615 QAE196615 QKA196615 QTW196615 RDS196615 RNO196615 RXK196615 SHG196615 SRC196615 TAY196615 TKU196615 TUQ196615 UEM196615 UOI196615 UYE196615 VIA196615 VRW196615 WBS196615 WLO196615 WVK196615 C262151 IY262151 SU262151 ACQ262151 AMM262151 AWI262151 BGE262151 BQA262151 BZW262151 CJS262151 CTO262151 DDK262151 DNG262151 DXC262151 EGY262151 EQU262151 FAQ262151 FKM262151 FUI262151 GEE262151 GOA262151 GXW262151 HHS262151 HRO262151 IBK262151 ILG262151 IVC262151 JEY262151 JOU262151 JYQ262151 KIM262151 KSI262151 LCE262151 LMA262151 LVW262151 MFS262151 MPO262151 MZK262151 NJG262151 NTC262151 OCY262151 OMU262151 OWQ262151 PGM262151 PQI262151 QAE262151 QKA262151 QTW262151 RDS262151 RNO262151 RXK262151 SHG262151 SRC262151 TAY262151 TKU262151 TUQ262151 UEM262151 UOI262151 UYE262151 VIA262151 VRW262151 WBS262151 WLO262151 WVK262151 C327687 IY327687 SU327687 ACQ327687 AMM327687 AWI327687 BGE327687 BQA327687 BZW327687 CJS327687 CTO327687 DDK327687 DNG327687 DXC327687 EGY327687 EQU327687 FAQ327687 FKM327687 FUI327687 GEE327687 GOA327687 GXW327687 HHS327687 HRO327687 IBK327687 ILG327687 IVC327687 JEY327687 JOU327687 JYQ327687 KIM327687 KSI327687 LCE327687 LMA327687 LVW327687 MFS327687 MPO327687 MZK327687 NJG327687 NTC327687 OCY327687 OMU327687 OWQ327687 PGM327687 PQI327687 QAE327687 QKA327687 QTW327687 RDS327687 RNO327687 RXK327687 SHG327687 SRC327687 TAY327687 TKU327687 TUQ327687 UEM327687 UOI327687 UYE327687 VIA327687 VRW327687 WBS327687 WLO327687 WVK327687 C393223 IY393223 SU393223 ACQ393223 AMM393223 AWI393223 BGE393223 BQA393223 BZW393223 CJS393223 CTO393223 DDK393223 DNG393223 DXC393223 EGY393223 EQU393223 FAQ393223 FKM393223 FUI393223 GEE393223 GOA393223 GXW393223 HHS393223 HRO393223 IBK393223 ILG393223 IVC393223 JEY393223 JOU393223 JYQ393223 KIM393223 KSI393223 LCE393223 LMA393223 LVW393223 MFS393223 MPO393223 MZK393223 NJG393223 NTC393223 OCY393223 OMU393223 OWQ393223 PGM393223 PQI393223 QAE393223 QKA393223 QTW393223 RDS393223 RNO393223 RXK393223 SHG393223 SRC393223 TAY393223 TKU393223 TUQ393223 UEM393223 UOI393223 UYE393223 VIA393223 VRW393223 WBS393223 WLO393223 WVK393223 C458759 IY458759 SU458759 ACQ458759 AMM458759 AWI458759 BGE458759 BQA458759 BZW458759 CJS458759 CTO458759 DDK458759 DNG458759 DXC458759 EGY458759 EQU458759 FAQ458759 FKM458759 FUI458759 GEE458759 GOA458759 GXW458759 HHS458759 HRO458759 IBK458759 ILG458759 IVC458759 JEY458759 JOU458759 JYQ458759 KIM458759 KSI458759 LCE458759 LMA458759 LVW458759 MFS458759 MPO458759 MZK458759 NJG458759 NTC458759 OCY458759 OMU458759 OWQ458759 PGM458759 PQI458759 QAE458759 QKA458759 QTW458759 RDS458759 RNO458759 RXK458759 SHG458759 SRC458759 TAY458759 TKU458759 TUQ458759 UEM458759 UOI458759 UYE458759 VIA458759 VRW458759 WBS458759 WLO458759 WVK458759 C524295 IY524295 SU524295 ACQ524295 AMM524295 AWI524295 BGE524295 BQA524295 BZW524295 CJS524295 CTO524295 DDK524295 DNG524295 DXC524295 EGY524295 EQU524295 FAQ524295 FKM524295 FUI524295 GEE524295 GOA524295 GXW524295 HHS524295 HRO524295 IBK524295 ILG524295 IVC524295 JEY524295 JOU524295 JYQ524295 KIM524295 KSI524295 LCE524295 LMA524295 LVW524295 MFS524295 MPO524295 MZK524295 NJG524295 NTC524295 OCY524295 OMU524295 OWQ524295 PGM524295 PQI524295 QAE524295 QKA524295 QTW524295 RDS524295 RNO524295 RXK524295 SHG524295 SRC524295 TAY524295 TKU524295 TUQ524295 UEM524295 UOI524295 UYE524295 VIA524295 VRW524295 WBS524295 WLO524295 WVK524295 C589831 IY589831 SU589831 ACQ589831 AMM589831 AWI589831 BGE589831 BQA589831 BZW589831 CJS589831 CTO589831 DDK589831 DNG589831 DXC589831 EGY589831 EQU589831 FAQ589831 FKM589831 FUI589831 GEE589831 GOA589831 GXW589831 HHS589831 HRO589831 IBK589831 ILG589831 IVC589831 JEY589831 JOU589831 JYQ589831 KIM589831 KSI589831 LCE589831 LMA589831 LVW589831 MFS589831 MPO589831 MZK589831 NJG589831 NTC589831 OCY589831 OMU589831 OWQ589831 PGM589831 PQI589831 QAE589831 QKA589831 QTW589831 RDS589831 RNO589831 RXK589831 SHG589831 SRC589831 TAY589831 TKU589831 TUQ589831 UEM589831 UOI589831 UYE589831 VIA589831 VRW589831 WBS589831 WLO589831 WVK589831 C655367 IY655367 SU655367 ACQ655367 AMM655367 AWI655367 BGE655367 BQA655367 BZW655367 CJS655367 CTO655367 DDK655367 DNG655367 DXC655367 EGY655367 EQU655367 FAQ655367 FKM655367 FUI655367 GEE655367 GOA655367 GXW655367 HHS655367 HRO655367 IBK655367 ILG655367 IVC655367 JEY655367 JOU655367 JYQ655367 KIM655367 KSI655367 LCE655367 LMA655367 LVW655367 MFS655367 MPO655367 MZK655367 NJG655367 NTC655367 OCY655367 OMU655367 OWQ655367 PGM655367 PQI655367 QAE655367 QKA655367 QTW655367 RDS655367 RNO655367 RXK655367 SHG655367 SRC655367 TAY655367 TKU655367 TUQ655367 UEM655367 UOI655367 UYE655367 VIA655367 VRW655367 WBS655367 WLO655367 WVK655367 C720903 IY720903 SU720903 ACQ720903 AMM720903 AWI720903 BGE720903 BQA720903 BZW720903 CJS720903 CTO720903 DDK720903 DNG720903 DXC720903 EGY720903 EQU720903 FAQ720903 FKM720903 FUI720903 GEE720903 GOA720903 GXW720903 HHS720903 HRO720903 IBK720903 ILG720903 IVC720903 JEY720903 JOU720903 JYQ720903 KIM720903 KSI720903 LCE720903 LMA720903 LVW720903 MFS720903 MPO720903 MZK720903 NJG720903 NTC720903 OCY720903 OMU720903 OWQ720903 PGM720903 PQI720903 QAE720903 QKA720903 QTW720903 RDS720903 RNO720903 RXK720903 SHG720903 SRC720903 TAY720903 TKU720903 TUQ720903 UEM720903 UOI720903 UYE720903 VIA720903 VRW720903 WBS720903 WLO720903 WVK720903 C786439 IY786439 SU786439 ACQ786439 AMM786439 AWI786439 BGE786439 BQA786439 BZW786439 CJS786439 CTO786439 DDK786439 DNG786439 DXC786439 EGY786439 EQU786439 FAQ786439 FKM786439 FUI786439 GEE786439 GOA786439 GXW786439 HHS786439 HRO786439 IBK786439 ILG786439 IVC786439 JEY786439 JOU786439 JYQ786439 KIM786439 KSI786439 LCE786439 LMA786439 LVW786439 MFS786439 MPO786439 MZK786439 NJG786439 NTC786439 OCY786439 OMU786439 OWQ786439 PGM786439 PQI786439 QAE786439 QKA786439 QTW786439 RDS786439 RNO786439 RXK786439 SHG786439 SRC786439 TAY786439 TKU786439 TUQ786439 UEM786439 UOI786439 UYE786439 VIA786439 VRW786439 WBS786439 WLO786439 WVK786439 C851975 IY851975 SU851975 ACQ851975 AMM851975 AWI851975 BGE851975 BQA851975 BZW851975 CJS851975 CTO851975 DDK851975 DNG851975 DXC851975 EGY851975 EQU851975 FAQ851975 FKM851975 FUI851975 GEE851975 GOA851975 GXW851975 HHS851975 HRO851975 IBK851975 ILG851975 IVC851975 JEY851975 JOU851975 JYQ851975 KIM851975 KSI851975 LCE851975 LMA851975 LVW851975 MFS851975 MPO851975 MZK851975 NJG851975 NTC851975 OCY851975 OMU851975 OWQ851975 PGM851975 PQI851975 QAE851975 QKA851975 QTW851975 RDS851975 RNO851975 RXK851975 SHG851975 SRC851975 TAY851975 TKU851975 TUQ851975 UEM851975 UOI851975 UYE851975 VIA851975 VRW851975 WBS851975 WLO851975 WVK851975 C917511 IY917511 SU917511 ACQ917511 AMM917511 AWI917511 BGE917511 BQA917511 BZW917511 CJS917511 CTO917511 DDK917511 DNG917511 DXC917511 EGY917511 EQU917511 FAQ917511 FKM917511 FUI917511 GEE917511 GOA917511 GXW917511 HHS917511 HRO917511 IBK917511 ILG917511 IVC917511 JEY917511 JOU917511 JYQ917511 KIM917511 KSI917511 LCE917511 LMA917511 LVW917511 MFS917511 MPO917511 MZK917511 NJG917511 NTC917511 OCY917511 OMU917511 OWQ917511 PGM917511 PQI917511 QAE917511 QKA917511 QTW917511 RDS917511 RNO917511 RXK917511 SHG917511 SRC917511 TAY917511 TKU917511 TUQ917511 UEM917511 UOI917511 UYE917511 VIA917511 VRW917511 WBS917511 WLO917511 WVK917511 C983047 IY983047 SU983047 ACQ983047 AMM983047 AWI983047 BGE983047 BQA983047 BZW983047 CJS983047 CTO983047 DDK983047 DNG983047 DXC983047 EGY983047 EQU983047 FAQ983047 FKM983047 FUI983047 GEE983047 GOA983047 GXW983047 HHS983047 HRO983047 IBK983047 ILG983047 IVC983047 JEY983047 JOU983047 JYQ983047 KIM983047 KSI983047 LCE983047 LMA983047 LVW983047 MFS983047 MPO983047 MZK983047 NJG983047 NTC983047 OCY983047 OMU983047 OWQ983047 PGM983047 PQI983047 QAE983047 QKA983047 QTW983047 RDS983047 RNO983047 RXK983047 SHG983047 SRC983047 TAY983047 TKU983047 TUQ983047 UEM983047 UOI983047 UYE983047 VIA983047 VRW983047 WBS983047 WLO983047 WVK983047 C65545 IY65545 SU65545 ACQ65545 AMM65545 AWI65545 BGE65545 BQA65545 BZW65545 CJS65545 CTO65545 DDK65545 DNG65545 DXC65545 EGY65545 EQU65545 FAQ65545 FKM65545 FUI65545 GEE65545 GOA65545 GXW65545 HHS65545 HRO65545 IBK65545 ILG65545 IVC65545 JEY65545 JOU65545 JYQ65545 KIM65545 KSI65545 LCE65545 LMA65545 LVW65545 MFS65545 MPO65545 MZK65545 NJG65545 NTC65545 OCY65545 OMU65545 OWQ65545 PGM65545 PQI65545 QAE65545 QKA65545 QTW65545 RDS65545 RNO65545 RXK65545 SHG65545 SRC65545 TAY65545 TKU65545 TUQ65545 UEM65545 UOI65545 UYE65545 VIA65545 VRW65545 WBS65545 WLO65545 WVK65545 C131081 IY131081 SU131081 ACQ131081 AMM131081 AWI131081 BGE131081 BQA131081 BZW131081 CJS131081 CTO131081 DDK131081 DNG131081 DXC131081 EGY131081 EQU131081 FAQ131081 FKM131081 FUI131081 GEE131081 GOA131081 GXW131081 HHS131081 HRO131081 IBK131081 ILG131081 IVC131081 JEY131081 JOU131081 JYQ131081 KIM131081 KSI131081 LCE131081 LMA131081 LVW131081 MFS131081 MPO131081 MZK131081 NJG131081 NTC131081 OCY131081 OMU131081 OWQ131081 PGM131081 PQI131081 QAE131081 QKA131081 QTW131081 RDS131081 RNO131081 RXK131081 SHG131081 SRC131081 TAY131081 TKU131081 TUQ131081 UEM131081 UOI131081 UYE131081 VIA131081 VRW131081 WBS131081 WLO131081 WVK131081 C196617 IY196617 SU196617 ACQ196617 AMM196617 AWI196617 BGE196617 BQA196617 BZW196617 CJS196617 CTO196617 DDK196617 DNG196617 DXC196617 EGY196617 EQU196617 FAQ196617 FKM196617 FUI196617 GEE196617 GOA196617 GXW196617 HHS196617 HRO196617 IBK196617 ILG196617 IVC196617 JEY196617 JOU196617 JYQ196617 KIM196617 KSI196617 LCE196617 LMA196617 LVW196617 MFS196617 MPO196617 MZK196617 NJG196617 NTC196617 OCY196617 OMU196617 OWQ196617 PGM196617 PQI196617 QAE196617 QKA196617 QTW196617 RDS196617 RNO196617 RXK196617 SHG196617 SRC196617 TAY196617 TKU196617 TUQ196617 UEM196617 UOI196617 UYE196617 VIA196617 VRW196617 WBS196617 WLO196617 WVK196617 C262153 IY262153 SU262153 ACQ262153 AMM262153 AWI262153 BGE262153 BQA262153 BZW262153 CJS262153 CTO262153 DDK262153 DNG262153 DXC262153 EGY262153 EQU262153 FAQ262153 FKM262153 FUI262153 GEE262153 GOA262153 GXW262153 HHS262153 HRO262153 IBK262153 ILG262153 IVC262153 JEY262153 JOU262153 JYQ262153 KIM262153 KSI262153 LCE262153 LMA262153 LVW262153 MFS262153 MPO262153 MZK262153 NJG262153 NTC262153 OCY262153 OMU262153 OWQ262153 PGM262153 PQI262153 QAE262153 QKA262153 QTW262153 RDS262153 RNO262153 RXK262153 SHG262153 SRC262153 TAY262153 TKU262153 TUQ262153 UEM262153 UOI262153 UYE262153 VIA262153 VRW262153 WBS262153 WLO262153 WVK262153 C327689 IY327689 SU327689 ACQ327689 AMM327689 AWI327689 BGE327689 BQA327689 BZW327689 CJS327689 CTO327689 DDK327689 DNG327689 DXC327689 EGY327689 EQU327689 FAQ327689 FKM327689 FUI327689 GEE327689 GOA327689 GXW327689 HHS327689 HRO327689 IBK327689 ILG327689 IVC327689 JEY327689 JOU327689 JYQ327689 KIM327689 KSI327689 LCE327689 LMA327689 LVW327689 MFS327689 MPO327689 MZK327689 NJG327689 NTC327689 OCY327689 OMU327689 OWQ327689 PGM327689 PQI327689 QAE327689 QKA327689 QTW327689 RDS327689 RNO327689 RXK327689 SHG327689 SRC327689 TAY327689 TKU327689 TUQ327689 UEM327689 UOI327689 UYE327689 VIA327689 VRW327689 WBS327689 WLO327689 WVK327689 C393225 IY393225 SU393225 ACQ393225 AMM393225 AWI393225 BGE393225 BQA393225 BZW393225 CJS393225 CTO393225 DDK393225 DNG393225 DXC393225 EGY393225 EQU393225 FAQ393225 FKM393225 FUI393225 GEE393225 GOA393225 GXW393225 HHS393225 HRO393225 IBK393225 ILG393225 IVC393225 JEY393225 JOU393225 JYQ393225 KIM393225 KSI393225 LCE393225 LMA393225 LVW393225 MFS393225 MPO393225 MZK393225 NJG393225 NTC393225 OCY393225 OMU393225 OWQ393225 PGM393225 PQI393225 QAE393225 QKA393225 QTW393225 RDS393225 RNO393225 RXK393225 SHG393225 SRC393225 TAY393225 TKU393225 TUQ393225 UEM393225 UOI393225 UYE393225 VIA393225 VRW393225 WBS393225 WLO393225 WVK393225 C458761 IY458761 SU458761 ACQ458761 AMM458761 AWI458761 BGE458761 BQA458761 BZW458761 CJS458761 CTO458761 DDK458761 DNG458761 DXC458761 EGY458761 EQU458761 FAQ458761 FKM458761 FUI458761 GEE458761 GOA458761 GXW458761 HHS458761 HRO458761 IBK458761 ILG458761 IVC458761 JEY458761 JOU458761 JYQ458761 KIM458761 KSI458761 LCE458761 LMA458761 LVW458761 MFS458761 MPO458761 MZK458761 NJG458761 NTC458761 OCY458761 OMU458761 OWQ458761 PGM458761 PQI458761 QAE458761 QKA458761 QTW458761 RDS458761 RNO458761 RXK458761 SHG458761 SRC458761 TAY458761 TKU458761 TUQ458761 UEM458761 UOI458761 UYE458761 VIA458761 VRW458761 WBS458761 WLO458761 WVK458761 C524297 IY524297 SU524297 ACQ524297 AMM524297 AWI524297 BGE524297 BQA524297 BZW524297 CJS524297 CTO524297 DDK524297 DNG524297 DXC524297 EGY524297 EQU524297 FAQ524297 FKM524297 FUI524297 GEE524297 GOA524297 GXW524297 HHS524297 HRO524297 IBK524297 ILG524297 IVC524297 JEY524297 JOU524297 JYQ524297 KIM524297 KSI524297 LCE524297 LMA524297 LVW524297 MFS524297 MPO524297 MZK524297 NJG524297 NTC524297 OCY524297 OMU524297 OWQ524297 PGM524297 PQI524297 QAE524297 QKA524297 QTW524297 RDS524297 RNO524297 RXK524297 SHG524297 SRC524297 TAY524297 TKU524297 TUQ524297 UEM524297 UOI524297 UYE524297 VIA524297 VRW524297 WBS524297 WLO524297 WVK524297 C589833 IY589833 SU589833 ACQ589833 AMM589833 AWI589833 BGE589833 BQA589833 BZW589833 CJS589833 CTO589833 DDK589833 DNG589833 DXC589833 EGY589833 EQU589833 FAQ589833 FKM589833 FUI589833 GEE589833 GOA589833 GXW589833 HHS589833 HRO589833 IBK589833 ILG589833 IVC589833 JEY589833 JOU589833 JYQ589833 KIM589833 KSI589833 LCE589833 LMA589833 LVW589833 MFS589833 MPO589833 MZK589833 NJG589833 NTC589833 OCY589833 OMU589833 OWQ589833 PGM589833 PQI589833 QAE589833 QKA589833 QTW589833 RDS589833 RNO589833 RXK589833 SHG589833 SRC589833 TAY589833 TKU589833 TUQ589833 UEM589833 UOI589833 UYE589833 VIA589833 VRW589833 WBS589833 WLO589833 WVK589833 C655369 IY655369 SU655369 ACQ655369 AMM655369 AWI655369 BGE655369 BQA655369 BZW655369 CJS655369 CTO655369 DDK655369 DNG655369 DXC655369 EGY655369 EQU655369 FAQ655369 FKM655369 FUI655369 GEE655369 GOA655369 GXW655369 HHS655369 HRO655369 IBK655369 ILG655369 IVC655369 JEY655369 JOU655369 JYQ655369 KIM655369 KSI655369 LCE655369 LMA655369 LVW655369 MFS655369 MPO655369 MZK655369 NJG655369 NTC655369 OCY655369 OMU655369 OWQ655369 PGM655369 PQI655369 QAE655369 QKA655369 QTW655369 RDS655369 RNO655369 RXK655369 SHG655369 SRC655369 TAY655369 TKU655369 TUQ655369 UEM655369 UOI655369 UYE655369 VIA655369 VRW655369 WBS655369 WLO655369 WVK655369 C720905 IY720905 SU720905 ACQ720905 AMM720905 AWI720905 BGE720905 BQA720905 BZW720905 CJS720905 CTO720905 DDK720905 DNG720905 DXC720905 EGY720905 EQU720905 FAQ720905 FKM720905 FUI720905 GEE720905 GOA720905 GXW720905 HHS720905 HRO720905 IBK720905 ILG720905 IVC720905 JEY720905 JOU720905 JYQ720905 KIM720905 KSI720905 LCE720905 LMA720905 LVW720905 MFS720905 MPO720905 MZK720905 NJG720905 NTC720905 OCY720905 OMU720905 OWQ720905 PGM720905 PQI720905 QAE720905 QKA720905 QTW720905 RDS720905 RNO720905 RXK720905 SHG720905 SRC720905 TAY720905 TKU720905 TUQ720905 UEM720905 UOI720905 UYE720905 VIA720905 VRW720905 WBS720905 WLO720905 WVK720905 C786441 IY786441 SU786441 ACQ786441 AMM786441 AWI786441 BGE786441 BQA786441 BZW786441 CJS786441 CTO786441 DDK786441 DNG786441 DXC786441 EGY786441 EQU786441 FAQ786441 FKM786441 FUI786441 GEE786441 GOA786441 GXW786441 HHS786441 HRO786441 IBK786441 ILG786441 IVC786441 JEY786441 JOU786441 JYQ786441 KIM786441 KSI786441 LCE786441 LMA786441 LVW786441 MFS786441 MPO786441 MZK786441 NJG786441 NTC786441 OCY786441 OMU786441 OWQ786441 PGM786441 PQI786441 QAE786441 QKA786441 QTW786441 RDS786441 RNO786441 RXK786441 SHG786441 SRC786441 TAY786441 TKU786441 TUQ786441 UEM786441 UOI786441 UYE786441 VIA786441 VRW786441 WBS786441 WLO786441 WVK786441 C851977 IY851977 SU851977 ACQ851977 AMM851977 AWI851977 BGE851977 BQA851977 BZW851977 CJS851977 CTO851977 DDK851977 DNG851977 DXC851977 EGY851977 EQU851977 FAQ851977 FKM851977 FUI851977 GEE851977 GOA851977 GXW851977 HHS851977 HRO851977 IBK851977 ILG851977 IVC851977 JEY851977 JOU851977 JYQ851977 KIM851977 KSI851977 LCE851977 LMA851977 LVW851977 MFS851977 MPO851977 MZK851977 NJG851977 NTC851977 OCY851977 OMU851977 OWQ851977 PGM851977 PQI851977 QAE851977 QKA851977 QTW851977 RDS851977 RNO851977 RXK851977 SHG851977 SRC851977 TAY851977 TKU851977 TUQ851977 UEM851977 UOI851977 UYE851977 VIA851977 VRW851977 WBS851977 WLO851977 WVK851977 C917513 IY917513 SU917513 ACQ917513 AMM917513 AWI917513 BGE917513 BQA917513 BZW917513 CJS917513 CTO917513 DDK917513 DNG917513 DXC917513 EGY917513 EQU917513 FAQ917513 FKM917513 FUI917513 GEE917513 GOA917513 GXW917513 HHS917513 HRO917513 IBK917513 ILG917513 IVC917513 JEY917513 JOU917513 JYQ917513 KIM917513 KSI917513 LCE917513 LMA917513 LVW917513 MFS917513 MPO917513 MZK917513 NJG917513 NTC917513 OCY917513 OMU917513 OWQ917513 PGM917513 PQI917513 QAE917513 QKA917513 QTW917513 RDS917513 RNO917513 RXK917513 SHG917513 SRC917513 TAY917513 TKU917513 TUQ917513 UEM917513 UOI917513 UYE917513 VIA917513 VRW917513 WBS917513 WLO917513 WVK917513 C983049 IY983049 SU983049 ACQ983049 AMM983049 AWI983049 BGE983049 BQA983049 BZW983049 CJS983049 CTO983049 DDK983049 DNG983049 DXC983049 EGY983049 EQU983049 FAQ983049 FKM983049 FUI983049 GEE983049 GOA983049 GXW983049 HHS983049 HRO983049 IBK983049 ILG983049 IVC983049 JEY983049 JOU983049 JYQ983049 KIM983049 KSI983049 LCE983049 LMA983049 LVW983049 MFS983049 MPO983049 MZK983049 NJG983049 NTC983049 OCY983049 OMU983049 OWQ983049 PGM983049 PQI983049 QAE983049 QKA983049 QTW983049 RDS983049 RNO983049 RXK983049 SHG983049 SRC983049 TAY983049 TKU983049 TUQ983049 UEM983049 UOI983049 UYE983049 VIA983049 VRW983049 WBS983049 WLO983049 WVK983049 D65540:D65542 IZ65540:IZ65542 SV65540:SV65542 ACR65540:ACR65542 AMN65540:AMN65542 AWJ65540:AWJ65542 BGF65540:BGF65542 BQB65540:BQB65542 BZX65540:BZX65542 CJT65540:CJT65542 CTP65540:CTP65542 DDL65540:DDL65542 DNH65540:DNH65542 DXD65540:DXD65542 EGZ65540:EGZ65542 EQV65540:EQV65542 FAR65540:FAR65542 FKN65540:FKN65542 FUJ65540:FUJ65542 GEF65540:GEF65542 GOB65540:GOB65542 GXX65540:GXX65542 HHT65540:HHT65542 HRP65540:HRP65542 IBL65540:IBL65542 ILH65540:ILH65542 IVD65540:IVD65542 JEZ65540:JEZ65542 JOV65540:JOV65542 JYR65540:JYR65542 KIN65540:KIN65542 KSJ65540:KSJ65542 LCF65540:LCF65542 LMB65540:LMB65542 LVX65540:LVX65542 MFT65540:MFT65542 MPP65540:MPP65542 MZL65540:MZL65542 NJH65540:NJH65542 NTD65540:NTD65542 OCZ65540:OCZ65542 OMV65540:OMV65542 OWR65540:OWR65542 PGN65540:PGN65542 PQJ65540:PQJ65542 QAF65540:QAF65542 QKB65540:QKB65542 QTX65540:QTX65542 RDT65540:RDT65542 RNP65540:RNP65542 RXL65540:RXL65542 SHH65540:SHH65542 SRD65540:SRD65542 TAZ65540:TAZ65542 TKV65540:TKV65542 TUR65540:TUR65542 UEN65540:UEN65542 UOJ65540:UOJ65542 UYF65540:UYF65542 VIB65540:VIB65542 VRX65540:VRX65542 WBT65540:WBT65542 WLP65540:WLP65542 WVL65540:WVL65542 D131076:D131078 IZ131076:IZ131078 SV131076:SV131078 ACR131076:ACR131078 AMN131076:AMN131078 AWJ131076:AWJ131078 BGF131076:BGF131078 BQB131076:BQB131078 BZX131076:BZX131078 CJT131076:CJT131078 CTP131076:CTP131078 DDL131076:DDL131078 DNH131076:DNH131078 DXD131076:DXD131078 EGZ131076:EGZ131078 EQV131076:EQV131078 FAR131076:FAR131078 FKN131076:FKN131078 FUJ131076:FUJ131078 GEF131076:GEF131078 GOB131076:GOB131078 GXX131076:GXX131078 HHT131076:HHT131078 HRP131076:HRP131078 IBL131076:IBL131078 ILH131076:ILH131078 IVD131076:IVD131078 JEZ131076:JEZ131078 JOV131076:JOV131078 JYR131076:JYR131078 KIN131076:KIN131078 KSJ131076:KSJ131078 LCF131076:LCF131078 LMB131076:LMB131078 LVX131076:LVX131078 MFT131076:MFT131078 MPP131076:MPP131078 MZL131076:MZL131078 NJH131076:NJH131078 NTD131076:NTD131078 OCZ131076:OCZ131078 OMV131076:OMV131078 OWR131076:OWR131078 PGN131076:PGN131078 PQJ131076:PQJ131078 QAF131076:QAF131078 QKB131076:QKB131078 QTX131076:QTX131078 RDT131076:RDT131078 RNP131076:RNP131078 RXL131076:RXL131078 SHH131076:SHH131078 SRD131076:SRD131078 TAZ131076:TAZ131078 TKV131076:TKV131078 TUR131076:TUR131078 UEN131076:UEN131078 UOJ131076:UOJ131078 UYF131076:UYF131078 VIB131076:VIB131078 VRX131076:VRX131078 WBT131076:WBT131078 WLP131076:WLP131078 WVL131076:WVL131078 D196612:D196614 IZ196612:IZ196614 SV196612:SV196614 ACR196612:ACR196614 AMN196612:AMN196614 AWJ196612:AWJ196614 BGF196612:BGF196614 BQB196612:BQB196614 BZX196612:BZX196614 CJT196612:CJT196614 CTP196612:CTP196614 DDL196612:DDL196614 DNH196612:DNH196614 DXD196612:DXD196614 EGZ196612:EGZ196614 EQV196612:EQV196614 FAR196612:FAR196614 FKN196612:FKN196614 FUJ196612:FUJ196614 GEF196612:GEF196614 GOB196612:GOB196614 GXX196612:GXX196614 HHT196612:HHT196614 HRP196612:HRP196614 IBL196612:IBL196614 ILH196612:ILH196614 IVD196612:IVD196614 JEZ196612:JEZ196614 JOV196612:JOV196614 JYR196612:JYR196614 KIN196612:KIN196614 KSJ196612:KSJ196614 LCF196612:LCF196614 LMB196612:LMB196614 LVX196612:LVX196614 MFT196612:MFT196614 MPP196612:MPP196614 MZL196612:MZL196614 NJH196612:NJH196614 NTD196612:NTD196614 OCZ196612:OCZ196614 OMV196612:OMV196614 OWR196612:OWR196614 PGN196612:PGN196614 PQJ196612:PQJ196614 QAF196612:QAF196614 QKB196612:QKB196614 QTX196612:QTX196614 RDT196612:RDT196614 RNP196612:RNP196614 RXL196612:RXL196614 SHH196612:SHH196614 SRD196612:SRD196614 TAZ196612:TAZ196614 TKV196612:TKV196614 TUR196612:TUR196614 UEN196612:UEN196614 UOJ196612:UOJ196614 UYF196612:UYF196614 VIB196612:VIB196614 VRX196612:VRX196614 WBT196612:WBT196614 WLP196612:WLP196614 WVL196612:WVL196614 D262148:D262150 IZ262148:IZ262150 SV262148:SV262150 ACR262148:ACR262150 AMN262148:AMN262150 AWJ262148:AWJ262150 BGF262148:BGF262150 BQB262148:BQB262150 BZX262148:BZX262150 CJT262148:CJT262150 CTP262148:CTP262150 DDL262148:DDL262150 DNH262148:DNH262150 DXD262148:DXD262150 EGZ262148:EGZ262150 EQV262148:EQV262150 FAR262148:FAR262150 FKN262148:FKN262150 FUJ262148:FUJ262150 GEF262148:GEF262150 GOB262148:GOB262150 GXX262148:GXX262150 HHT262148:HHT262150 HRP262148:HRP262150 IBL262148:IBL262150 ILH262148:ILH262150 IVD262148:IVD262150 JEZ262148:JEZ262150 JOV262148:JOV262150 JYR262148:JYR262150 KIN262148:KIN262150 KSJ262148:KSJ262150 LCF262148:LCF262150 LMB262148:LMB262150 LVX262148:LVX262150 MFT262148:MFT262150 MPP262148:MPP262150 MZL262148:MZL262150 NJH262148:NJH262150 NTD262148:NTD262150 OCZ262148:OCZ262150 OMV262148:OMV262150 OWR262148:OWR262150 PGN262148:PGN262150 PQJ262148:PQJ262150 QAF262148:QAF262150 QKB262148:QKB262150 QTX262148:QTX262150 RDT262148:RDT262150 RNP262148:RNP262150 RXL262148:RXL262150 SHH262148:SHH262150 SRD262148:SRD262150 TAZ262148:TAZ262150 TKV262148:TKV262150 TUR262148:TUR262150 UEN262148:UEN262150 UOJ262148:UOJ262150 UYF262148:UYF262150 VIB262148:VIB262150 VRX262148:VRX262150 WBT262148:WBT262150 WLP262148:WLP262150 WVL262148:WVL262150 D327684:D327686 IZ327684:IZ327686 SV327684:SV327686 ACR327684:ACR327686 AMN327684:AMN327686 AWJ327684:AWJ327686 BGF327684:BGF327686 BQB327684:BQB327686 BZX327684:BZX327686 CJT327684:CJT327686 CTP327684:CTP327686 DDL327684:DDL327686 DNH327684:DNH327686 DXD327684:DXD327686 EGZ327684:EGZ327686 EQV327684:EQV327686 FAR327684:FAR327686 FKN327684:FKN327686 FUJ327684:FUJ327686 GEF327684:GEF327686 GOB327684:GOB327686 GXX327684:GXX327686 HHT327684:HHT327686 HRP327684:HRP327686 IBL327684:IBL327686 ILH327684:ILH327686 IVD327684:IVD327686 JEZ327684:JEZ327686 JOV327684:JOV327686 JYR327684:JYR327686 KIN327684:KIN327686 KSJ327684:KSJ327686 LCF327684:LCF327686 LMB327684:LMB327686 LVX327684:LVX327686 MFT327684:MFT327686 MPP327684:MPP327686 MZL327684:MZL327686 NJH327684:NJH327686 NTD327684:NTD327686 OCZ327684:OCZ327686 OMV327684:OMV327686 OWR327684:OWR327686 PGN327684:PGN327686 PQJ327684:PQJ327686 QAF327684:QAF327686 QKB327684:QKB327686 QTX327684:QTX327686 RDT327684:RDT327686 RNP327684:RNP327686 RXL327684:RXL327686 SHH327684:SHH327686 SRD327684:SRD327686 TAZ327684:TAZ327686 TKV327684:TKV327686 TUR327684:TUR327686 UEN327684:UEN327686 UOJ327684:UOJ327686 UYF327684:UYF327686 VIB327684:VIB327686 VRX327684:VRX327686 WBT327684:WBT327686 WLP327684:WLP327686 WVL327684:WVL327686 D393220:D393222 IZ393220:IZ393222 SV393220:SV393222 ACR393220:ACR393222 AMN393220:AMN393222 AWJ393220:AWJ393222 BGF393220:BGF393222 BQB393220:BQB393222 BZX393220:BZX393222 CJT393220:CJT393222 CTP393220:CTP393222 DDL393220:DDL393222 DNH393220:DNH393222 DXD393220:DXD393222 EGZ393220:EGZ393222 EQV393220:EQV393222 FAR393220:FAR393222 FKN393220:FKN393222 FUJ393220:FUJ393222 GEF393220:GEF393222 GOB393220:GOB393222 GXX393220:GXX393222 HHT393220:HHT393222 HRP393220:HRP393222 IBL393220:IBL393222 ILH393220:ILH393222 IVD393220:IVD393222 JEZ393220:JEZ393222 JOV393220:JOV393222 JYR393220:JYR393222 KIN393220:KIN393222 KSJ393220:KSJ393222 LCF393220:LCF393222 LMB393220:LMB393222 LVX393220:LVX393222 MFT393220:MFT393222 MPP393220:MPP393222 MZL393220:MZL393222 NJH393220:NJH393222 NTD393220:NTD393222 OCZ393220:OCZ393222 OMV393220:OMV393222 OWR393220:OWR393222 PGN393220:PGN393222 PQJ393220:PQJ393222 QAF393220:QAF393222 QKB393220:QKB393222 QTX393220:QTX393222 RDT393220:RDT393222 RNP393220:RNP393222 RXL393220:RXL393222 SHH393220:SHH393222 SRD393220:SRD393222 TAZ393220:TAZ393222 TKV393220:TKV393222 TUR393220:TUR393222 UEN393220:UEN393222 UOJ393220:UOJ393222 UYF393220:UYF393222 VIB393220:VIB393222 VRX393220:VRX393222 WBT393220:WBT393222 WLP393220:WLP393222 WVL393220:WVL393222 D458756:D458758 IZ458756:IZ458758 SV458756:SV458758 ACR458756:ACR458758 AMN458756:AMN458758 AWJ458756:AWJ458758 BGF458756:BGF458758 BQB458756:BQB458758 BZX458756:BZX458758 CJT458756:CJT458758 CTP458756:CTP458758 DDL458756:DDL458758 DNH458756:DNH458758 DXD458756:DXD458758 EGZ458756:EGZ458758 EQV458756:EQV458758 FAR458756:FAR458758 FKN458756:FKN458758 FUJ458756:FUJ458758 GEF458756:GEF458758 GOB458756:GOB458758 GXX458756:GXX458758 HHT458756:HHT458758 HRP458756:HRP458758 IBL458756:IBL458758 ILH458756:ILH458758 IVD458756:IVD458758 JEZ458756:JEZ458758 JOV458756:JOV458758 JYR458756:JYR458758 KIN458756:KIN458758 KSJ458756:KSJ458758 LCF458756:LCF458758 LMB458756:LMB458758 LVX458756:LVX458758 MFT458756:MFT458758 MPP458756:MPP458758 MZL458756:MZL458758 NJH458756:NJH458758 NTD458756:NTD458758 OCZ458756:OCZ458758 OMV458756:OMV458758 OWR458756:OWR458758 PGN458756:PGN458758 PQJ458756:PQJ458758 QAF458756:QAF458758 QKB458756:QKB458758 QTX458756:QTX458758 RDT458756:RDT458758 RNP458756:RNP458758 RXL458756:RXL458758 SHH458756:SHH458758 SRD458756:SRD458758 TAZ458756:TAZ458758 TKV458756:TKV458758 TUR458756:TUR458758 UEN458756:UEN458758 UOJ458756:UOJ458758 UYF458756:UYF458758 VIB458756:VIB458758 VRX458756:VRX458758 WBT458756:WBT458758 WLP458756:WLP458758 WVL458756:WVL458758 D524292:D524294 IZ524292:IZ524294 SV524292:SV524294 ACR524292:ACR524294 AMN524292:AMN524294 AWJ524292:AWJ524294 BGF524292:BGF524294 BQB524292:BQB524294 BZX524292:BZX524294 CJT524292:CJT524294 CTP524292:CTP524294 DDL524292:DDL524294 DNH524292:DNH524294 DXD524292:DXD524294 EGZ524292:EGZ524294 EQV524292:EQV524294 FAR524292:FAR524294 FKN524292:FKN524294 FUJ524292:FUJ524294 GEF524292:GEF524294 GOB524292:GOB524294 GXX524292:GXX524294 HHT524292:HHT524294 HRP524292:HRP524294 IBL524292:IBL524294 ILH524292:ILH524294 IVD524292:IVD524294 JEZ524292:JEZ524294 JOV524292:JOV524294 JYR524292:JYR524294 KIN524292:KIN524294 KSJ524292:KSJ524294 LCF524292:LCF524294 LMB524292:LMB524294 LVX524292:LVX524294 MFT524292:MFT524294 MPP524292:MPP524294 MZL524292:MZL524294 NJH524292:NJH524294 NTD524292:NTD524294 OCZ524292:OCZ524294 OMV524292:OMV524294 OWR524292:OWR524294 PGN524292:PGN524294 PQJ524292:PQJ524294 QAF524292:QAF524294 QKB524292:QKB524294 QTX524292:QTX524294 RDT524292:RDT524294 RNP524292:RNP524294 RXL524292:RXL524294 SHH524292:SHH524294 SRD524292:SRD524294 TAZ524292:TAZ524294 TKV524292:TKV524294 TUR524292:TUR524294 UEN524292:UEN524294 UOJ524292:UOJ524294 UYF524292:UYF524294 VIB524292:VIB524294 VRX524292:VRX524294 WBT524292:WBT524294 WLP524292:WLP524294 WVL524292:WVL524294 D589828:D589830 IZ589828:IZ589830 SV589828:SV589830 ACR589828:ACR589830 AMN589828:AMN589830 AWJ589828:AWJ589830 BGF589828:BGF589830 BQB589828:BQB589830 BZX589828:BZX589830 CJT589828:CJT589830 CTP589828:CTP589830 DDL589828:DDL589830 DNH589828:DNH589830 DXD589828:DXD589830 EGZ589828:EGZ589830 EQV589828:EQV589830 FAR589828:FAR589830 FKN589828:FKN589830 FUJ589828:FUJ589830 GEF589828:GEF589830 GOB589828:GOB589830 GXX589828:GXX589830 HHT589828:HHT589830 HRP589828:HRP589830 IBL589828:IBL589830 ILH589828:ILH589830 IVD589828:IVD589830 JEZ589828:JEZ589830 JOV589828:JOV589830 JYR589828:JYR589830 KIN589828:KIN589830 KSJ589828:KSJ589830 LCF589828:LCF589830 LMB589828:LMB589830 LVX589828:LVX589830 MFT589828:MFT589830 MPP589828:MPP589830 MZL589828:MZL589830 NJH589828:NJH589830 NTD589828:NTD589830 OCZ589828:OCZ589830 OMV589828:OMV589830 OWR589828:OWR589830 PGN589828:PGN589830 PQJ589828:PQJ589830 QAF589828:QAF589830 QKB589828:QKB589830 QTX589828:QTX589830 RDT589828:RDT589830 RNP589828:RNP589830 RXL589828:RXL589830 SHH589828:SHH589830 SRD589828:SRD589830 TAZ589828:TAZ589830 TKV589828:TKV589830 TUR589828:TUR589830 UEN589828:UEN589830 UOJ589828:UOJ589830 UYF589828:UYF589830 VIB589828:VIB589830 VRX589828:VRX589830 WBT589828:WBT589830 WLP589828:WLP589830 WVL589828:WVL589830 D655364:D655366 IZ655364:IZ655366 SV655364:SV655366 ACR655364:ACR655366 AMN655364:AMN655366 AWJ655364:AWJ655366 BGF655364:BGF655366 BQB655364:BQB655366 BZX655364:BZX655366 CJT655364:CJT655366 CTP655364:CTP655366 DDL655364:DDL655366 DNH655364:DNH655366 DXD655364:DXD655366 EGZ655364:EGZ655366 EQV655364:EQV655366 FAR655364:FAR655366 FKN655364:FKN655366 FUJ655364:FUJ655366 GEF655364:GEF655366 GOB655364:GOB655366 GXX655364:GXX655366 HHT655364:HHT655366 HRP655364:HRP655366 IBL655364:IBL655366 ILH655364:ILH655366 IVD655364:IVD655366 JEZ655364:JEZ655366 JOV655364:JOV655366 JYR655364:JYR655366 KIN655364:KIN655366 KSJ655364:KSJ655366 LCF655364:LCF655366 LMB655364:LMB655366 LVX655364:LVX655366 MFT655364:MFT655366 MPP655364:MPP655366 MZL655364:MZL655366 NJH655364:NJH655366 NTD655364:NTD655366 OCZ655364:OCZ655366 OMV655364:OMV655366 OWR655364:OWR655366 PGN655364:PGN655366 PQJ655364:PQJ655366 QAF655364:QAF655366 QKB655364:QKB655366 QTX655364:QTX655366 RDT655364:RDT655366 RNP655364:RNP655366 RXL655364:RXL655366 SHH655364:SHH655366 SRD655364:SRD655366 TAZ655364:TAZ655366 TKV655364:TKV655366 TUR655364:TUR655366 UEN655364:UEN655366 UOJ655364:UOJ655366 UYF655364:UYF655366 VIB655364:VIB655366 VRX655364:VRX655366 WBT655364:WBT655366 WLP655364:WLP655366 WVL655364:WVL655366 D720900:D720902 IZ720900:IZ720902 SV720900:SV720902 ACR720900:ACR720902 AMN720900:AMN720902 AWJ720900:AWJ720902 BGF720900:BGF720902 BQB720900:BQB720902 BZX720900:BZX720902 CJT720900:CJT720902 CTP720900:CTP720902 DDL720900:DDL720902 DNH720900:DNH720902 DXD720900:DXD720902 EGZ720900:EGZ720902 EQV720900:EQV720902 FAR720900:FAR720902 FKN720900:FKN720902 FUJ720900:FUJ720902 GEF720900:GEF720902 GOB720900:GOB720902 GXX720900:GXX720902 HHT720900:HHT720902 HRP720900:HRP720902 IBL720900:IBL720902 ILH720900:ILH720902 IVD720900:IVD720902 JEZ720900:JEZ720902 JOV720900:JOV720902 JYR720900:JYR720902 KIN720900:KIN720902 KSJ720900:KSJ720902 LCF720900:LCF720902 LMB720900:LMB720902 LVX720900:LVX720902 MFT720900:MFT720902 MPP720900:MPP720902 MZL720900:MZL720902 NJH720900:NJH720902 NTD720900:NTD720902 OCZ720900:OCZ720902 OMV720900:OMV720902 OWR720900:OWR720902 PGN720900:PGN720902 PQJ720900:PQJ720902 QAF720900:QAF720902 QKB720900:QKB720902 QTX720900:QTX720902 RDT720900:RDT720902 RNP720900:RNP720902 RXL720900:RXL720902 SHH720900:SHH720902 SRD720900:SRD720902 TAZ720900:TAZ720902 TKV720900:TKV720902 TUR720900:TUR720902 UEN720900:UEN720902 UOJ720900:UOJ720902 UYF720900:UYF720902 VIB720900:VIB720902 VRX720900:VRX720902 WBT720900:WBT720902 WLP720900:WLP720902 WVL720900:WVL720902 D786436:D786438 IZ786436:IZ786438 SV786436:SV786438 ACR786436:ACR786438 AMN786436:AMN786438 AWJ786436:AWJ786438 BGF786436:BGF786438 BQB786436:BQB786438 BZX786436:BZX786438 CJT786436:CJT786438 CTP786436:CTP786438 DDL786436:DDL786438 DNH786436:DNH786438 DXD786436:DXD786438 EGZ786436:EGZ786438 EQV786436:EQV786438 FAR786436:FAR786438 FKN786436:FKN786438 FUJ786436:FUJ786438 GEF786436:GEF786438 GOB786436:GOB786438 GXX786436:GXX786438 HHT786436:HHT786438 HRP786436:HRP786438 IBL786436:IBL786438 ILH786436:ILH786438 IVD786436:IVD786438 JEZ786436:JEZ786438 JOV786436:JOV786438 JYR786436:JYR786438 KIN786436:KIN786438 KSJ786436:KSJ786438 LCF786436:LCF786438 LMB786436:LMB786438 LVX786436:LVX786438 MFT786436:MFT786438 MPP786436:MPP786438 MZL786436:MZL786438 NJH786436:NJH786438 NTD786436:NTD786438 OCZ786436:OCZ786438 OMV786436:OMV786438 OWR786436:OWR786438 PGN786436:PGN786438 PQJ786436:PQJ786438 QAF786436:QAF786438 QKB786436:QKB786438 QTX786436:QTX786438 RDT786436:RDT786438 RNP786436:RNP786438 RXL786436:RXL786438 SHH786436:SHH786438 SRD786436:SRD786438 TAZ786436:TAZ786438 TKV786436:TKV786438 TUR786436:TUR786438 UEN786436:UEN786438 UOJ786436:UOJ786438 UYF786436:UYF786438 VIB786436:VIB786438 VRX786436:VRX786438 WBT786436:WBT786438 WLP786436:WLP786438 WVL786436:WVL786438 D851972:D851974 IZ851972:IZ851974 SV851972:SV851974 ACR851972:ACR851974 AMN851972:AMN851974 AWJ851972:AWJ851974 BGF851972:BGF851974 BQB851972:BQB851974 BZX851972:BZX851974 CJT851972:CJT851974 CTP851972:CTP851974 DDL851972:DDL851974 DNH851972:DNH851974 DXD851972:DXD851974 EGZ851972:EGZ851974 EQV851972:EQV851974 FAR851972:FAR851974 FKN851972:FKN851974 FUJ851972:FUJ851974 GEF851972:GEF851974 GOB851972:GOB851974 GXX851972:GXX851974 HHT851972:HHT851974 HRP851972:HRP851974 IBL851972:IBL851974 ILH851972:ILH851974 IVD851972:IVD851974 JEZ851972:JEZ851974 JOV851972:JOV851974 JYR851972:JYR851974 KIN851972:KIN851974 KSJ851972:KSJ851974 LCF851972:LCF851974 LMB851972:LMB851974 LVX851972:LVX851974 MFT851972:MFT851974 MPP851972:MPP851974 MZL851972:MZL851974 NJH851972:NJH851974 NTD851972:NTD851974 OCZ851972:OCZ851974 OMV851972:OMV851974 OWR851972:OWR851974 PGN851972:PGN851974 PQJ851972:PQJ851974 QAF851972:QAF851974 QKB851972:QKB851974 QTX851972:QTX851974 RDT851972:RDT851974 RNP851972:RNP851974 RXL851972:RXL851974 SHH851972:SHH851974 SRD851972:SRD851974 TAZ851972:TAZ851974 TKV851972:TKV851974 TUR851972:TUR851974 UEN851972:UEN851974 UOJ851972:UOJ851974 UYF851972:UYF851974 VIB851972:VIB851974 VRX851972:VRX851974 WBT851972:WBT851974 WLP851972:WLP851974 WVL851972:WVL851974 D917508:D917510 IZ917508:IZ917510 SV917508:SV917510 ACR917508:ACR917510 AMN917508:AMN917510 AWJ917508:AWJ917510 BGF917508:BGF917510 BQB917508:BQB917510 BZX917508:BZX917510 CJT917508:CJT917510 CTP917508:CTP917510 DDL917508:DDL917510 DNH917508:DNH917510 DXD917508:DXD917510 EGZ917508:EGZ917510 EQV917508:EQV917510 FAR917508:FAR917510 FKN917508:FKN917510 FUJ917508:FUJ917510 GEF917508:GEF917510 GOB917508:GOB917510 GXX917508:GXX917510 HHT917508:HHT917510 HRP917508:HRP917510 IBL917508:IBL917510 ILH917508:ILH917510 IVD917508:IVD917510 JEZ917508:JEZ917510 JOV917508:JOV917510 JYR917508:JYR917510 KIN917508:KIN917510 KSJ917508:KSJ917510 LCF917508:LCF917510 LMB917508:LMB917510 LVX917508:LVX917510 MFT917508:MFT917510 MPP917508:MPP917510 MZL917508:MZL917510 NJH917508:NJH917510 NTD917508:NTD917510 OCZ917508:OCZ917510 OMV917508:OMV917510 OWR917508:OWR917510 PGN917508:PGN917510 PQJ917508:PQJ917510 QAF917508:QAF917510 QKB917508:QKB917510 QTX917508:QTX917510 RDT917508:RDT917510 RNP917508:RNP917510 RXL917508:RXL917510 SHH917508:SHH917510 SRD917508:SRD917510 TAZ917508:TAZ917510 TKV917508:TKV917510 TUR917508:TUR917510 UEN917508:UEN917510 UOJ917508:UOJ917510 UYF917508:UYF917510 VIB917508:VIB917510 VRX917508:VRX917510 WBT917508:WBT917510 WLP917508:WLP917510 WVL917508:WVL917510 D983044:D983046 IZ983044:IZ983046 SV983044:SV983046 ACR983044:ACR983046 AMN983044:AMN983046 AWJ983044:AWJ983046 BGF983044:BGF983046 BQB983044:BQB983046 BZX983044:BZX983046 CJT983044:CJT983046 CTP983044:CTP983046 DDL983044:DDL983046 DNH983044:DNH983046 DXD983044:DXD983046 EGZ983044:EGZ983046 EQV983044:EQV983046 FAR983044:FAR983046 FKN983044:FKN983046 FUJ983044:FUJ983046 GEF983044:GEF983046 GOB983044:GOB983046 GXX983044:GXX983046 HHT983044:HHT983046 HRP983044:HRP983046 IBL983044:IBL983046 ILH983044:ILH983046 IVD983044:IVD983046 JEZ983044:JEZ983046 JOV983044:JOV983046 JYR983044:JYR983046 KIN983044:KIN983046 KSJ983044:KSJ983046 LCF983044:LCF983046 LMB983044:LMB983046 LVX983044:LVX983046 MFT983044:MFT983046 MPP983044:MPP983046 MZL983044:MZL983046 NJH983044:NJH983046 NTD983044:NTD983046 OCZ983044:OCZ983046 OMV983044:OMV983046 OWR983044:OWR983046 PGN983044:PGN983046 PQJ983044:PQJ983046 QAF983044:QAF983046 QKB983044:QKB983046 QTX983044:QTX983046 RDT983044:RDT983046 RNP983044:RNP983046 RXL983044:RXL983046 SHH983044:SHH983046 SRD983044:SRD983046 TAZ983044:TAZ983046 TKV983044:TKV983046 TUR983044:TUR983046 UEN983044:UEN983046 UOJ983044:UOJ983046 UYF983044:UYF983046 VIB983044:VIB983046 VRX983044:VRX983046 WBT983044:WBT983046 WLP983044:WLP983046 WVL983044:WVL983046 D65544 IZ65544 SV65544 ACR65544 AMN65544 AWJ65544 BGF65544 BQB65544 BZX65544 CJT65544 CTP65544 DDL65544 DNH65544 DXD65544 EGZ65544 EQV65544 FAR65544 FKN65544 FUJ65544 GEF65544 GOB65544 GXX65544 HHT65544 HRP65544 IBL65544 ILH65544 IVD65544 JEZ65544 JOV65544 JYR65544 KIN65544 KSJ65544 LCF65544 LMB65544 LVX65544 MFT65544 MPP65544 MZL65544 NJH65544 NTD65544 OCZ65544 OMV65544 OWR65544 PGN65544 PQJ65544 QAF65544 QKB65544 QTX65544 RDT65544 RNP65544 RXL65544 SHH65544 SRD65544 TAZ65544 TKV65544 TUR65544 UEN65544 UOJ65544 UYF65544 VIB65544 VRX65544 WBT65544 WLP65544 WVL65544 D131080 IZ131080 SV131080 ACR131080 AMN131080 AWJ131080 BGF131080 BQB131080 BZX131080 CJT131080 CTP131080 DDL131080 DNH131080 DXD131080 EGZ131080 EQV131080 FAR131080 FKN131080 FUJ131080 GEF131080 GOB131080 GXX131080 HHT131080 HRP131080 IBL131080 ILH131080 IVD131080 JEZ131080 JOV131080 JYR131080 KIN131080 KSJ131080 LCF131080 LMB131080 LVX131080 MFT131080 MPP131080 MZL131080 NJH131080 NTD131080 OCZ131080 OMV131080 OWR131080 PGN131080 PQJ131080 QAF131080 QKB131080 QTX131080 RDT131080 RNP131080 RXL131080 SHH131080 SRD131080 TAZ131080 TKV131080 TUR131080 UEN131080 UOJ131080 UYF131080 VIB131080 VRX131080 WBT131080 WLP131080 WVL131080 D196616 IZ196616 SV196616 ACR196616 AMN196616 AWJ196616 BGF196616 BQB196616 BZX196616 CJT196616 CTP196616 DDL196616 DNH196616 DXD196616 EGZ196616 EQV196616 FAR196616 FKN196616 FUJ196616 GEF196616 GOB196616 GXX196616 HHT196616 HRP196616 IBL196616 ILH196616 IVD196616 JEZ196616 JOV196616 JYR196616 KIN196616 KSJ196616 LCF196616 LMB196616 LVX196616 MFT196616 MPP196616 MZL196616 NJH196616 NTD196616 OCZ196616 OMV196616 OWR196616 PGN196616 PQJ196616 QAF196616 QKB196616 QTX196616 RDT196616 RNP196616 RXL196616 SHH196616 SRD196616 TAZ196616 TKV196616 TUR196616 UEN196616 UOJ196616 UYF196616 VIB196616 VRX196616 WBT196616 WLP196616 WVL196616 D262152 IZ262152 SV262152 ACR262152 AMN262152 AWJ262152 BGF262152 BQB262152 BZX262152 CJT262152 CTP262152 DDL262152 DNH262152 DXD262152 EGZ262152 EQV262152 FAR262152 FKN262152 FUJ262152 GEF262152 GOB262152 GXX262152 HHT262152 HRP262152 IBL262152 ILH262152 IVD262152 JEZ262152 JOV262152 JYR262152 KIN262152 KSJ262152 LCF262152 LMB262152 LVX262152 MFT262152 MPP262152 MZL262152 NJH262152 NTD262152 OCZ262152 OMV262152 OWR262152 PGN262152 PQJ262152 QAF262152 QKB262152 QTX262152 RDT262152 RNP262152 RXL262152 SHH262152 SRD262152 TAZ262152 TKV262152 TUR262152 UEN262152 UOJ262152 UYF262152 VIB262152 VRX262152 WBT262152 WLP262152 WVL262152 D327688 IZ327688 SV327688 ACR327688 AMN327688 AWJ327688 BGF327688 BQB327688 BZX327688 CJT327688 CTP327688 DDL327688 DNH327688 DXD327688 EGZ327688 EQV327688 FAR327688 FKN327688 FUJ327688 GEF327688 GOB327688 GXX327688 HHT327688 HRP327688 IBL327688 ILH327688 IVD327688 JEZ327688 JOV327688 JYR327688 KIN327688 KSJ327688 LCF327688 LMB327688 LVX327688 MFT327688 MPP327688 MZL327688 NJH327688 NTD327688 OCZ327688 OMV327688 OWR327688 PGN327688 PQJ327688 QAF327688 QKB327688 QTX327688 RDT327688 RNP327688 RXL327688 SHH327688 SRD327688 TAZ327688 TKV327688 TUR327688 UEN327688 UOJ327688 UYF327688 VIB327688 VRX327688 WBT327688 WLP327688 WVL327688 D393224 IZ393224 SV393224 ACR393224 AMN393224 AWJ393224 BGF393224 BQB393224 BZX393224 CJT393224 CTP393224 DDL393224 DNH393224 DXD393224 EGZ393224 EQV393224 FAR393224 FKN393224 FUJ393224 GEF393224 GOB393224 GXX393224 HHT393224 HRP393224 IBL393224 ILH393224 IVD393224 JEZ393224 JOV393224 JYR393224 KIN393224 KSJ393224 LCF393224 LMB393224 LVX393224 MFT393224 MPP393224 MZL393224 NJH393224 NTD393224 OCZ393224 OMV393224 OWR393224 PGN393224 PQJ393224 QAF393224 QKB393224 QTX393224 RDT393224 RNP393224 RXL393224 SHH393224 SRD393224 TAZ393224 TKV393224 TUR393224 UEN393224 UOJ393224 UYF393224 VIB393224 VRX393224 WBT393224 WLP393224 WVL393224 D458760 IZ458760 SV458760 ACR458760 AMN458760 AWJ458760 BGF458760 BQB458760 BZX458760 CJT458760 CTP458760 DDL458760 DNH458760 DXD458760 EGZ458760 EQV458760 FAR458760 FKN458760 FUJ458760 GEF458760 GOB458760 GXX458760 HHT458760 HRP458760 IBL458760 ILH458760 IVD458760 JEZ458760 JOV458760 JYR458760 KIN458760 KSJ458760 LCF458760 LMB458760 LVX458760 MFT458760 MPP458760 MZL458760 NJH458760 NTD458760 OCZ458760 OMV458760 OWR458760 PGN458760 PQJ458760 QAF458760 QKB458760 QTX458760 RDT458760 RNP458760 RXL458760 SHH458760 SRD458760 TAZ458760 TKV458760 TUR458760 UEN458760 UOJ458760 UYF458760 VIB458760 VRX458760 WBT458760 WLP458760 WVL458760 D524296 IZ524296 SV524296 ACR524296 AMN524296 AWJ524296 BGF524296 BQB524296 BZX524296 CJT524296 CTP524296 DDL524296 DNH524296 DXD524296 EGZ524296 EQV524296 FAR524296 FKN524296 FUJ524296 GEF524296 GOB524296 GXX524296 HHT524296 HRP524296 IBL524296 ILH524296 IVD524296 JEZ524296 JOV524296 JYR524296 KIN524296 KSJ524296 LCF524296 LMB524296 LVX524296 MFT524296 MPP524296 MZL524296 NJH524296 NTD524296 OCZ524296 OMV524296 OWR524296 PGN524296 PQJ524296 QAF524296 QKB524296 QTX524296 RDT524296 RNP524296 RXL524296 SHH524296 SRD524296 TAZ524296 TKV524296 TUR524296 UEN524296 UOJ524296 UYF524296 VIB524296 VRX524296 WBT524296 WLP524296 WVL524296 D589832 IZ589832 SV589832 ACR589832 AMN589832 AWJ589832 BGF589832 BQB589832 BZX589832 CJT589832 CTP589832 DDL589832 DNH589832 DXD589832 EGZ589832 EQV589832 FAR589832 FKN589832 FUJ589832 GEF589832 GOB589832 GXX589832 HHT589832 HRP589832 IBL589832 ILH589832 IVD589832 JEZ589832 JOV589832 JYR589832 KIN589832 KSJ589832 LCF589832 LMB589832 LVX589832 MFT589832 MPP589832 MZL589832 NJH589832 NTD589832 OCZ589832 OMV589832 OWR589832 PGN589832 PQJ589832 QAF589832 QKB589832 QTX589832 RDT589832 RNP589832 RXL589832 SHH589832 SRD589832 TAZ589832 TKV589832 TUR589832 UEN589832 UOJ589832 UYF589832 VIB589832 VRX589832 WBT589832 WLP589832 WVL589832 D655368 IZ655368 SV655368 ACR655368 AMN655368 AWJ655368 BGF655368 BQB655368 BZX655368 CJT655368 CTP655368 DDL655368 DNH655368 DXD655368 EGZ655368 EQV655368 FAR655368 FKN655368 FUJ655368 GEF655368 GOB655368 GXX655368 HHT655368 HRP655368 IBL655368 ILH655368 IVD655368 JEZ655368 JOV655368 JYR655368 KIN655368 KSJ655368 LCF655368 LMB655368 LVX655368 MFT655368 MPP655368 MZL655368 NJH655368 NTD655368 OCZ655368 OMV655368 OWR655368 PGN655368 PQJ655368 QAF655368 QKB655368 QTX655368 RDT655368 RNP655368 RXL655368 SHH655368 SRD655368 TAZ655368 TKV655368 TUR655368 UEN655368 UOJ655368 UYF655368 VIB655368 VRX655368 WBT655368 WLP655368 WVL655368 D720904 IZ720904 SV720904 ACR720904 AMN720904 AWJ720904 BGF720904 BQB720904 BZX720904 CJT720904 CTP720904 DDL720904 DNH720904 DXD720904 EGZ720904 EQV720904 FAR720904 FKN720904 FUJ720904 GEF720904 GOB720904 GXX720904 HHT720904 HRP720904 IBL720904 ILH720904 IVD720904 JEZ720904 JOV720904 JYR720904 KIN720904 KSJ720904 LCF720904 LMB720904 LVX720904 MFT720904 MPP720904 MZL720904 NJH720904 NTD720904 OCZ720904 OMV720904 OWR720904 PGN720904 PQJ720904 QAF720904 QKB720904 QTX720904 RDT720904 RNP720904 RXL720904 SHH720904 SRD720904 TAZ720904 TKV720904 TUR720904 UEN720904 UOJ720904 UYF720904 VIB720904 VRX720904 WBT720904 WLP720904 WVL720904 D786440 IZ786440 SV786440 ACR786440 AMN786440 AWJ786440 BGF786440 BQB786440 BZX786440 CJT786440 CTP786440 DDL786440 DNH786440 DXD786440 EGZ786440 EQV786440 FAR786440 FKN786440 FUJ786440 GEF786440 GOB786440 GXX786440 HHT786440 HRP786440 IBL786440 ILH786440 IVD786440 JEZ786440 JOV786440 JYR786440 KIN786440 KSJ786440 LCF786440 LMB786440 LVX786440 MFT786440 MPP786440 MZL786440 NJH786440 NTD786440 OCZ786440 OMV786440 OWR786440 PGN786440 PQJ786440 QAF786440 QKB786440 QTX786440 RDT786440 RNP786440 RXL786440 SHH786440 SRD786440 TAZ786440 TKV786440 TUR786440 UEN786440 UOJ786440 UYF786440 VIB786440 VRX786440 WBT786440 WLP786440 WVL786440 D851976 IZ851976 SV851976 ACR851976 AMN851976 AWJ851976 BGF851976 BQB851976 BZX851976 CJT851976 CTP851976 DDL851976 DNH851976 DXD851976 EGZ851976 EQV851976 FAR851976 FKN851976 FUJ851976 GEF851976 GOB851976 GXX851976 HHT851976 HRP851976 IBL851976 ILH851976 IVD851976 JEZ851976 JOV851976 JYR851976 KIN851976 KSJ851976 LCF851976 LMB851976 LVX851976 MFT851976 MPP851976 MZL851976 NJH851976 NTD851976 OCZ851976 OMV851976 OWR851976 PGN851976 PQJ851976 QAF851976 QKB851976 QTX851976 RDT851976 RNP851976 RXL851976 SHH851976 SRD851976 TAZ851976 TKV851976 TUR851976 UEN851976 UOJ851976 UYF851976 VIB851976 VRX851976 WBT851976 WLP851976 WVL851976 D917512 IZ917512 SV917512 ACR917512 AMN917512 AWJ917512 BGF917512 BQB917512 BZX917512 CJT917512 CTP917512 DDL917512 DNH917512 DXD917512 EGZ917512 EQV917512 FAR917512 FKN917512 FUJ917512 GEF917512 GOB917512 GXX917512 HHT917512 HRP917512 IBL917512 ILH917512 IVD917512 JEZ917512 JOV917512 JYR917512 KIN917512 KSJ917512 LCF917512 LMB917512 LVX917512 MFT917512 MPP917512 MZL917512 NJH917512 NTD917512 OCZ917512 OMV917512 OWR917512 PGN917512 PQJ917512 QAF917512 QKB917512 QTX917512 RDT917512 RNP917512 RXL917512 SHH917512 SRD917512 TAZ917512 TKV917512 TUR917512 UEN917512 UOJ917512 UYF917512 VIB917512 VRX917512 WBT917512 WLP917512 WVL917512 D983048 IZ983048 SV983048 ACR983048 AMN983048 AWJ983048 BGF983048 BQB983048 BZX983048 CJT983048 CTP983048 DDL983048 DNH983048 DXD983048 EGZ983048 EQV983048 FAR983048 FKN983048 FUJ983048 GEF983048 GOB983048 GXX983048 HHT983048 HRP983048 IBL983048 ILH983048 IVD983048 JEZ983048 JOV983048 JYR983048 KIN983048 KSJ983048 LCF983048 LMB983048 LVX983048 MFT983048 MPP983048 MZL983048 NJH983048 NTD983048 OCZ983048 OMV983048 OWR983048 PGN983048 PQJ983048 QAF983048 QKB983048 QTX983048 RDT983048 RNP983048 RXL983048 SHH983048 SRD983048 TAZ983048 TKV983048 TUR983048 UEN983048 UOJ983048 UYF983048 VIB983048 VRX983048 WBT983048 WLP983048 WVL983048 D65546 IZ65546 SV65546 ACR65546 AMN65546 AWJ65546 BGF65546 BQB65546 BZX65546 CJT65546 CTP65546 DDL65546 DNH65546 DXD65546 EGZ65546 EQV65546 FAR65546 FKN65546 FUJ65546 GEF65546 GOB65546 GXX65546 HHT65546 HRP65546 IBL65546 ILH65546 IVD65546 JEZ65546 JOV65546 JYR65546 KIN65546 KSJ65546 LCF65546 LMB65546 LVX65546 MFT65546 MPP65546 MZL65546 NJH65546 NTD65546 OCZ65546 OMV65546 OWR65546 PGN65546 PQJ65546 QAF65546 QKB65546 QTX65546 RDT65546 RNP65546 RXL65546 SHH65546 SRD65546 TAZ65546 TKV65546 TUR65546 UEN65546 UOJ65546 UYF65546 VIB65546 VRX65546 WBT65546 WLP65546 WVL65546 D131082 IZ131082 SV131082 ACR131082 AMN131082 AWJ131082 BGF131082 BQB131082 BZX131082 CJT131082 CTP131082 DDL131082 DNH131082 DXD131082 EGZ131082 EQV131082 FAR131082 FKN131082 FUJ131082 GEF131082 GOB131082 GXX131082 HHT131082 HRP131082 IBL131082 ILH131082 IVD131082 JEZ131082 JOV131082 JYR131082 KIN131082 KSJ131082 LCF131082 LMB131082 LVX131082 MFT131082 MPP131082 MZL131082 NJH131082 NTD131082 OCZ131082 OMV131082 OWR131082 PGN131082 PQJ131082 QAF131082 QKB131082 QTX131082 RDT131082 RNP131082 RXL131082 SHH131082 SRD131082 TAZ131082 TKV131082 TUR131082 UEN131082 UOJ131082 UYF131082 VIB131082 VRX131082 WBT131082 WLP131082 WVL131082 D196618 IZ196618 SV196618 ACR196618 AMN196618 AWJ196618 BGF196618 BQB196618 BZX196618 CJT196618 CTP196618 DDL196618 DNH196618 DXD196618 EGZ196618 EQV196618 FAR196618 FKN196618 FUJ196618 GEF196618 GOB196618 GXX196618 HHT196618 HRP196618 IBL196618 ILH196618 IVD196618 JEZ196618 JOV196618 JYR196618 KIN196618 KSJ196618 LCF196618 LMB196618 LVX196618 MFT196618 MPP196618 MZL196618 NJH196618 NTD196618 OCZ196618 OMV196618 OWR196618 PGN196618 PQJ196618 QAF196618 QKB196618 QTX196618 RDT196618 RNP196618 RXL196618 SHH196618 SRD196618 TAZ196618 TKV196618 TUR196618 UEN196618 UOJ196618 UYF196618 VIB196618 VRX196618 WBT196618 WLP196618 WVL196618 D262154 IZ262154 SV262154 ACR262154 AMN262154 AWJ262154 BGF262154 BQB262154 BZX262154 CJT262154 CTP262154 DDL262154 DNH262154 DXD262154 EGZ262154 EQV262154 FAR262154 FKN262154 FUJ262154 GEF262154 GOB262154 GXX262154 HHT262154 HRP262154 IBL262154 ILH262154 IVD262154 JEZ262154 JOV262154 JYR262154 KIN262154 KSJ262154 LCF262154 LMB262154 LVX262154 MFT262154 MPP262154 MZL262154 NJH262154 NTD262154 OCZ262154 OMV262154 OWR262154 PGN262154 PQJ262154 QAF262154 QKB262154 QTX262154 RDT262154 RNP262154 RXL262154 SHH262154 SRD262154 TAZ262154 TKV262154 TUR262154 UEN262154 UOJ262154 UYF262154 VIB262154 VRX262154 WBT262154 WLP262154 WVL262154 D327690 IZ327690 SV327690 ACR327690 AMN327690 AWJ327690 BGF327690 BQB327690 BZX327690 CJT327690 CTP327690 DDL327690 DNH327690 DXD327690 EGZ327690 EQV327690 FAR327690 FKN327690 FUJ327690 GEF327690 GOB327690 GXX327690 HHT327690 HRP327690 IBL327690 ILH327690 IVD327690 JEZ327690 JOV327690 JYR327690 KIN327690 KSJ327690 LCF327690 LMB327690 LVX327690 MFT327690 MPP327690 MZL327690 NJH327690 NTD327690 OCZ327690 OMV327690 OWR327690 PGN327690 PQJ327690 QAF327690 QKB327690 QTX327690 RDT327690 RNP327690 RXL327690 SHH327690 SRD327690 TAZ327690 TKV327690 TUR327690 UEN327690 UOJ327690 UYF327690 VIB327690 VRX327690 WBT327690 WLP327690 WVL327690 D393226 IZ393226 SV393226 ACR393226 AMN393226 AWJ393226 BGF393226 BQB393226 BZX393226 CJT393226 CTP393226 DDL393226 DNH393226 DXD393226 EGZ393226 EQV393226 FAR393226 FKN393226 FUJ393226 GEF393226 GOB393226 GXX393226 HHT393226 HRP393226 IBL393226 ILH393226 IVD393226 JEZ393226 JOV393226 JYR393226 KIN393226 KSJ393226 LCF393226 LMB393226 LVX393226 MFT393226 MPP393226 MZL393226 NJH393226 NTD393226 OCZ393226 OMV393226 OWR393226 PGN393226 PQJ393226 QAF393226 QKB393226 QTX393226 RDT393226 RNP393226 RXL393226 SHH393226 SRD393226 TAZ393226 TKV393226 TUR393226 UEN393226 UOJ393226 UYF393226 VIB393226 VRX393226 WBT393226 WLP393226 WVL393226 D458762 IZ458762 SV458762 ACR458762 AMN458762 AWJ458762 BGF458762 BQB458762 BZX458762 CJT458762 CTP458762 DDL458762 DNH458762 DXD458762 EGZ458762 EQV458762 FAR458762 FKN458762 FUJ458762 GEF458762 GOB458762 GXX458762 HHT458762 HRP458762 IBL458762 ILH458762 IVD458762 JEZ458762 JOV458762 JYR458762 KIN458762 KSJ458762 LCF458762 LMB458762 LVX458762 MFT458762 MPP458762 MZL458762 NJH458762 NTD458762 OCZ458762 OMV458762 OWR458762 PGN458762 PQJ458762 QAF458762 QKB458762 QTX458762 RDT458762 RNP458762 RXL458762 SHH458762 SRD458762 TAZ458762 TKV458762 TUR458762 UEN458762 UOJ458762 UYF458762 VIB458762 VRX458762 WBT458762 WLP458762 WVL458762 D524298 IZ524298 SV524298 ACR524298 AMN524298 AWJ524298 BGF524298 BQB524298 BZX524298 CJT524298 CTP524298 DDL524298 DNH524298 DXD524298 EGZ524298 EQV524298 FAR524298 FKN524298 FUJ524298 GEF524298 GOB524298 GXX524298 HHT524298 HRP524298 IBL524298 ILH524298 IVD524298 JEZ524298 JOV524298 JYR524298 KIN524298 KSJ524298 LCF524298 LMB524298 LVX524298 MFT524298 MPP524298 MZL524298 NJH524298 NTD524298 OCZ524298 OMV524298 OWR524298 PGN524298 PQJ524298 QAF524298 QKB524298 QTX524298 RDT524298 RNP524298 RXL524298 SHH524298 SRD524298 TAZ524298 TKV524298 TUR524298 UEN524298 UOJ524298 UYF524298 VIB524298 VRX524298 WBT524298 WLP524298 WVL524298 D589834 IZ589834 SV589834 ACR589834 AMN589834 AWJ589834 BGF589834 BQB589834 BZX589834 CJT589834 CTP589834 DDL589834 DNH589834 DXD589834 EGZ589834 EQV589834 FAR589834 FKN589834 FUJ589834 GEF589834 GOB589834 GXX589834 HHT589834 HRP589834 IBL589834 ILH589834 IVD589834 JEZ589834 JOV589834 JYR589834 KIN589834 KSJ589834 LCF589834 LMB589834 LVX589834 MFT589834 MPP589834 MZL589834 NJH589834 NTD589834 OCZ589834 OMV589834 OWR589834 PGN589834 PQJ589834 QAF589834 QKB589834 QTX589834 RDT589834 RNP589834 RXL589834 SHH589834 SRD589834 TAZ589834 TKV589834 TUR589834 UEN589834 UOJ589834 UYF589834 VIB589834 VRX589834 WBT589834 WLP589834 WVL589834 D655370 IZ655370 SV655370 ACR655370 AMN655370 AWJ655370 BGF655370 BQB655370 BZX655370 CJT655370 CTP655370 DDL655370 DNH655370 DXD655370 EGZ655370 EQV655370 FAR655370 FKN655370 FUJ655370 GEF655370 GOB655370 GXX655370 HHT655370 HRP655370 IBL655370 ILH655370 IVD655370 JEZ655370 JOV655370 JYR655370 KIN655370 KSJ655370 LCF655370 LMB655370 LVX655370 MFT655370 MPP655370 MZL655370 NJH655370 NTD655370 OCZ655370 OMV655370 OWR655370 PGN655370 PQJ655370 QAF655370 QKB655370 QTX655370 RDT655370 RNP655370 RXL655370 SHH655370 SRD655370 TAZ655370 TKV655370 TUR655370 UEN655370 UOJ655370 UYF655370 VIB655370 VRX655370 WBT655370 WLP655370 WVL655370 D720906 IZ720906 SV720906 ACR720906 AMN720906 AWJ720906 BGF720906 BQB720906 BZX720906 CJT720906 CTP720906 DDL720906 DNH720906 DXD720906 EGZ720906 EQV720906 FAR720906 FKN720906 FUJ720906 GEF720906 GOB720906 GXX720906 HHT720906 HRP720906 IBL720906 ILH720906 IVD720906 JEZ720906 JOV720906 JYR720906 KIN720906 KSJ720906 LCF720906 LMB720906 LVX720906 MFT720906 MPP720906 MZL720906 NJH720906 NTD720906 OCZ720906 OMV720906 OWR720906 PGN720906 PQJ720906 QAF720906 QKB720906 QTX720906 RDT720906 RNP720906 RXL720906 SHH720906 SRD720906 TAZ720906 TKV720906 TUR720906 UEN720906 UOJ720906 UYF720906 VIB720906 VRX720906 WBT720906 WLP720906 WVL720906 D786442 IZ786442 SV786442 ACR786442 AMN786442 AWJ786442 BGF786442 BQB786442 BZX786442 CJT786442 CTP786442 DDL786442 DNH786442 DXD786442 EGZ786442 EQV786442 FAR786442 FKN786442 FUJ786442 GEF786442 GOB786442 GXX786442 HHT786442 HRP786442 IBL786442 ILH786442 IVD786442 JEZ786442 JOV786442 JYR786442 KIN786442 KSJ786442 LCF786442 LMB786442 LVX786442 MFT786442 MPP786442 MZL786442 NJH786442 NTD786442 OCZ786442 OMV786442 OWR786442 PGN786442 PQJ786442 QAF786442 QKB786442 QTX786442 RDT786442 RNP786442 RXL786442 SHH786442 SRD786442 TAZ786442 TKV786442 TUR786442 UEN786442 UOJ786442 UYF786442 VIB786442 VRX786442 WBT786442 WLP786442 WVL786442 D851978 IZ851978 SV851978 ACR851978 AMN851978 AWJ851978 BGF851978 BQB851978 BZX851978 CJT851978 CTP851978 DDL851978 DNH851978 DXD851978 EGZ851978 EQV851978 FAR851978 FKN851978 FUJ851978 GEF851978 GOB851978 GXX851978 HHT851978 HRP851978 IBL851978 ILH851978 IVD851978 JEZ851978 JOV851978 JYR851978 KIN851978 KSJ851978 LCF851978 LMB851978 LVX851978 MFT851978 MPP851978 MZL851978 NJH851978 NTD851978 OCZ851978 OMV851978 OWR851978 PGN851978 PQJ851978 QAF851978 QKB851978 QTX851978 RDT851978 RNP851978 RXL851978 SHH851978 SRD851978 TAZ851978 TKV851978 TUR851978 UEN851978 UOJ851978 UYF851978 VIB851978 VRX851978 WBT851978 WLP851978 WVL851978 D917514 IZ917514 SV917514 ACR917514 AMN917514 AWJ917514 BGF917514 BQB917514 BZX917514 CJT917514 CTP917514 DDL917514 DNH917514 DXD917514 EGZ917514 EQV917514 FAR917514 FKN917514 FUJ917514 GEF917514 GOB917514 GXX917514 HHT917514 HRP917514 IBL917514 ILH917514 IVD917514 JEZ917514 JOV917514 JYR917514 KIN917514 KSJ917514 LCF917514 LMB917514 LVX917514 MFT917514 MPP917514 MZL917514 NJH917514 NTD917514 OCZ917514 OMV917514 OWR917514 PGN917514 PQJ917514 QAF917514 QKB917514 QTX917514 RDT917514 RNP917514 RXL917514 SHH917514 SRD917514 TAZ917514 TKV917514 TUR917514 UEN917514 UOJ917514 UYF917514 VIB917514 VRX917514 WBT917514 WLP917514 WVL917514 D983050 IZ983050 SV983050 ACR983050 AMN983050 AWJ983050 BGF983050 BQB983050 BZX983050 CJT983050 CTP983050 DDL983050 DNH983050 DXD983050 EGZ983050 EQV983050 FAR983050 FKN983050 FUJ983050 GEF983050 GOB983050 GXX983050 HHT983050 HRP983050 IBL983050 ILH983050 IVD983050 JEZ983050 JOV983050 JYR983050 KIN983050 KSJ983050 LCF983050 LMB983050 LVX983050 MFT983050 MPP983050 MZL983050 NJH983050 NTD983050 OCZ983050 OMV983050 OWR983050 PGN983050 PQJ983050 QAF983050 QKB983050 QTX983050 RDT983050 RNP983050 RXL983050 SHH983050 SRD983050 TAZ983050 TKV983050 TUR983050 UEN983050 UOJ983050 UYF983050 VIB983050 VRX983050 WBT983050 WLP983050 WVL983050 D23:D24 IY27:IY28 SU27:SU28 ACQ27:ACQ28 AMM27:AMM28 AWI27:AWI28 BGE27:BGE28 BQA27:BQA28 BZW27:BZW28 CJS27:CJS28 CTO27:CTO28 DDK27:DDK28 DNG27:DNG28 DXC27:DXC28 EGY27:EGY28 EQU27:EQU28 FAQ27:FAQ28 FKM27:FKM28 FUI27:FUI28 GEE27:GEE28 GOA27:GOA28 GXW27:GXW28 HHS27:HHS28 HRO27:HRO28 IBK27:IBK28 ILG27:ILG28 IVC27:IVC28 JEY27:JEY28 JOU27:JOU28 JYQ27:JYQ28 KIM27:KIM28 KSI27:KSI28 LCE27:LCE28 LMA27:LMA28 LVW27:LVW28 MFS27:MFS28 MPO27:MPO28 MZK27:MZK28 NJG27:NJG28 NTC27:NTC28 OCY27:OCY28 OMU27:OMU28 OWQ27:OWQ28 PGM27:PGM28 PQI27:PQI28 QAE27:QAE28 QKA27:QKA28 QTW27:QTW28 RDS27:RDS28 RNO27:RNO28 RXK27:RXK28 SHG27:SHG28 SRC27:SRC28 TAY27:TAY28 TKU27:TKU28 TUQ27:TUQ28 UEM27:UEM28 UOI27:UOI28 UYE27:UYE28 VIA27:VIA28 VRW27:VRW28 WBS27:WBS28 WLO27:WLO28 WVK27:WVK28 C65548:C65550 IY65548:IY65550 SU65548:SU65550 ACQ65548:ACQ65550 AMM65548:AMM65550 AWI65548:AWI65550 BGE65548:BGE65550 BQA65548:BQA65550 BZW65548:BZW65550 CJS65548:CJS65550 CTO65548:CTO65550 DDK65548:DDK65550 DNG65548:DNG65550 DXC65548:DXC65550 EGY65548:EGY65550 EQU65548:EQU65550 FAQ65548:FAQ65550 FKM65548:FKM65550 FUI65548:FUI65550 GEE65548:GEE65550 GOA65548:GOA65550 GXW65548:GXW65550 HHS65548:HHS65550 HRO65548:HRO65550 IBK65548:IBK65550 ILG65548:ILG65550 IVC65548:IVC65550 JEY65548:JEY65550 JOU65548:JOU65550 JYQ65548:JYQ65550 KIM65548:KIM65550 KSI65548:KSI65550 LCE65548:LCE65550 LMA65548:LMA65550 LVW65548:LVW65550 MFS65548:MFS65550 MPO65548:MPO65550 MZK65548:MZK65550 NJG65548:NJG65550 NTC65548:NTC65550 OCY65548:OCY65550 OMU65548:OMU65550 OWQ65548:OWQ65550 PGM65548:PGM65550 PQI65548:PQI65550 QAE65548:QAE65550 QKA65548:QKA65550 QTW65548:QTW65550 RDS65548:RDS65550 RNO65548:RNO65550 RXK65548:RXK65550 SHG65548:SHG65550 SRC65548:SRC65550 TAY65548:TAY65550 TKU65548:TKU65550 TUQ65548:TUQ65550 UEM65548:UEM65550 UOI65548:UOI65550 UYE65548:UYE65550 VIA65548:VIA65550 VRW65548:VRW65550 WBS65548:WBS65550 WLO65548:WLO65550 WVK65548:WVK65550 C131084:C131086 IY131084:IY131086 SU131084:SU131086 ACQ131084:ACQ131086 AMM131084:AMM131086 AWI131084:AWI131086 BGE131084:BGE131086 BQA131084:BQA131086 BZW131084:BZW131086 CJS131084:CJS131086 CTO131084:CTO131086 DDK131084:DDK131086 DNG131084:DNG131086 DXC131084:DXC131086 EGY131084:EGY131086 EQU131084:EQU131086 FAQ131084:FAQ131086 FKM131084:FKM131086 FUI131084:FUI131086 GEE131084:GEE131086 GOA131084:GOA131086 GXW131084:GXW131086 HHS131084:HHS131086 HRO131084:HRO131086 IBK131084:IBK131086 ILG131084:ILG131086 IVC131084:IVC131086 JEY131084:JEY131086 JOU131084:JOU131086 JYQ131084:JYQ131086 KIM131084:KIM131086 KSI131084:KSI131086 LCE131084:LCE131086 LMA131084:LMA131086 LVW131084:LVW131086 MFS131084:MFS131086 MPO131084:MPO131086 MZK131084:MZK131086 NJG131084:NJG131086 NTC131084:NTC131086 OCY131084:OCY131086 OMU131084:OMU131086 OWQ131084:OWQ131086 PGM131084:PGM131086 PQI131084:PQI131086 QAE131084:QAE131086 QKA131084:QKA131086 QTW131084:QTW131086 RDS131084:RDS131086 RNO131084:RNO131086 RXK131084:RXK131086 SHG131084:SHG131086 SRC131084:SRC131086 TAY131084:TAY131086 TKU131084:TKU131086 TUQ131084:TUQ131086 UEM131084:UEM131086 UOI131084:UOI131086 UYE131084:UYE131086 VIA131084:VIA131086 VRW131084:VRW131086 WBS131084:WBS131086 WLO131084:WLO131086 WVK131084:WVK131086 C196620:C196622 IY196620:IY196622 SU196620:SU196622 ACQ196620:ACQ196622 AMM196620:AMM196622 AWI196620:AWI196622 BGE196620:BGE196622 BQA196620:BQA196622 BZW196620:BZW196622 CJS196620:CJS196622 CTO196620:CTO196622 DDK196620:DDK196622 DNG196620:DNG196622 DXC196620:DXC196622 EGY196620:EGY196622 EQU196620:EQU196622 FAQ196620:FAQ196622 FKM196620:FKM196622 FUI196620:FUI196622 GEE196620:GEE196622 GOA196620:GOA196622 GXW196620:GXW196622 HHS196620:HHS196622 HRO196620:HRO196622 IBK196620:IBK196622 ILG196620:ILG196622 IVC196620:IVC196622 JEY196620:JEY196622 JOU196620:JOU196622 JYQ196620:JYQ196622 KIM196620:KIM196622 KSI196620:KSI196622 LCE196620:LCE196622 LMA196620:LMA196622 LVW196620:LVW196622 MFS196620:MFS196622 MPO196620:MPO196622 MZK196620:MZK196622 NJG196620:NJG196622 NTC196620:NTC196622 OCY196620:OCY196622 OMU196620:OMU196622 OWQ196620:OWQ196622 PGM196620:PGM196622 PQI196620:PQI196622 QAE196620:QAE196622 QKA196620:QKA196622 QTW196620:QTW196622 RDS196620:RDS196622 RNO196620:RNO196622 RXK196620:RXK196622 SHG196620:SHG196622 SRC196620:SRC196622 TAY196620:TAY196622 TKU196620:TKU196622 TUQ196620:TUQ196622 UEM196620:UEM196622 UOI196620:UOI196622 UYE196620:UYE196622 VIA196620:VIA196622 VRW196620:VRW196622 WBS196620:WBS196622 WLO196620:WLO196622 WVK196620:WVK196622 C262156:C262158 IY262156:IY262158 SU262156:SU262158 ACQ262156:ACQ262158 AMM262156:AMM262158 AWI262156:AWI262158 BGE262156:BGE262158 BQA262156:BQA262158 BZW262156:BZW262158 CJS262156:CJS262158 CTO262156:CTO262158 DDK262156:DDK262158 DNG262156:DNG262158 DXC262156:DXC262158 EGY262156:EGY262158 EQU262156:EQU262158 FAQ262156:FAQ262158 FKM262156:FKM262158 FUI262156:FUI262158 GEE262156:GEE262158 GOA262156:GOA262158 GXW262156:GXW262158 HHS262156:HHS262158 HRO262156:HRO262158 IBK262156:IBK262158 ILG262156:ILG262158 IVC262156:IVC262158 JEY262156:JEY262158 JOU262156:JOU262158 JYQ262156:JYQ262158 KIM262156:KIM262158 KSI262156:KSI262158 LCE262156:LCE262158 LMA262156:LMA262158 LVW262156:LVW262158 MFS262156:MFS262158 MPO262156:MPO262158 MZK262156:MZK262158 NJG262156:NJG262158 NTC262156:NTC262158 OCY262156:OCY262158 OMU262156:OMU262158 OWQ262156:OWQ262158 PGM262156:PGM262158 PQI262156:PQI262158 QAE262156:QAE262158 QKA262156:QKA262158 QTW262156:QTW262158 RDS262156:RDS262158 RNO262156:RNO262158 RXK262156:RXK262158 SHG262156:SHG262158 SRC262156:SRC262158 TAY262156:TAY262158 TKU262156:TKU262158 TUQ262156:TUQ262158 UEM262156:UEM262158 UOI262156:UOI262158 UYE262156:UYE262158 VIA262156:VIA262158 VRW262156:VRW262158 WBS262156:WBS262158 WLO262156:WLO262158 WVK262156:WVK262158 C327692:C327694 IY327692:IY327694 SU327692:SU327694 ACQ327692:ACQ327694 AMM327692:AMM327694 AWI327692:AWI327694 BGE327692:BGE327694 BQA327692:BQA327694 BZW327692:BZW327694 CJS327692:CJS327694 CTO327692:CTO327694 DDK327692:DDK327694 DNG327692:DNG327694 DXC327692:DXC327694 EGY327692:EGY327694 EQU327692:EQU327694 FAQ327692:FAQ327694 FKM327692:FKM327694 FUI327692:FUI327694 GEE327692:GEE327694 GOA327692:GOA327694 GXW327692:GXW327694 HHS327692:HHS327694 HRO327692:HRO327694 IBK327692:IBK327694 ILG327692:ILG327694 IVC327692:IVC327694 JEY327692:JEY327694 JOU327692:JOU327694 JYQ327692:JYQ327694 KIM327692:KIM327694 KSI327692:KSI327694 LCE327692:LCE327694 LMA327692:LMA327694 LVW327692:LVW327694 MFS327692:MFS327694 MPO327692:MPO327694 MZK327692:MZK327694 NJG327692:NJG327694 NTC327692:NTC327694 OCY327692:OCY327694 OMU327692:OMU327694 OWQ327692:OWQ327694 PGM327692:PGM327694 PQI327692:PQI327694 QAE327692:QAE327694 QKA327692:QKA327694 QTW327692:QTW327694 RDS327692:RDS327694 RNO327692:RNO327694 RXK327692:RXK327694 SHG327692:SHG327694 SRC327692:SRC327694 TAY327692:TAY327694 TKU327692:TKU327694 TUQ327692:TUQ327694 UEM327692:UEM327694 UOI327692:UOI327694 UYE327692:UYE327694 VIA327692:VIA327694 VRW327692:VRW327694 WBS327692:WBS327694 WLO327692:WLO327694 WVK327692:WVK327694 C393228:C393230 IY393228:IY393230 SU393228:SU393230 ACQ393228:ACQ393230 AMM393228:AMM393230 AWI393228:AWI393230 BGE393228:BGE393230 BQA393228:BQA393230 BZW393228:BZW393230 CJS393228:CJS393230 CTO393228:CTO393230 DDK393228:DDK393230 DNG393228:DNG393230 DXC393228:DXC393230 EGY393228:EGY393230 EQU393228:EQU393230 FAQ393228:FAQ393230 FKM393228:FKM393230 FUI393228:FUI393230 GEE393228:GEE393230 GOA393228:GOA393230 GXW393228:GXW393230 HHS393228:HHS393230 HRO393228:HRO393230 IBK393228:IBK393230 ILG393228:ILG393230 IVC393228:IVC393230 JEY393228:JEY393230 JOU393228:JOU393230 JYQ393228:JYQ393230 KIM393228:KIM393230 KSI393228:KSI393230 LCE393228:LCE393230 LMA393228:LMA393230 LVW393228:LVW393230 MFS393228:MFS393230 MPO393228:MPO393230 MZK393228:MZK393230 NJG393228:NJG393230 NTC393228:NTC393230 OCY393228:OCY393230 OMU393228:OMU393230 OWQ393228:OWQ393230 PGM393228:PGM393230 PQI393228:PQI393230 QAE393228:QAE393230 QKA393228:QKA393230 QTW393228:QTW393230 RDS393228:RDS393230 RNO393228:RNO393230 RXK393228:RXK393230 SHG393228:SHG393230 SRC393228:SRC393230 TAY393228:TAY393230 TKU393228:TKU393230 TUQ393228:TUQ393230 UEM393228:UEM393230 UOI393228:UOI393230 UYE393228:UYE393230 VIA393228:VIA393230 VRW393228:VRW393230 WBS393228:WBS393230 WLO393228:WLO393230 WVK393228:WVK393230 C458764:C458766 IY458764:IY458766 SU458764:SU458766 ACQ458764:ACQ458766 AMM458764:AMM458766 AWI458764:AWI458766 BGE458764:BGE458766 BQA458764:BQA458766 BZW458764:BZW458766 CJS458764:CJS458766 CTO458764:CTO458766 DDK458764:DDK458766 DNG458764:DNG458766 DXC458764:DXC458766 EGY458764:EGY458766 EQU458764:EQU458766 FAQ458764:FAQ458766 FKM458764:FKM458766 FUI458764:FUI458766 GEE458764:GEE458766 GOA458764:GOA458766 GXW458764:GXW458766 HHS458764:HHS458766 HRO458764:HRO458766 IBK458764:IBK458766 ILG458764:ILG458766 IVC458764:IVC458766 JEY458764:JEY458766 JOU458764:JOU458766 JYQ458764:JYQ458766 KIM458764:KIM458766 KSI458764:KSI458766 LCE458764:LCE458766 LMA458764:LMA458766 LVW458764:LVW458766 MFS458764:MFS458766 MPO458764:MPO458766 MZK458764:MZK458766 NJG458764:NJG458766 NTC458764:NTC458766 OCY458764:OCY458766 OMU458764:OMU458766 OWQ458764:OWQ458766 PGM458764:PGM458766 PQI458764:PQI458766 QAE458764:QAE458766 QKA458764:QKA458766 QTW458764:QTW458766 RDS458764:RDS458766 RNO458764:RNO458766 RXK458764:RXK458766 SHG458764:SHG458766 SRC458764:SRC458766 TAY458764:TAY458766 TKU458764:TKU458766 TUQ458764:TUQ458766 UEM458764:UEM458766 UOI458764:UOI458766 UYE458764:UYE458766 VIA458764:VIA458766 VRW458764:VRW458766 WBS458764:WBS458766 WLO458764:WLO458766 WVK458764:WVK458766 C524300:C524302 IY524300:IY524302 SU524300:SU524302 ACQ524300:ACQ524302 AMM524300:AMM524302 AWI524300:AWI524302 BGE524300:BGE524302 BQA524300:BQA524302 BZW524300:BZW524302 CJS524300:CJS524302 CTO524300:CTO524302 DDK524300:DDK524302 DNG524300:DNG524302 DXC524300:DXC524302 EGY524300:EGY524302 EQU524300:EQU524302 FAQ524300:FAQ524302 FKM524300:FKM524302 FUI524300:FUI524302 GEE524300:GEE524302 GOA524300:GOA524302 GXW524300:GXW524302 HHS524300:HHS524302 HRO524300:HRO524302 IBK524300:IBK524302 ILG524300:ILG524302 IVC524300:IVC524302 JEY524300:JEY524302 JOU524300:JOU524302 JYQ524300:JYQ524302 KIM524300:KIM524302 KSI524300:KSI524302 LCE524300:LCE524302 LMA524300:LMA524302 LVW524300:LVW524302 MFS524300:MFS524302 MPO524300:MPO524302 MZK524300:MZK524302 NJG524300:NJG524302 NTC524300:NTC524302 OCY524300:OCY524302 OMU524300:OMU524302 OWQ524300:OWQ524302 PGM524300:PGM524302 PQI524300:PQI524302 QAE524300:QAE524302 QKA524300:QKA524302 QTW524300:QTW524302 RDS524300:RDS524302 RNO524300:RNO524302 RXK524300:RXK524302 SHG524300:SHG524302 SRC524300:SRC524302 TAY524300:TAY524302 TKU524300:TKU524302 TUQ524300:TUQ524302 UEM524300:UEM524302 UOI524300:UOI524302 UYE524300:UYE524302 VIA524300:VIA524302 VRW524300:VRW524302 WBS524300:WBS524302 WLO524300:WLO524302 WVK524300:WVK524302 C589836:C589838 IY589836:IY589838 SU589836:SU589838 ACQ589836:ACQ589838 AMM589836:AMM589838 AWI589836:AWI589838 BGE589836:BGE589838 BQA589836:BQA589838 BZW589836:BZW589838 CJS589836:CJS589838 CTO589836:CTO589838 DDK589836:DDK589838 DNG589836:DNG589838 DXC589836:DXC589838 EGY589836:EGY589838 EQU589836:EQU589838 FAQ589836:FAQ589838 FKM589836:FKM589838 FUI589836:FUI589838 GEE589836:GEE589838 GOA589836:GOA589838 GXW589836:GXW589838 HHS589836:HHS589838 HRO589836:HRO589838 IBK589836:IBK589838 ILG589836:ILG589838 IVC589836:IVC589838 JEY589836:JEY589838 JOU589836:JOU589838 JYQ589836:JYQ589838 KIM589836:KIM589838 KSI589836:KSI589838 LCE589836:LCE589838 LMA589836:LMA589838 LVW589836:LVW589838 MFS589836:MFS589838 MPO589836:MPO589838 MZK589836:MZK589838 NJG589836:NJG589838 NTC589836:NTC589838 OCY589836:OCY589838 OMU589836:OMU589838 OWQ589836:OWQ589838 PGM589836:PGM589838 PQI589836:PQI589838 QAE589836:QAE589838 QKA589836:QKA589838 QTW589836:QTW589838 RDS589836:RDS589838 RNO589836:RNO589838 RXK589836:RXK589838 SHG589836:SHG589838 SRC589836:SRC589838 TAY589836:TAY589838 TKU589836:TKU589838 TUQ589836:TUQ589838 UEM589836:UEM589838 UOI589836:UOI589838 UYE589836:UYE589838 VIA589836:VIA589838 VRW589836:VRW589838 WBS589836:WBS589838 WLO589836:WLO589838 WVK589836:WVK589838 C655372:C655374 IY655372:IY655374 SU655372:SU655374 ACQ655372:ACQ655374 AMM655372:AMM655374 AWI655372:AWI655374 BGE655372:BGE655374 BQA655372:BQA655374 BZW655372:BZW655374 CJS655372:CJS655374 CTO655372:CTO655374 DDK655372:DDK655374 DNG655372:DNG655374 DXC655372:DXC655374 EGY655372:EGY655374 EQU655372:EQU655374 FAQ655372:FAQ655374 FKM655372:FKM655374 FUI655372:FUI655374 GEE655372:GEE655374 GOA655372:GOA655374 GXW655372:GXW655374 HHS655372:HHS655374 HRO655372:HRO655374 IBK655372:IBK655374 ILG655372:ILG655374 IVC655372:IVC655374 JEY655372:JEY655374 JOU655372:JOU655374 JYQ655372:JYQ655374 KIM655372:KIM655374 KSI655372:KSI655374 LCE655372:LCE655374 LMA655372:LMA655374 LVW655372:LVW655374 MFS655372:MFS655374 MPO655372:MPO655374 MZK655372:MZK655374 NJG655372:NJG655374 NTC655372:NTC655374 OCY655372:OCY655374 OMU655372:OMU655374 OWQ655372:OWQ655374 PGM655372:PGM655374 PQI655372:PQI655374 QAE655372:QAE655374 QKA655372:QKA655374 QTW655372:QTW655374 RDS655372:RDS655374 RNO655372:RNO655374 RXK655372:RXK655374 SHG655372:SHG655374 SRC655372:SRC655374 TAY655372:TAY655374 TKU655372:TKU655374 TUQ655372:TUQ655374 UEM655372:UEM655374 UOI655372:UOI655374 UYE655372:UYE655374 VIA655372:VIA655374 VRW655372:VRW655374 WBS655372:WBS655374 WLO655372:WLO655374 WVK655372:WVK655374 C720908:C720910 IY720908:IY720910 SU720908:SU720910 ACQ720908:ACQ720910 AMM720908:AMM720910 AWI720908:AWI720910 BGE720908:BGE720910 BQA720908:BQA720910 BZW720908:BZW720910 CJS720908:CJS720910 CTO720908:CTO720910 DDK720908:DDK720910 DNG720908:DNG720910 DXC720908:DXC720910 EGY720908:EGY720910 EQU720908:EQU720910 FAQ720908:FAQ720910 FKM720908:FKM720910 FUI720908:FUI720910 GEE720908:GEE720910 GOA720908:GOA720910 GXW720908:GXW720910 HHS720908:HHS720910 HRO720908:HRO720910 IBK720908:IBK720910 ILG720908:ILG720910 IVC720908:IVC720910 JEY720908:JEY720910 JOU720908:JOU720910 JYQ720908:JYQ720910 KIM720908:KIM720910 KSI720908:KSI720910 LCE720908:LCE720910 LMA720908:LMA720910 LVW720908:LVW720910 MFS720908:MFS720910 MPO720908:MPO720910 MZK720908:MZK720910 NJG720908:NJG720910 NTC720908:NTC720910 OCY720908:OCY720910 OMU720908:OMU720910 OWQ720908:OWQ720910 PGM720908:PGM720910 PQI720908:PQI720910 QAE720908:QAE720910 QKA720908:QKA720910 QTW720908:QTW720910 RDS720908:RDS720910 RNO720908:RNO720910 RXK720908:RXK720910 SHG720908:SHG720910 SRC720908:SRC720910 TAY720908:TAY720910 TKU720908:TKU720910 TUQ720908:TUQ720910 UEM720908:UEM720910 UOI720908:UOI720910 UYE720908:UYE720910 VIA720908:VIA720910 VRW720908:VRW720910 WBS720908:WBS720910 WLO720908:WLO720910 WVK720908:WVK720910 C786444:C786446 IY786444:IY786446 SU786444:SU786446 ACQ786444:ACQ786446 AMM786444:AMM786446 AWI786444:AWI786446 BGE786444:BGE786446 BQA786444:BQA786446 BZW786444:BZW786446 CJS786444:CJS786446 CTO786444:CTO786446 DDK786444:DDK786446 DNG786444:DNG786446 DXC786444:DXC786446 EGY786444:EGY786446 EQU786444:EQU786446 FAQ786444:FAQ786446 FKM786444:FKM786446 FUI786444:FUI786446 GEE786444:GEE786446 GOA786444:GOA786446 GXW786444:GXW786446 HHS786444:HHS786446 HRO786444:HRO786446 IBK786444:IBK786446 ILG786444:ILG786446 IVC786444:IVC786446 JEY786444:JEY786446 JOU786444:JOU786446 JYQ786444:JYQ786446 KIM786444:KIM786446 KSI786444:KSI786446 LCE786444:LCE786446 LMA786444:LMA786446 LVW786444:LVW786446 MFS786444:MFS786446 MPO786444:MPO786446 MZK786444:MZK786446 NJG786444:NJG786446 NTC786444:NTC786446 OCY786444:OCY786446 OMU786444:OMU786446 OWQ786444:OWQ786446 PGM786444:PGM786446 PQI786444:PQI786446 QAE786444:QAE786446 QKA786444:QKA786446 QTW786444:QTW786446 RDS786444:RDS786446 RNO786444:RNO786446 RXK786444:RXK786446 SHG786444:SHG786446 SRC786444:SRC786446 TAY786444:TAY786446 TKU786444:TKU786446 TUQ786444:TUQ786446 UEM786444:UEM786446 UOI786444:UOI786446 UYE786444:UYE786446 VIA786444:VIA786446 VRW786444:VRW786446 WBS786444:WBS786446 WLO786444:WLO786446 WVK786444:WVK786446 C851980:C851982 IY851980:IY851982 SU851980:SU851982 ACQ851980:ACQ851982 AMM851980:AMM851982 AWI851980:AWI851982 BGE851980:BGE851982 BQA851980:BQA851982 BZW851980:BZW851982 CJS851980:CJS851982 CTO851980:CTO851982 DDK851980:DDK851982 DNG851980:DNG851982 DXC851980:DXC851982 EGY851980:EGY851982 EQU851980:EQU851982 FAQ851980:FAQ851982 FKM851980:FKM851982 FUI851980:FUI851982 GEE851980:GEE851982 GOA851980:GOA851982 GXW851980:GXW851982 HHS851980:HHS851982 HRO851980:HRO851982 IBK851980:IBK851982 ILG851980:ILG851982 IVC851980:IVC851982 JEY851980:JEY851982 JOU851980:JOU851982 JYQ851980:JYQ851982 KIM851980:KIM851982 KSI851980:KSI851982 LCE851980:LCE851982 LMA851980:LMA851982 LVW851980:LVW851982 MFS851980:MFS851982 MPO851980:MPO851982 MZK851980:MZK851982 NJG851980:NJG851982 NTC851980:NTC851982 OCY851980:OCY851982 OMU851980:OMU851982 OWQ851980:OWQ851982 PGM851980:PGM851982 PQI851980:PQI851982 QAE851980:QAE851982 QKA851980:QKA851982 QTW851980:QTW851982 RDS851980:RDS851982 RNO851980:RNO851982 RXK851980:RXK851982 SHG851980:SHG851982 SRC851980:SRC851982 TAY851980:TAY851982 TKU851980:TKU851982 TUQ851980:TUQ851982 UEM851980:UEM851982 UOI851980:UOI851982 UYE851980:UYE851982 VIA851980:VIA851982 VRW851980:VRW851982 WBS851980:WBS851982 WLO851980:WLO851982 WVK851980:WVK851982 C917516:C917518 IY917516:IY917518 SU917516:SU917518 ACQ917516:ACQ917518 AMM917516:AMM917518 AWI917516:AWI917518 BGE917516:BGE917518 BQA917516:BQA917518 BZW917516:BZW917518 CJS917516:CJS917518 CTO917516:CTO917518 DDK917516:DDK917518 DNG917516:DNG917518 DXC917516:DXC917518 EGY917516:EGY917518 EQU917516:EQU917518 FAQ917516:FAQ917518 FKM917516:FKM917518 FUI917516:FUI917518 GEE917516:GEE917518 GOA917516:GOA917518 GXW917516:GXW917518 HHS917516:HHS917518 HRO917516:HRO917518 IBK917516:IBK917518 ILG917516:ILG917518 IVC917516:IVC917518 JEY917516:JEY917518 JOU917516:JOU917518 JYQ917516:JYQ917518 KIM917516:KIM917518 KSI917516:KSI917518 LCE917516:LCE917518 LMA917516:LMA917518 LVW917516:LVW917518 MFS917516:MFS917518 MPO917516:MPO917518 MZK917516:MZK917518 NJG917516:NJG917518 NTC917516:NTC917518 OCY917516:OCY917518 OMU917516:OMU917518 OWQ917516:OWQ917518 PGM917516:PGM917518 PQI917516:PQI917518 QAE917516:QAE917518 QKA917516:QKA917518 QTW917516:QTW917518 RDS917516:RDS917518 RNO917516:RNO917518 RXK917516:RXK917518 SHG917516:SHG917518 SRC917516:SRC917518 TAY917516:TAY917518 TKU917516:TKU917518 TUQ917516:TUQ917518 UEM917516:UEM917518 UOI917516:UOI917518 UYE917516:UYE917518 VIA917516:VIA917518 VRW917516:VRW917518 WBS917516:WBS917518 WLO917516:WLO917518 WVK917516:WVK917518 C983052:C983054 IY983052:IY983054 SU983052:SU983054 ACQ983052:ACQ983054 AMM983052:AMM983054 AWI983052:AWI983054 BGE983052:BGE983054 BQA983052:BQA983054 BZW983052:BZW983054 CJS983052:CJS983054 CTO983052:CTO983054 DDK983052:DDK983054 DNG983052:DNG983054 DXC983052:DXC983054 EGY983052:EGY983054 EQU983052:EQU983054 FAQ983052:FAQ983054 FKM983052:FKM983054 FUI983052:FUI983054 GEE983052:GEE983054 GOA983052:GOA983054 GXW983052:GXW983054 HHS983052:HHS983054 HRO983052:HRO983054 IBK983052:IBK983054 ILG983052:ILG983054 IVC983052:IVC983054 JEY983052:JEY983054 JOU983052:JOU983054 JYQ983052:JYQ983054 KIM983052:KIM983054 KSI983052:KSI983054 LCE983052:LCE983054 LMA983052:LMA983054 LVW983052:LVW983054 MFS983052:MFS983054 MPO983052:MPO983054 MZK983052:MZK983054 NJG983052:NJG983054 NTC983052:NTC983054 OCY983052:OCY983054 OMU983052:OMU983054 OWQ983052:OWQ983054 PGM983052:PGM983054 PQI983052:PQI983054 QAE983052:QAE983054 QKA983052:QKA983054 QTW983052:QTW983054 RDS983052:RDS983054 RNO983052:RNO983054 RXK983052:RXK983054 SHG983052:SHG983054 SRC983052:SRC983054 TAY983052:TAY983054 TKU983052:TKU983054 TUQ983052:TUQ983054 UEM983052:UEM983054 UOI983052:UOI983054 UYE983052:UYE983054 VIA983052:VIA983054 VRW983052:VRW983054 WBS983052:WBS983054 WLO983052:WLO983054 WVK983052:WVK983054 D65551:D65553 IZ65551:IZ65553 SV65551:SV65553 ACR65551:ACR65553 AMN65551:AMN65553 AWJ65551:AWJ65553 BGF65551:BGF65553 BQB65551:BQB65553 BZX65551:BZX65553 CJT65551:CJT65553 CTP65551:CTP65553 DDL65551:DDL65553 DNH65551:DNH65553 DXD65551:DXD65553 EGZ65551:EGZ65553 EQV65551:EQV65553 FAR65551:FAR65553 FKN65551:FKN65553 FUJ65551:FUJ65553 GEF65551:GEF65553 GOB65551:GOB65553 GXX65551:GXX65553 HHT65551:HHT65553 HRP65551:HRP65553 IBL65551:IBL65553 ILH65551:ILH65553 IVD65551:IVD65553 JEZ65551:JEZ65553 JOV65551:JOV65553 JYR65551:JYR65553 KIN65551:KIN65553 KSJ65551:KSJ65553 LCF65551:LCF65553 LMB65551:LMB65553 LVX65551:LVX65553 MFT65551:MFT65553 MPP65551:MPP65553 MZL65551:MZL65553 NJH65551:NJH65553 NTD65551:NTD65553 OCZ65551:OCZ65553 OMV65551:OMV65553 OWR65551:OWR65553 PGN65551:PGN65553 PQJ65551:PQJ65553 QAF65551:QAF65553 QKB65551:QKB65553 QTX65551:QTX65553 RDT65551:RDT65553 RNP65551:RNP65553 RXL65551:RXL65553 SHH65551:SHH65553 SRD65551:SRD65553 TAZ65551:TAZ65553 TKV65551:TKV65553 TUR65551:TUR65553 UEN65551:UEN65553 UOJ65551:UOJ65553 UYF65551:UYF65553 VIB65551:VIB65553 VRX65551:VRX65553 WBT65551:WBT65553 WLP65551:WLP65553 WVL65551:WVL65553 D131087:D131089 IZ131087:IZ131089 SV131087:SV131089 ACR131087:ACR131089 AMN131087:AMN131089 AWJ131087:AWJ131089 BGF131087:BGF131089 BQB131087:BQB131089 BZX131087:BZX131089 CJT131087:CJT131089 CTP131087:CTP131089 DDL131087:DDL131089 DNH131087:DNH131089 DXD131087:DXD131089 EGZ131087:EGZ131089 EQV131087:EQV131089 FAR131087:FAR131089 FKN131087:FKN131089 FUJ131087:FUJ131089 GEF131087:GEF131089 GOB131087:GOB131089 GXX131087:GXX131089 HHT131087:HHT131089 HRP131087:HRP131089 IBL131087:IBL131089 ILH131087:ILH131089 IVD131087:IVD131089 JEZ131087:JEZ131089 JOV131087:JOV131089 JYR131087:JYR131089 KIN131087:KIN131089 KSJ131087:KSJ131089 LCF131087:LCF131089 LMB131087:LMB131089 LVX131087:LVX131089 MFT131087:MFT131089 MPP131087:MPP131089 MZL131087:MZL131089 NJH131087:NJH131089 NTD131087:NTD131089 OCZ131087:OCZ131089 OMV131087:OMV131089 OWR131087:OWR131089 PGN131087:PGN131089 PQJ131087:PQJ131089 QAF131087:QAF131089 QKB131087:QKB131089 QTX131087:QTX131089 RDT131087:RDT131089 RNP131087:RNP131089 RXL131087:RXL131089 SHH131087:SHH131089 SRD131087:SRD131089 TAZ131087:TAZ131089 TKV131087:TKV131089 TUR131087:TUR131089 UEN131087:UEN131089 UOJ131087:UOJ131089 UYF131087:UYF131089 VIB131087:VIB131089 VRX131087:VRX131089 WBT131087:WBT131089 WLP131087:WLP131089 WVL131087:WVL131089 D196623:D196625 IZ196623:IZ196625 SV196623:SV196625 ACR196623:ACR196625 AMN196623:AMN196625 AWJ196623:AWJ196625 BGF196623:BGF196625 BQB196623:BQB196625 BZX196623:BZX196625 CJT196623:CJT196625 CTP196623:CTP196625 DDL196623:DDL196625 DNH196623:DNH196625 DXD196623:DXD196625 EGZ196623:EGZ196625 EQV196623:EQV196625 FAR196623:FAR196625 FKN196623:FKN196625 FUJ196623:FUJ196625 GEF196623:GEF196625 GOB196623:GOB196625 GXX196623:GXX196625 HHT196623:HHT196625 HRP196623:HRP196625 IBL196623:IBL196625 ILH196623:ILH196625 IVD196623:IVD196625 JEZ196623:JEZ196625 JOV196623:JOV196625 JYR196623:JYR196625 KIN196623:KIN196625 KSJ196623:KSJ196625 LCF196623:LCF196625 LMB196623:LMB196625 LVX196623:LVX196625 MFT196623:MFT196625 MPP196623:MPP196625 MZL196623:MZL196625 NJH196623:NJH196625 NTD196623:NTD196625 OCZ196623:OCZ196625 OMV196623:OMV196625 OWR196623:OWR196625 PGN196623:PGN196625 PQJ196623:PQJ196625 QAF196623:QAF196625 QKB196623:QKB196625 QTX196623:QTX196625 RDT196623:RDT196625 RNP196623:RNP196625 RXL196623:RXL196625 SHH196623:SHH196625 SRD196623:SRD196625 TAZ196623:TAZ196625 TKV196623:TKV196625 TUR196623:TUR196625 UEN196623:UEN196625 UOJ196623:UOJ196625 UYF196623:UYF196625 VIB196623:VIB196625 VRX196623:VRX196625 WBT196623:WBT196625 WLP196623:WLP196625 WVL196623:WVL196625 D262159:D262161 IZ262159:IZ262161 SV262159:SV262161 ACR262159:ACR262161 AMN262159:AMN262161 AWJ262159:AWJ262161 BGF262159:BGF262161 BQB262159:BQB262161 BZX262159:BZX262161 CJT262159:CJT262161 CTP262159:CTP262161 DDL262159:DDL262161 DNH262159:DNH262161 DXD262159:DXD262161 EGZ262159:EGZ262161 EQV262159:EQV262161 FAR262159:FAR262161 FKN262159:FKN262161 FUJ262159:FUJ262161 GEF262159:GEF262161 GOB262159:GOB262161 GXX262159:GXX262161 HHT262159:HHT262161 HRP262159:HRP262161 IBL262159:IBL262161 ILH262159:ILH262161 IVD262159:IVD262161 JEZ262159:JEZ262161 JOV262159:JOV262161 JYR262159:JYR262161 KIN262159:KIN262161 KSJ262159:KSJ262161 LCF262159:LCF262161 LMB262159:LMB262161 LVX262159:LVX262161 MFT262159:MFT262161 MPP262159:MPP262161 MZL262159:MZL262161 NJH262159:NJH262161 NTD262159:NTD262161 OCZ262159:OCZ262161 OMV262159:OMV262161 OWR262159:OWR262161 PGN262159:PGN262161 PQJ262159:PQJ262161 QAF262159:QAF262161 QKB262159:QKB262161 QTX262159:QTX262161 RDT262159:RDT262161 RNP262159:RNP262161 RXL262159:RXL262161 SHH262159:SHH262161 SRD262159:SRD262161 TAZ262159:TAZ262161 TKV262159:TKV262161 TUR262159:TUR262161 UEN262159:UEN262161 UOJ262159:UOJ262161 UYF262159:UYF262161 VIB262159:VIB262161 VRX262159:VRX262161 WBT262159:WBT262161 WLP262159:WLP262161 WVL262159:WVL262161 D327695:D327697 IZ327695:IZ327697 SV327695:SV327697 ACR327695:ACR327697 AMN327695:AMN327697 AWJ327695:AWJ327697 BGF327695:BGF327697 BQB327695:BQB327697 BZX327695:BZX327697 CJT327695:CJT327697 CTP327695:CTP327697 DDL327695:DDL327697 DNH327695:DNH327697 DXD327695:DXD327697 EGZ327695:EGZ327697 EQV327695:EQV327697 FAR327695:FAR327697 FKN327695:FKN327697 FUJ327695:FUJ327697 GEF327695:GEF327697 GOB327695:GOB327697 GXX327695:GXX327697 HHT327695:HHT327697 HRP327695:HRP327697 IBL327695:IBL327697 ILH327695:ILH327697 IVD327695:IVD327697 JEZ327695:JEZ327697 JOV327695:JOV327697 JYR327695:JYR327697 KIN327695:KIN327697 KSJ327695:KSJ327697 LCF327695:LCF327697 LMB327695:LMB327697 LVX327695:LVX327697 MFT327695:MFT327697 MPP327695:MPP327697 MZL327695:MZL327697 NJH327695:NJH327697 NTD327695:NTD327697 OCZ327695:OCZ327697 OMV327695:OMV327697 OWR327695:OWR327697 PGN327695:PGN327697 PQJ327695:PQJ327697 QAF327695:QAF327697 QKB327695:QKB327697 QTX327695:QTX327697 RDT327695:RDT327697 RNP327695:RNP327697 RXL327695:RXL327697 SHH327695:SHH327697 SRD327695:SRD327697 TAZ327695:TAZ327697 TKV327695:TKV327697 TUR327695:TUR327697 UEN327695:UEN327697 UOJ327695:UOJ327697 UYF327695:UYF327697 VIB327695:VIB327697 VRX327695:VRX327697 WBT327695:WBT327697 WLP327695:WLP327697 WVL327695:WVL327697 D393231:D393233 IZ393231:IZ393233 SV393231:SV393233 ACR393231:ACR393233 AMN393231:AMN393233 AWJ393231:AWJ393233 BGF393231:BGF393233 BQB393231:BQB393233 BZX393231:BZX393233 CJT393231:CJT393233 CTP393231:CTP393233 DDL393231:DDL393233 DNH393231:DNH393233 DXD393231:DXD393233 EGZ393231:EGZ393233 EQV393231:EQV393233 FAR393231:FAR393233 FKN393231:FKN393233 FUJ393231:FUJ393233 GEF393231:GEF393233 GOB393231:GOB393233 GXX393231:GXX393233 HHT393231:HHT393233 HRP393231:HRP393233 IBL393231:IBL393233 ILH393231:ILH393233 IVD393231:IVD393233 JEZ393231:JEZ393233 JOV393231:JOV393233 JYR393231:JYR393233 KIN393231:KIN393233 KSJ393231:KSJ393233 LCF393231:LCF393233 LMB393231:LMB393233 LVX393231:LVX393233 MFT393231:MFT393233 MPP393231:MPP393233 MZL393231:MZL393233 NJH393231:NJH393233 NTD393231:NTD393233 OCZ393231:OCZ393233 OMV393231:OMV393233 OWR393231:OWR393233 PGN393231:PGN393233 PQJ393231:PQJ393233 QAF393231:QAF393233 QKB393231:QKB393233 QTX393231:QTX393233 RDT393231:RDT393233 RNP393231:RNP393233 RXL393231:RXL393233 SHH393231:SHH393233 SRD393231:SRD393233 TAZ393231:TAZ393233 TKV393231:TKV393233 TUR393231:TUR393233 UEN393231:UEN393233 UOJ393231:UOJ393233 UYF393231:UYF393233 VIB393231:VIB393233 VRX393231:VRX393233 WBT393231:WBT393233 WLP393231:WLP393233 WVL393231:WVL393233 D458767:D458769 IZ458767:IZ458769 SV458767:SV458769 ACR458767:ACR458769 AMN458767:AMN458769 AWJ458767:AWJ458769 BGF458767:BGF458769 BQB458767:BQB458769 BZX458767:BZX458769 CJT458767:CJT458769 CTP458767:CTP458769 DDL458767:DDL458769 DNH458767:DNH458769 DXD458767:DXD458769 EGZ458767:EGZ458769 EQV458767:EQV458769 FAR458767:FAR458769 FKN458767:FKN458769 FUJ458767:FUJ458769 GEF458767:GEF458769 GOB458767:GOB458769 GXX458767:GXX458769 HHT458767:HHT458769 HRP458767:HRP458769 IBL458767:IBL458769 ILH458767:ILH458769 IVD458767:IVD458769 JEZ458767:JEZ458769 JOV458767:JOV458769 JYR458767:JYR458769 KIN458767:KIN458769 KSJ458767:KSJ458769 LCF458767:LCF458769 LMB458767:LMB458769 LVX458767:LVX458769 MFT458767:MFT458769 MPP458767:MPP458769 MZL458767:MZL458769 NJH458767:NJH458769 NTD458767:NTD458769 OCZ458767:OCZ458769 OMV458767:OMV458769 OWR458767:OWR458769 PGN458767:PGN458769 PQJ458767:PQJ458769 QAF458767:QAF458769 QKB458767:QKB458769 QTX458767:QTX458769 RDT458767:RDT458769 RNP458767:RNP458769 RXL458767:RXL458769 SHH458767:SHH458769 SRD458767:SRD458769 TAZ458767:TAZ458769 TKV458767:TKV458769 TUR458767:TUR458769 UEN458767:UEN458769 UOJ458767:UOJ458769 UYF458767:UYF458769 VIB458767:VIB458769 VRX458767:VRX458769 WBT458767:WBT458769 WLP458767:WLP458769 WVL458767:WVL458769 D524303:D524305 IZ524303:IZ524305 SV524303:SV524305 ACR524303:ACR524305 AMN524303:AMN524305 AWJ524303:AWJ524305 BGF524303:BGF524305 BQB524303:BQB524305 BZX524303:BZX524305 CJT524303:CJT524305 CTP524303:CTP524305 DDL524303:DDL524305 DNH524303:DNH524305 DXD524303:DXD524305 EGZ524303:EGZ524305 EQV524303:EQV524305 FAR524303:FAR524305 FKN524303:FKN524305 FUJ524303:FUJ524305 GEF524303:GEF524305 GOB524303:GOB524305 GXX524303:GXX524305 HHT524303:HHT524305 HRP524303:HRP524305 IBL524303:IBL524305 ILH524303:ILH524305 IVD524303:IVD524305 JEZ524303:JEZ524305 JOV524303:JOV524305 JYR524303:JYR524305 KIN524303:KIN524305 KSJ524303:KSJ524305 LCF524303:LCF524305 LMB524303:LMB524305 LVX524303:LVX524305 MFT524303:MFT524305 MPP524303:MPP524305 MZL524303:MZL524305 NJH524303:NJH524305 NTD524303:NTD524305 OCZ524303:OCZ524305 OMV524303:OMV524305 OWR524303:OWR524305 PGN524303:PGN524305 PQJ524303:PQJ524305 QAF524303:QAF524305 QKB524303:QKB524305 QTX524303:QTX524305 RDT524303:RDT524305 RNP524303:RNP524305 RXL524303:RXL524305 SHH524303:SHH524305 SRD524303:SRD524305 TAZ524303:TAZ524305 TKV524303:TKV524305 TUR524303:TUR524305 UEN524303:UEN524305 UOJ524303:UOJ524305 UYF524303:UYF524305 VIB524303:VIB524305 VRX524303:VRX524305 WBT524303:WBT524305 WLP524303:WLP524305 WVL524303:WVL524305 D589839:D589841 IZ589839:IZ589841 SV589839:SV589841 ACR589839:ACR589841 AMN589839:AMN589841 AWJ589839:AWJ589841 BGF589839:BGF589841 BQB589839:BQB589841 BZX589839:BZX589841 CJT589839:CJT589841 CTP589839:CTP589841 DDL589839:DDL589841 DNH589839:DNH589841 DXD589839:DXD589841 EGZ589839:EGZ589841 EQV589839:EQV589841 FAR589839:FAR589841 FKN589839:FKN589841 FUJ589839:FUJ589841 GEF589839:GEF589841 GOB589839:GOB589841 GXX589839:GXX589841 HHT589839:HHT589841 HRP589839:HRP589841 IBL589839:IBL589841 ILH589839:ILH589841 IVD589839:IVD589841 JEZ589839:JEZ589841 JOV589839:JOV589841 JYR589839:JYR589841 KIN589839:KIN589841 KSJ589839:KSJ589841 LCF589839:LCF589841 LMB589839:LMB589841 LVX589839:LVX589841 MFT589839:MFT589841 MPP589839:MPP589841 MZL589839:MZL589841 NJH589839:NJH589841 NTD589839:NTD589841 OCZ589839:OCZ589841 OMV589839:OMV589841 OWR589839:OWR589841 PGN589839:PGN589841 PQJ589839:PQJ589841 QAF589839:QAF589841 QKB589839:QKB589841 QTX589839:QTX589841 RDT589839:RDT589841 RNP589839:RNP589841 RXL589839:RXL589841 SHH589839:SHH589841 SRD589839:SRD589841 TAZ589839:TAZ589841 TKV589839:TKV589841 TUR589839:TUR589841 UEN589839:UEN589841 UOJ589839:UOJ589841 UYF589839:UYF589841 VIB589839:VIB589841 VRX589839:VRX589841 WBT589839:WBT589841 WLP589839:WLP589841 WVL589839:WVL589841 D655375:D655377 IZ655375:IZ655377 SV655375:SV655377 ACR655375:ACR655377 AMN655375:AMN655377 AWJ655375:AWJ655377 BGF655375:BGF655377 BQB655375:BQB655377 BZX655375:BZX655377 CJT655375:CJT655377 CTP655375:CTP655377 DDL655375:DDL655377 DNH655375:DNH655377 DXD655375:DXD655377 EGZ655375:EGZ655377 EQV655375:EQV655377 FAR655375:FAR655377 FKN655375:FKN655377 FUJ655375:FUJ655377 GEF655375:GEF655377 GOB655375:GOB655377 GXX655375:GXX655377 HHT655375:HHT655377 HRP655375:HRP655377 IBL655375:IBL655377 ILH655375:ILH655377 IVD655375:IVD655377 JEZ655375:JEZ655377 JOV655375:JOV655377 JYR655375:JYR655377 KIN655375:KIN655377 KSJ655375:KSJ655377 LCF655375:LCF655377 LMB655375:LMB655377 LVX655375:LVX655377 MFT655375:MFT655377 MPP655375:MPP655377 MZL655375:MZL655377 NJH655375:NJH655377 NTD655375:NTD655377 OCZ655375:OCZ655377 OMV655375:OMV655377 OWR655375:OWR655377 PGN655375:PGN655377 PQJ655375:PQJ655377 QAF655375:QAF655377 QKB655375:QKB655377 QTX655375:QTX655377 RDT655375:RDT655377 RNP655375:RNP655377 RXL655375:RXL655377 SHH655375:SHH655377 SRD655375:SRD655377 TAZ655375:TAZ655377 TKV655375:TKV655377 TUR655375:TUR655377 UEN655375:UEN655377 UOJ655375:UOJ655377 UYF655375:UYF655377 VIB655375:VIB655377 VRX655375:VRX655377 WBT655375:WBT655377 WLP655375:WLP655377 WVL655375:WVL655377 D720911:D720913 IZ720911:IZ720913 SV720911:SV720913 ACR720911:ACR720913 AMN720911:AMN720913 AWJ720911:AWJ720913 BGF720911:BGF720913 BQB720911:BQB720913 BZX720911:BZX720913 CJT720911:CJT720913 CTP720911:CTP720913 DDL720911:DDL720913 DNH720911:DNH720913 DXD720911:DXD720913 EGZ720911:EGZ720913 EQV720911:EQV720913 FAR720911:FAR720913 FKN720911:FKN720913 FUJ720911:FUJ720913 GEF720911:GEF720913 GOB720911:GOB720913 GXX720911:GXX720913 HHT720911:HHT720913 HRP720911:HRP720913 IBL720911:IBL720913 ILH720911:ILH720913 IVD720911:IVD720913 JEZ720911:JEZ720913 JOV720911:JOV720913 JYR720911:JYR720913 KIN720911:KIN720913 KSJ720911:KSJ720913 LCF720911:LCF720913 LMB720911:LMB720913 LVX720911:LVX720913 MFT720911:MFT720913 MPP720911:MPP720913 MZL720911:MZL720913 NJH720911:NJH720913 NTD720911:NTD720913 OCZ720911:OCZ720913 OMV720911:OMV720913 OWR720911:OWR720913 PGN720911:PGN720913 PQJ720911:PQJ720913 QAF720911:QAF720913 QKB720911:QKB720913 QTX720911:QTX720913 RDT720911:RDT720913 RNP720911:RNP720913 RXL720911:RXL720913 SHH720911:SHH720913 SRD720911:SRD720913 TAZ720911:TAZ720913 TKV720911:TKV720913 TUR720911:TUR720913 UEN720911:UEN720913 UOJ720911:UOJ720913 UYF720911:UYF720913 VIB720911:VIB720913 VRX720911:VRX720913 WBT720911:WBT720913 WLP720911:WLP720913 WVL720911:WVL720913 D786447:D786449 IZ786447:IZ786449 SV786447:SV786449 ACR786447:ACR786449 AMN786447:AMN786449 AWJ786447:AWJ786449 BGF786447:BGF786449 BQB786447:BQB786449 BZX786447:BZX786449 CJT786447:CJT786449 CTP786447:CTP786449 DDL786447:DDL786449 DNH786447:DNH786449 DXD786447:DXD786449 EGZ786447:EGZ786449 EQV786447:EQV786449 FAR786447:FAR786449 FKN786447:FKN786449 FUJ786447:FUJ786449 GEF786447:GEF786449 GOB786447:GOB786449 GXX786447:GXX786449 HHT786447:HHT786449 HRP786447:HRP786449 IBL786447:IBL786449 ILH786447:ILH786449 IVD786447:IVD786449 JEZ786447:JEZ786449 JOV786447:JOV786449 JYR786447:JYR786449 KIN786447:KIN786449 KSJ786447:KSJ786449 LCF786447:LCF786449 LMB786447:LMB786449 LVX786447:LVX786449 MFT786447:MFT786449 MPP786447:MPP786449 MZL786447:MZL786449 NJH786447:NJH786449 NTD786447:NTD786449 OCZ786447:OCZ786449 OMV786447:OMV786449 OWR786447:OWR786449 PGN786447:PGN786449 PQJ786447:PQJ786449 QAF786447:QAF786449 QKB786447:QKB786449 QTX786447:QTX786449 RDT786447:RDT786449 RNP786447:RNP786449 RXL786447:RXL786449 SHH786447:SHH786449 SRD786447:SRD786449 TAZ786447:TAZ786449 TKV786447:TKV786449 TUR786447:TUR786449 UEN786447:UEN786449 UOJ786447:UOJ786449 UYF786447:UYF786449 VIB786447:VIB786449 VRX786447:VRX786449 WBT786447:WBT786449 WLP786447:WLP786449 WVL786447:WVL786449 D851983:D851985 IZ851983:IZ851985 SV851983:SV851985 ACR851983:ACR851985 AMN851983:AMN851985 AWJ851983:AWJ851985 BGF851983:BGF851985 BQB851983:BQB851985 BZX851983:BZX851985 CJT851983:CJT851985 CTP851983:CTP851985 DDL851983:DDL851985 DNH851983:DNH851985 DXD851983:DXD851985 EGZ851983:EGZ851985 EQV851983:EQV851985 FAR851983:FAR851985 FKN851983:FKN851985 FUJ851983:FUJ851985 GEF851983:GEF851985 GOB851983:GOB851985 GXX851983:GXX851985 HHT851983:HHT851985 HRP851983:HRP851985 IBL851983:IBL851985 ILH851983:ILH851985 IVD851983:IVD851985 JEZ851983:JEZ851985 JOV851983:JOV851985 JYR851983:JYR851985 KIN851983:KIN851985 KSJ851983:KSJ851985 LCF851983:LCF851985 LMB851983:LMB851985 LVX851983:LVX851985 MFT851983:MFT851985 MPP851983:MPP851985 MZL851983:MZL851985 NJH851983:NJH851985 NTD851983:NTD851985 OCZ851983:OCZ851985 OMV851983:OMV851985 OWR851983:OWR851985 PGN851983:PGN851985 PQJ851983:PQJ851985 QAF851983:QAF851985 QKB851983:QKB851985 QTX851983:QTX851985 RDT851983:RDT851985 RNP851983:RNP851985 RXL851983:RXL851985 SHH851983:SHH851985 SRD851983:SRD851985 TAZ851983:TAZ851985 TKV851983:TKV851985 TUR851983:TUR851985 UEN851983:UEN851985 UOJ851983:UOJ851985 UYF851983:UYF851985 VIB851983:VIB851985 VRX851983:VRX851985 WBT851983:WBT851985 WLP851983:WLP851985 WVL851983:WVL851985 D917519:D917521 IZ917519:IZ917521 SV917519:SV917521 ACR917519:ACR917521 AMN917519:AMN917521 AWJ917519:AWJ917521 BGF917519:BGF917521 BQB917519:BQB917521 BZX917519:BZX917521 CJT917519:CJT917521 CTP917519:CTP917521 DDL917519:DDL917521 DNH917519:DNH917521 DXD917519:DXD917521 EGZ917519:EGZ917521 EQV917519:EQV917521 FAR917519:FAR917521 FKN917519:FKN917521 FUJ917519:FUJ917521 GEF917519:GEF917521 GOB917519:GOB917521 GXX917519:GXX917521 HHT917519:HHT917521 HRP917519:HRP917521 IBL917519:IBL917521 ILH917519:ILH917521 IVD917519:IVD917521 JEZ917519:JEZ917521 JOV917519:JOV917521 JYR917519:JYR917521 KIN917519:KIN917521 KSJ917519:KSJ917521 LCF917519:LCF917521 LMB917519:LMB917521 LVX917519:LVX917521 MFT917519:MFT917521 MPP917519:MPP917521 MZL917519:MZL917521 NJH917519:NJH917521 NTD917519:NTD917521 OCZ917519:OCZ917521 OMV917519:OMV917521 OWR917519:OWR917521 PGN917519:PGN917521 PQJ917519:PQJ917521 QAF917519:QAF917521 QKB917519:QKB917521 QTX917519:QTX917521 RDT917519:RDT917521 RNP917519:RNP917521 RXL917519:RXL917521 SHH917519:SHH917521 SRD917519:SRD917521 TAZ917519:TAZ917521 TKV917519:TKV917521 TUR917519:TUR917521 UEN917519:UEN917521 UOJ917519:UOJ917521 UYF917519:UYF917521 VIB917519:VIB917521 VRX917519:VRX917521 WBT917519:WBT917521 WLP917519:WLP917521 WVL917519:WVL917521 D983055:D983057 IZ983055:IZ983057 SV983055:SV983057 ACR983055:ACR983057 AMN983055:AMN983057 AWJ983055:AWJ983057 BGF983055:BGF983057 BQB983055:BQB983057 BZX983055:BZX983057 CJT983055:CJT983057 CTP983055:CTP983057 DDL983055:DDL983057 DNH983055:DNH983057 DXD983055:DXD983057 EGZ983055:EGZ983057 EQV983055:EQV983057 FAR983055:FAR983057 FKN983055:FKN983057 FUJ983055:FUJ983057 GEF983055:GEF983057 GOB983055:GOB983057 GXX983055:GXX983057 HHT983055:HHT983057 HRP983055:HRP983057 IBL983055:IBL983057 ILH983055:ILH983057 IVD983055:IVD983057 JEZ983055:JEZ983057 JOV983055:JOV983057 JYR983055:JYR983057 KIN983055:KIN983057 KSJ983055:KSJ983057 LCF983055:LCF983057 LMB983055:LMB983057 LVX983055:LVX983057 MFT983055:MFT983057 MPP983055:MPP983057 MZL983055:MZL983057 NJH983055:NJH983057 NTD983055:NTD983057 OCZ983055:OCZ983057 OMV983055:OMV983057 OWR983055:OWR983057 PGN983055:PGN983057 PQJ983055:PQJ983057 QAF983055:QAF983057 QKB983055:QKB983057 QTX983055:QTX983057 RDT983055:RDT983057 RNP983055:RNP983057 RXL983055:RXL983057 SHH983055:SHH983057 SRD983055:SRD983057 TAZ983055:TAZ983057 TKV983055:TKV983057 TUR983055:TUR983057 UEN983055:UEN983057 UOJ983055:UOJ983057 UYF983055:UYF983057 VIB983055:VIB983057 VRX983055:VRX983057 WBT983055:WBT983057 WLP983055:WLP983057 WVL983055:WVL983057 C65554:D65554 IY65554:IZ65554 SU65554:SV65554 ACQ65554:ACR65554 AMM65554:AMN65554 AWI65554:AWJ65554 BGE65554:BGF65554 BQA65554:BQB65554 BZW65554:BZX65554 CJS65554:CJT65554 CTO65554:CTP65554 DDK65554:DDL65554 DNG65554:DNH65554 DXC65554:DXD65554 EGY65554:EGZ65554 EQU65554:EQV65554 FAQ65554:FAR65554 FKM65554:FKN65554 FUI65554:FUJ65554 GEE65554:GEF65554 GOA65554:GOB65554 GXW65554:GXX65554 HHS65554:HHT65554 HRO65554:HRP65554 IBK65554:IBL65554 ILG65554:ILH65554 IVC65554:IVD65554 JEY65554:JEZ65554 JOU65554:JOV65554 JYQ65554:JYR65554 KIM65554:KIN65554 KSI65554:KSJ65554 LCE65554:LCF65554 LMA65554:LMB65554 LVW65554:LVX65554 MFS65554:MFT65554 MPO65554:MPP65554 MZK65554:MZL65554 NJG65554:NJH65554 NTC65554:NTD65554 OCY65554:OCZ65554 OMU65554:OMV65554 OWQ65554:OWR65554 PGM65554:PGN65554 PQI65554:PQJ65554 QAE65554:QAF65554 QKA65554:QKB65554 QTW65554:QTX65554 RDS65554:RDT65554 RNO65554:RNP65554 RXK65554:RXL65554 SHG65554:SHH65554 SRC65554:SRD65554 TAY65554:TAZ65554 TKU65554:TKV65554 TUQ65554:TUR65554 UEM65554:UEN65554 UOI65554:UOJ65554 UYE65554:UYF65554 VIA65554:VIB65554 VRW65554:VRX65554 WBS65554:WBT65554 WLO65554:WLP65554 WVK65554:WVL65554 C131090:D131090 IY131090:IZ131090 SU131090:SV131090 ACQ131090:ACR131090 AMM131090:AMN131090 AWI131090:AWJ131090 BGE131090:BGF131090 BQA131090:BQB131090 BZW131090:BZX131090 CJS131090:CJT131090 CTO131090:CTP131090 DDK131090:DDL131090 DNG131090:DNH131090 DXC131090:DXD131090 EGY131090:EGZ131090 EQU131090:EQV131090 FAQ131090:FAR131090 FKM131090:FKN131090 FUI131090:FUJ131090 GEE131090:GEF131090 GOA131090:GOB131090 GXW131090:GXX131090 HHS131090:HHT131090 HRO131090:HRP131090 IBK131090:IBL131090 ILG131090:ILH131090 IVC131090:IVD131090 JEY131090:JEZ131090 JOU131090:JOV131090 JYQ131090:JYR131090 KIM131090:KIN131090 KSI131090:KSJ131090 LCE131090:LCF131090 LMA131090:LMB131090 LVW131090:LVX131090 MFS131090:MFT131090 MPO131090:MPP131090 MZK131090:MZL131090 NJG131090:NJH131090 NTC131090:NTD131090 OCY131090:OCZ131090 OMU131090:OMV131090 OWQ131090:OWR131090 PGM131090:PGN131090 PQI131090:PQJ131090 QAE131090:QAF131090 QKA131090:QKB131090 QTW131090:QTX131090 RDS131090:RDT131090 RNO131090:RNP131090 RXK131090:RXL131090 SHG131090:SHH131090 SRC131090:SRD131090 TAY131090:TAZ131090 TKU131090:TKV131090 TUQ131090:TUR131090 UEM131090:UEN131090 UOI131090:UOJ131090 UYE131090:UYF131090 VIA131090:VIB131090 VRW131090:VRX131090 WBS131090:WBT131090 WLO131090:WLP131090 WVK131090:WVL131090 C196626:D196626 IY196626:IZ196626 SU196626:SV196626 ACQ196626:ACR196626 AMM196626:AMN196626 AWI196626:AWJ196626 BGE196626:BGF196626 BQA196626:BQB196626 BZW196626:BZX196626 CJS196626:CJT196626 CTO196626:CTP196626 DDK196626:DDL196626 DNG196626:DNH196626 DXC196626:DXD196626 EGY196626:EGZ196626 EQU196626:EQV196626 FAQ196626:FAR196626 FKM196626:FKN196626 FUI196626:FUJ196626 GEE196626:GEF196626 GOA196626:GOB196626 GXW196626:GXX196626 HHS196626:HHT196626 HRO196626:HRP196626 IBK196626:IBL196626 ILG196626:ILH196626 IVC196626:IVD196626 JEY196626:JEZ196626 JOU196626:JOV196626 JYQ196626:JYR196626 KIM196626:KIN196626 KSI196626:KSJ196626 LCE196626:LCF196626 LMA196626:LMB196626 LVW196626:LVX196626 MFS196626:MFT196626 MPO196626:MPP196626 MZK196626:MZL196626 NJG196626:NJH196626 NTC196626:NTD196626 OCY196626:OCZ196626 OMU196626:OMV196626 OWQ196626:OWR196626 PGM196626:PGN196626 PQI196626:PQJ196626 QAE196626:QAF196626 QKA196626:QKB196626 QTW196626:QTX196626 RDS196626:RDT196626 RNO196626:RNP196626 RXK196626:RXL196626 SHG196626:SHH196626 SRC196626:SRD196626 TAY196626:TAZ196626 TKU196626:TKV196626 TUQ196626:TUR196626 UEM196626:UEN196626 UOI196626:UOJ196626 UYE196626:UYF196626 VIA196626:VIB196626 VRW196626:VRX196626 WBS196626:WBT196626 WLO196626:WLP196626 WVK196626:WVL196626 C262162:D262162 IY262162:IZ262162 SU262162:SV262162 ACQ262162:ACR262162 AMM262162:AMN262162 AWI262162:AWJ262162 BGE262162:BGF262162 BQA262162:BQB262162 BZW262162:BZX262162 CJS262162:CJT262162 CTO262162:CTP262162 DDK262162:DDL262162 DNG262162:DNH262162 DXC262162:DXD262162 EGY262162:EGZ262162 EQU262162:EQV262162 FAQ262162:FAR262162 FKM262162:FKN262162 FUI262162:FUJ262162 GEE262162:GEF262162 GOA262162:GOB262162 GXW262162:GXX262162 HHS262162:HHT262162 HRO262162:HRP262162 IBK262162:IBL262162 ILG262162:ILH262162 IVC262162:IVD262162 JEY262162:JEZ262162 JOU262162:JOV262162 JYQ262162:JYR262162 KIM262162:KIN262162 KSI262162:KSJ262162 LCE262162:LCF262162 LMA262162:LMB262162 LVW262162:LVX262162 MFS262162:MFT262162 MPO262162:MPP262162 MZK262162:MZL262162 NJG262162:NJH262162 NTC262162:NTD262162 OCY262162:OCZ262162 OMU262162:OMV262162 OWQ262162:OWR262162 PGM262162:PGN262162 PQI262162:PQJ262162 QAE262162:QAF262162 QKA262162:QKB262162 QTW262162:QTX262162 RDS262162:RDT262162 RNO262162:RNP262162 RXK262162:RXL262162 SHG262162:SHH262162 SRC262162:SRD262162 TAY262162:TAZ262162 TKU262162:TKV262162 TUQ262162:TUR262162 UEM262162:UEN262162 UOI262162:UOJ262162 UYE262162:UYF262162 VIA262162:VIB262162 VRW262162:VRX262162 WBS262162:WBT262162 WLO262162:WLP262162 WVK262162:WVL262162 C327698:D327698 IY327698:IZ327698 SU327698:SV327698 ACQ327698:ACR327698 AMM327698:AMN327698 AWI327698:AWJ327698 BGE327698:BGF327698 BQA327698:BQB327698 BZW327698:BZX327698 CJS327698:CJT327698 CTO327698:CTP327698 DDK327698:DDL327698 DNG327698:DNH327698 DXC327698:DXD327698 EGY327698:EGZ327698 EQU327698:EQV327698 FAQ327698:FAR327698 FKM327698:FKN327698 FUI327698:FUJ327698 GEE327698:GEF327698 GOA327698:GOB327698 GXW327698:GXX327698 HHS327698:HHT327698 HRO327698:HRP327698 IBK327698:IBL327698 ILG327698:ILH327698 IVC327698:IVD327698 JEY327698:JEZ327698 JOU327698:JOV327698 JYQ327698:JYR327698 KIM327698:KIN327698 KSI327698:KSJ327698 LCE327698:LCF327698 LMA327698:LMB327698 LVW327698:LVX327698 MFS327698:MFT327698 MPO327698:MPP327698 MZK327698:MZL327698 NJG327698:NJH327698 NTC327698:NTD327698 OCY327698:OCZ327698 OMU327698:OMV327698 OWQ327698:OWR327698 PGM327698:PGN327698 PQI327698:PQJ327698 QAE327698:QAF327698 QKA327698:QKB327698 QTW327698:QTX327698 RDS327698:RDT327698 RNO327698:RNP327698 RXK327698:RXL327698 SHG327698:SHH327698 SRC327698:SRD327698 TAY327698:TAZ327698 TKU327698:TKV327698 TUQ327698:TUR327698 UEM327698:UEN327698 UOI327698:UOJ327698 UYE327698:UYF327698 VIA327698:VIB327698 VRW327698:VRX327698 WBS327698:WBT327698 WLO327698:WLP327698 WVK327698:WVL327698 C393234:D393234 IY393234:IZ393234 SU393234:SV393234 ACQ393234:ACR393234 AMM393234:AMN393234 AWI393234:AWJ393234 BGE393234:BGF393234 BQA393234:BQB393234 BZW393234:BZX393234 CJS393234:CJT393234 CTO393234:CTP393234 DDK393234:DDL393234 DNG393234:DNH393234 DXC393234:DXD393234 EGY393234:EGZ393234 EQU393234:EQV393234 FAQ393234:FAR393234 FKM393234:FKN393234 FUI393234:FUJ393234 GEE393234:GEF393234 GOA393234:GOB393234 GXW393234:GXX393234 HHS393234:HHT393234 HRO393234:HRP393234 IBK393234:IBL393234 ILG393234:ILH393234 IVC393234:IVD393234 JEY393234:JEZ393234 JOU393234:JOV393234 JYQ393234:JYR393234 KIM393234:KIN393234 KSI393234:KSJ393234 LCE393234:LCF393234 LMA393234:LMB393234 LVW393234:LVX393234 MFS393234:MFT393234 MPO393234:MPP393234 MZK393234:MZL393234 NJG393234:NJH393234 NTC393234:NTD393234 OCY393234:OCZ393234 OMU393234:OMV393234 OWQ393234:OWR393234 PGM393234:PGN393234 PQI393234:PQJ393234 QAE393234:QAF393234 QKA393234:QKB393234 QTW393234:QTX393234 RDS393234:RDT393234 RNO393234:RNP393234 RXK393234:RXL393234 SHG393234:SHH393234 SRC393234:SRD393234 TAY393234:TAZ393234 TKU393234:TKV393234 TUQ393234:TUR393234 UEM393234:UEN393234 UOI393234:UOJ393234 UYE393234:UYF393234 VIA393234:VIB393234 VRW393234:VRX393234 WBS393234:WBT393234 WLO393234:WLP393234 WVK393234:WVL393234 C458770:D458770 IY458770:IZ458770 SU458770:SV458770 ACQ458770:ACR458770 AMM458770:AMN458770 AWI458770:AWJ458770 BGE458770:BGF458770 BQA458770:BQB458770 BZW458770:BZX458770 CJS458770:CJT458770 CTO458770:CTP458770 DDK458770:DDL458770 DNG458770:DNH458770 DXC458770:DXD458770 EGY458770:EGZ458770 EQU458770:EQV458770 FAQ458770:FAR458770 FKM458770:FKN458770 FUI458770:FUJ458770 GEE458770:GEF458770 GOA458770:GOB458770 GXW458770:GXX458770 HHS458770:HHT458770 HRO458770:HRP458770 IBK458770:IBL458770 ILG458770:ILH458770 IVC458770:IVD458770 JEY458770:JEZ458770 JOU458770:JOV458770 JYQ458770:JYR458770 KIM458770:KIN458770 KSI458770:KSJ458770 LCE458770:LCF458770 LMA458770:LMB458770 LVW458770:LVX458770 MFS458770:MFT458770 MPO458770:MPP458770 MZK458770:MZL458770 NJG458770:NJH458770 NTC458770:NTD458770 OCY458770:OCZ458770 OMU458770:OMV458770 OWQ458770:OWR458770 PGM458770:PGN458770 PQI458770:PQJ458770 QAE458770:QAF458770 QKA458770:QKB458770 QTW458770:QTX458770 RDS458770:RDT458770 RNO458770:RNP458770 RXK458770:RXL458770 SHG458770:SHH458770 SRC458770:SRD458770 TAY458770:TAZ458770 TKU458770:TKV458770 TUQ458770:TUR458770 UEM458770:UEN458770 UOI458770:UOJ458770 UYE458770:UYF458770 VIA458770:VIB458770 VRW458770:VRX458770 WBS458770:WBT458770 WLO458770:WLP458770 WVK458770:WVL458770 C524306:D524306 IY524306:IZ524306 SU524306:SV524306 ACQ524306:ACR524306 AMM524306:AMN524306 AWI524306:AWJ524306 BGE524306:BGF524306 BQA524306:BQB524306 BZW524306:BZX524306 CJS524306:CJT524306 CTO524306:CTP524306 DDK524306:DDL524306 DNG524306:DNH524306 DXC524306:DXD524306 EGY524306:EGZ524306 EQU524306:EQV524306 FAQ524306:FAR524306 FKM524306:FKN524306 FUI524306:FUJ524306 GEE524306:GEF524306 GOA524306:GOB524306 GXW524306:GXX524306 HHS524306:HHT524306 HRO524306:HRP524306 IBK524306:IBL524306 ILG524306:ILH524306 IVC524306:IVD524306 JEY524306:JEZ524306 JOU524306:JOV524306 JYQ524306:JYR524306 KIM524306:KIN524306 KSI524306:KSJ524306 LCE524306:LCF524306 LMA524306:LMB524306 LVW524306:LVX524306 MFS524306:MFT524306 MPO524306:MPP524306 MZK524306:MZL524306 NJG524306:NJH524306 NTC524306:NTD524306 OCY524306:OCZ524306 OMU524306:OMV524306 OWQ524306:OWR524306 PGM524306:PGN524306 PQI524306:PQJ524306 QAE524306:QAF524306 QKA524306:QKB524306 QTW524306:QTX524306 RDS524306:RDT524306 RNO524306:RNP524306 RXK524306:RXL524306 SHG524306:SHH524306 SRC524306:SRD524306 TAY524306:TAZ524306 TKU524306:TKV524306 TUQ524306:TUR524306 UEM524306:UEN524306 UOI524306:UOJ524306 UYE524306:UYF524306 VIA524306:VIB524306 VRW524306:VRX524306 WBS524306:WBT524306 WLO524306:WLP524306 WVK524306:WVL524306 C589842:D589842 IY589842:IZ589842 SU589842:SV589842 ACQ589842:ACR589842 AMM589842:AMN589842 AWI589842:AWJ589842 BGE589842:BGF589842 BQA589842:BQB589842 BZW589842:BZX589842 CJS589842:CJT589842 CTO589842:CTP589842 DDK589842:DDL589842 DNG589842:DNH589842 DXC589842:DXD589842 EGY589842:EGZ589842 EQU589842:EQV589842 FAQ589842:FAR589842 FKM589842:FKN589842 FUI589842:FUJ589842 GEE589842:GEF589842 GOA589842:GOB589842 GXW589842:GXX589842 HHS589842:HHT589842 HRO589842:HRP589842 IBK589842:IBL589842 ILG589842:ILH589842 IVC589842:IVD589842 JEY589842:JEZ589842 JOU589842:JOV589842 JYQ589842:JYR589842 KIM589842:KIN589842 KSI589842:KSJ589842 LCE589842:LCF589842 LMA589842:LMB589842 LVW589842:LVX589842 MFS589842:MFT589842 MPO589842:MPP589842 MZK589842:MZL589842 NJG589842:NJH589842 NTC589842:NTD589842 OCY589842:OCZ589842 OMU589842:OMV589842 OWQ589842:OWR589842 PGM589842:PGN589842 PQI589842:PQJ589842 QAE589842:QAF589842 QKA589842:QKB589842 QTW589842:QTX589842 RDS589842:RDT589842 RNO589842:RNP589842 RXK589842:RXL589842 SHG589842:SHH589842 SRC589842:SRD589842 TAY589842:TAZ589842 TKU589842:TKV589842 TUQ589842:TUR589842 UEM589842:UEN589842 UOI589842:UOJ589842 UYE589842:UYF589842 VIA589842:VIB589842 VRW589842:VRX589842 WBS589842:WBT589842 WLO589842:WLP589842 WVK589842:WVL589842 C655378:D655378 IY655378:IZ655378 SU655378:SV655378 ACQ655378:ACR655378 AMM655378:AMN655378 AWI655378:AWJ655378 BGE655378:BGF655378 BQA655378:BQB655378 BZW655378:BZX655378 CJS655378:CJT655378 CTO655378:CTP655378 DDK655378:DDL655378 DNG655378:DNH655378 DXC655378:DXD655378 EGY655378:EGZ655378 EQU655378:EQV655378 FAQ655378:FAR655378 FKM655378:FKN655378 FUI655378:FUJ655378 GEE655378:GEF655378 GOA655378:GOB655378 GXW655378:GXX655378 HHS655378:HHT655378 HRO655378:HRP655378 IBK655378:IBL655378 ILG655378:ILH655378 IVC655378:IVD655378 JEY655378:JEZ655378 JOU655378:JOV655378 JYQ655378:JYR655378 KIM655378:KIN655378 KSI655378:KSJ655378 LCE655378:LCF655378 LMA655378:LMB655378 LVW655378:LVX655378 MFS655378:MFT655378 MPO655378:MPP655378 MZK655378:MZL655378 NJG655378:NJH655378 NTC655378:NTD655378 OCY655378:OCZ655378 OMU655378:OMV655378 OWQ655378:OWR655378 PGM655378:PGN655378 PQI655378:PQJ655378 QAE655378:QAF655378 QKA655378:QKB655378 QTW655378:QTX655378 RDS655378:RDT655378 RNO655378:RNP655378 RXK655378:RXL655378 SHG655378:SHH655378 SRC655378:SRD655378 TAY655378:TAZ655378 TKU655378:TKV655378 TUQ655378:TUR655378 UEM655378:UEN655378 UOI655378:UOJ655378 UYE655378:UYF655378 VIA655378:VIB655378 VRW655378:VRX655378 WBS655378:WBT655378 WLO655378:WLP655378 WVK655378:WVL655378 C720914:D720914 IY720914:IZ720914 SU720914:SV720914 ACQ720914:ACR720914 AMM720914:AMN720914 AWI720914:AWJ720914 BGE720914:BGF720914 BQA720914:BQB720914 BZW720914:BZX720914 CJS720914:CJT720914 CTO720914:CTP720914 DDK720914:DDL720914 DNG720914:DNH720914 DXC720914:DXD720914 EGY720914:EGZ720914 EQU720914:EQV720914 FAQ720914:FAR720914 FKM720914:FKN720914 FUI720914:FUJ720914 GEE720914:GEF720914 GOA720914:GOB720914 GXW720914:GXX720914 HHS720914:HHT720914 HRO720914:HRP720914 IBK720914:IBL720914 ILG720914:ILH720914 IVC720914:IVD720914 JEY720914:JEZ720914 JOU720914:JOV720914 JYQ720914:JYR720914 KIM720914:KIN720914 KSI720914:KSJ720914 LCE720914:LCF720914 LMA720914:LMB720914 LVW720914:LVX720914 MFS720914:MFT720914 MPO720914:MPP720914 MZK720914:MZL720914 NJG720914:NJH720914 NTC720914:NTD720914 OCY720914:OCZ720914 OMU720914:OMV720914 OWQ720914:OWR720914 PGM720914:PGN720914 PQI720914:PQJ720914 QAE720914:QAF720914 QKA720914:QKB720914 QTW720914:QTX720914 RDS720914:RDT720914 RNO720914:RNP720914 RXK720914:RXL720914 SHG720914:SHH720914 SRC720914:SRD720914 TAY720914:TAZ720914 TKU720914:TKV720914 TUQ720914:TUR720914 UEM720914:UEN720914 UOI720914:UOJ720914 UYE720914:UYF720914 VIA720914:VIB720914 VRW720914:VRX720914 WBS720914:WBT720914 WLO720914:WLP720914 WVK720914:WVL720914 C786450:D786450 IY786450:IZ786450 SU786450:SV786450 ACQ786450:ACR786450 AMM786450:AMN786450 AWI786450:AWJ786450 BGE786450:BGF786450 BQA786450:BQB786450 BZW786450:BZX786450 CJS786450:CJT786450 CTO786450:CTP786450 DDK786450:DDL786450 DNG786450:DNH786450 DXC786450:DXD786450 EGY786450:EGZ786450 EQU786450:EQV786450 FAQ786450:FAR786450 FKM786450:FKN786450 FUI786450:FUJ786450 GEE786450:GEF786450 GOA786450:GOB786450 GXW786450:GXX786450 HHS786450:HHT786450 HRO786450:HRP786450 IBK786450:IBL786450 ILG786450:ILH786450 IVC786450:IVD786450 JEY786450:JEZ786450 JOU786450:JOV786450 JYQ786450:JYR786450 KIM786450:KIN786450 KSI786450:KSJ786450 LCE786450:LCF786450 LMA786450:LMB786450 LVW786450:LVX786450 MFS786450:MFT786450 MPO786450:MPP786450 MZK786450:MZL786450 NJG786450:NJH786450 NTC786450:NTD786450 OCY786450:OCZ786450 OMU786450:OMV786450 OWQ786450:OWR786450 PGM786450:PGN786450 PQI786450:PQJ786450 QAE786450:QAF786450 QKA786450:QKB786450 QTW786450:QTX786450 RDS786450:RDT786450 RNO786450:RNP786450 RXK786450:RXL786450 SHG786450:SHH786450 SRC786450:SRD786450 TAY786450:TAZ786450 TKU786450:TKV786450 TUQ786450:TUR786450 UEM786450:UEN786450 UOI786450:UOJ786450 UYE786450:UYF786450 VIA786450:VIB786450 VRW786450:VRX786450 WBS786450:WBT786450 WLO786450:WLP786450 WVK786450:WVL786450 C851986:D851986 IY851986:IZ851986 SU851986:SV851986 ACQ851986:ACR851986 AMM851986:AMN851986 AWI851986:AWJ851986 BGE851986:BGF851986 BQA851986:BQB851986 BZW851986:BZX851986 CJS851986:CJT851986 CTO851986:CTP851986 DDK851986:DDL851986 DNG851986:DNH851986 DXC851986:DXD851986 EGY851986:EGZ851986 EQU851986:EQV851986 FAQ851986:FAR851986 FKM851986:FKN851986 FUI851986:FUJ851986 GEE851986:GEF851986 GOA851986:GOB851986 GXW851986:GXX851986 HHS851986:HHT851986 HRO851986:HRP851986 IBK851986:IBL851986 ILG851986:ILH851986 IVC851986:IVD851986 JEY851986:JEZ851986 JOU851986:JOV851986 JYQ851986:JYR851986 KIM851986:KIN851986 KSI851986:KSJ851986 LCE851986:LCF851986 LMA851986:LMB851986 LVW851986:LVX851986 MFS851986:MFT851986 MPO851986:MPP851986 MZK851986:MZL851986 NJG851986:NJH851986 NTC851986:NTD851986 OCY851986:OCZ851986 OMU851986:OMV851986 OWQ851986:OWR851986 PGM851986:PGN851986 PQI851986:PQJ851986 QAE851986:QAF851986 QKA851986:QKB851986 QTW851986:QTX851986 RDS851986:RDT851986 RNO851986:RNP851986 RXK851986:RXL851986 SHG851986:SHH851986 SRC851986:SRD851986 TAY851986:TAZ851986 TKU851986:TKV851986 TUQ851986:TUR851986 UEM851986:UEN851986 UOI851986:UOJ851986 UYE851986:UYF851986 VIA851986:VIB851986 VRW851986:VRX851986 WBS851986:WBT851986 WLO851986:WLP851986 WVK851986:WVL851986 C917522:D917522 IY917522:IZ917522 SU917522:SV917522 ACQ917522:ACR917522 AMM917522:AMN917522 AWI917522:AWJ917522 BGE917522:BGF917522 BQA917522:BQB917522 BZW917522:BZX917522 CJS917522:CJT917522 CTO917522:CTP917522 DDK917522:DDL917522 DNG917522:DNH917522 DXC917522:DXD917522 EGY917522:EGZ917522 EQU917522:EQV917522 FAQ917522:FAR917522 FKM917522:FKN917522 FUI917522:FUJ917522 GEE917522:GEF917522 GOA917522:GOB917522 GXW917522:GXX917522 HHS917522:HHT917522 HRO917522:HRP917522 IBK917522:IBL917522 ILG917522:ILH917522 IVC917522:IVD917522 JEY917522:JEZ917522 JOU917522:JOV917522 JYQ917522:JYR917522 KIM917522:KIN917522 KSI917522:KSJ917522 LCE917522:LCF917522 LMA917522:LMB917522 LVW917522:LVX917522 MFS917522:MFT917522 MPO917522:MPP917522 MZK917522:MZL917522 NJG917522:NJH917522 NTC917522:NTD917522 OCY917522:OCZ917522 OMU917522:OMV917522 OWQ917522:OWR917522 PGM917522:PGN917522 PQI917522:PQJ917522 QAE917522:QAF917522 QKA917522:QKB917522 QTW917522:QTX917522 RDS917522:RDT917522 RNO917522:RNP917522 RXK917522:RXL917522 SHG917522:SHH917522 SRC917522:SRD917522 TAY917522:TAZ917522 TKU917522:TKV917522 TUQ917522:TUR917522 UEM917522:UEN917522 UOI917522:UOJ917522 UYE917522:UYF917522 VIA917522:VIB917522 VRW917522:VRX917522 WBS917522:WBT917522 WLO917522:WLP917522 WVK917522:WVL917522 C983058:D983058 IY983058:IZ983058 SU983058:SV983058 ACQ983058:ACR983058 AMM983058:AMN983058 AWI983058:AWJ983058 BGE983058:BGF983058 BQA983058:BQB983058 BZW983058:BZX983058 CJS983058:CJT983058 CTO983058:CTP983058 DDK983058:DDL983058 DNG983058:DNH983058 DXC983058:DXD983058 EGY983058:EGZ983058 EQU983058:EQV983058 FAQ983058:FAR983058 FKM983058:FKN983058 FUI983058:FUJ983058 GEE983058:GEF983058 GOA983058:GOB983058 GXW983058:GXX983058 HHS983058:HHT983058 HRO983058:HRP983058 IBK983058:IBL983058 ILG983058:ILH983058 IVC983058:IVD983058 JEY983058:JEZ983058 JOU983058:JOV983058 JYQ983058:JYR983058 KIM983058:KIN983058 KSI983058:KSJ983058 LCE983058:LCF983058 LMA983058:LMB983058 LVW983058:LVX983058 MFS983058:MFT983058 MPO983058:MPP983058 MZK983058:MZL983058 NJG983058:NJH983058 NTC983058:NTD983058 OCY983058:OCZ983058 OMU983058:OMV983058 OWQ983058:OWR983058 PGM983058:PGN983058 PQI983058:PQJ983058 QAE983058:QAF983058 QKA983058:QKB983058 QTW983058:QTX983058 RDS983058:RDT983058 RNO983058:RNP983058 RXK983058:RXL983058 SHG983058:SHH983058 SRC983058:SRD983058 TAY983058:TAZ983058 TKU983058:TKV983058 TUQ983058:TUR983058 UEM983058:UEN983058 UOI983058:UOJ983058 UYE983058:UYF983058 VIA983058:VIB983058 VRW983058:VRX983058 WBS983058:WBT983058 WLO983058:WLP983058 WVK983058:WVL983058 D65556 IZ65556 SV65556 ACR65556 AMN65556 AWJ65556 BGF65556 BQB65556 BZX65556 CJT65556 CTP65556 DDL65556 DNH65556 DXD65556 EGZ65556 EQV65556 FAR65556 FKN65556 FUJ65556 GEF65556 GOB65556 GXX65556 HHT65556 HRP65556 IBL65556 ILH65556 IVD65556 JEZ65556 JOV65556 JYR65556 KIN65556 KSJ65556 LCF65556 LMB65556 LVX65556 MFT65556 MPP65556 MZL65556 NJH65556 NTD65556 OCZ65556 OMV65556 OWR65556 PGN65556 PQJ65556 QAF65556 QKB65556 QTX65556 RDT65556 RNP65556 RXL65556 SHH65556 SRD65556 TAZ65556 TKV65556 TUR65556 UEN65556 UOJ65556 UYF65556 VIB65556 VRX65556 WBT65556 WLP65556 WVL65556 D131092 IZ131092 SV131092 ACR131092 AMN131092 AWJ131092 BGF131092 BQB131092 BZX131092 CJT131092 CTP131092 DDL131092 DNH131092 DXD131092 EGZ131092 EQV131092 FAR131092 FKN131092 FUJ131092 GEF131092 GOB131092 GXX131092 HHT131092 HRP131092 IBL131092 ILH131092 IVD131092 JEZ131092 JOV131092 JYR131092 KIN131092 KSJ131092 LCF131092 LMB131092 LVX131092 MFT131092 MPP131092 MZL131092 NJH131092 NTD131092 OCZ131092 OMV131092 OWR131092 PGN131092 PQJ131092 QAF131092 QKB131092 QTX131092 RDT131092 RNP131092 RXL131092 SHH131092 SRD131092 TAZ131092 TKV131092 TUR131092 UEN131092 UOJ131092 UYF131092 VIB131092 VRX131092 WBT131092 WLP131092 WVL131092 D196628 IZ196628 SV196628 ACR196628 AMN196628 AWJ196628 BGF196628 BQB196628 BZX196628 CJT196628 CTP196628 DDL196628 DNH196628 DXD196628 EGZ196628 EQV196628 FAR196628 FKN196628 FUJ196628 GEF196628 GOB196628 GXX196628 HHT196628 HRP196628 IBL196628 ILH196628 IVD196628 JEZ196628 JOV196628 JYR196628 KIN196628 KSJ196628 LCF196628 LMB196628 LVX196628 MFT196628 MPP196628 MZL196628 NJH196628 NTD196628 OCZ196628 OMV196628 OWR196628 PGN196628 PQJ196628 QAF196628 QKB196628 QTX196628 RDT196628 RNP196628 RXL196628 SHH196628 SRD196628 TAZ196628 TKV196628 TUR196628 UEN196628 UOJ196628 UYF196628 VIB196628 VRX196628 WBT196628 WLP196628 WVL196628 D262164 IZ262164 SV262164 ACR262164 AMN262164 AWJ262164 BGF262164 BQB262164 BZX262164 CJT262164 CTP262164 DDL262164 DNH262164 DXD262164 EGZ262164 EQV262164 FAR262164 FKN262164 FUJ262164 GEF262164 GOB262164 GXX262164 HHT262164 HRP262164 IBL262164 ILH262164 IVD262164 JEZ262164 JOV262164 JYR262164 KIN262164 KSJ262164 LCF262164 LMB262164 LVX262164 MFT262164 MPP262164 MZL262164 NJH262164 NTD262164 OCZ262164 OMV262164 OWR262164 PGN262164 PQJ262164 QAF262164 QKB262164 QTX262164 RDT262164 RNP262164 RXL262164 SHH262164 SRD262164 TAZ262164 TKV262164 TUR262164 UEN262164 UOJ262164 UYF262164 VIB262164 VRX262164 WBT262164 WLP262164 WVL262164 D327700 IZ327700 SV327700 ACR327700 AMN327700 AWJ327700 BGF327700 BQB327700 BZX327700 CJT327700 CTP327700 DDL327700 DNH327700 DXD327700 EGZ327700 EQV327700 FAR327700 FKN327700 FUJ327700 GEF327700 GOB327700 GXX327700 HHT327700 HRP327700 IBL327700 ILH327700 IVD327700 JEZ327700 JOV327700 JYR327700 KIN327700 KSJ327700 LCF327700 LMB327700 LVX327700 MFT327700 MPP327700 MZL327700 NJH327700 NTD327700 OCZ327700 OMV327700 OWR327700 PGN327700 PQJ327700 QAF327700 QKB327700 QTX327700 RDT327700 RNP327700 RXL327700 SHH327700 SRD327700 TAZ327700 TKV327700 TUR327700 UEN327700 UOJ327700 UYF327700 VIB327700 VRX327700 WBT327700 WLP327700 WVL327700 D393236 IZ393236 SV393236 ACR393236 AMN393236 AWJ393236 BGF393236 BQB393236 BZX393236 CJT393236 CTP393236 DDL393236 DNH393236 DXD393236 EGZ393236 EQV393236 FAR393236 FKN393236 FUJ393236 GEF393236 GOB393236 GXX393236 HHT393236 HRP393236 IBL393236 ILH393236 IVD393236 JEZ393236 JOV393236 JYR393236 KIN393236 KSJ393236 LCF393236 LMB393236 LVX393236 MFT393236 MPP393236 MZL393236 NJH393236 NTD393236 OCZ393236 OMV393236 OWR393236 PGN393236 PQJ393236 QAF393236 QKB393236 QTX393236 RDT393236 RNP393236 RXL393236 SHH393236 SRD393236 TAZ393236 TKV393236 TUR393236 UEN393236 UOJ393236 UYF393236 VIB393236 VRX393236 WBT393236 WLP393236 WVL393236 D458772 IZ458772 SV458772 ACR458772 AMN458772 AWJ458772 BGF458772 BQB458772 BZX458772 CJT458772 CTP458772 DDL458772 DNH458772 DXD458772 EGZ458772 EQV458772 FAR458772 FKN458772 FUJ458772 GEF458772 GOB458772 GXX458772 HHT458772 HRP458772 IBL458772 ILH458772 IVD458772 JEZ458772 JOV458772 JYR458772 KIN458772 KSJ458772 LCF458772 LMB458772 LVX458772 MFT458772 MPP458772 MZL458772 NJH458772 NTD458772 OCZ458772 OMV458772 OWR458772 PGN458772 PQJ458772 QAF458772 QKB458772 QTX458772 RDT458772 RNP458772 RXL458772 SHH458772 SRD458772 TAZ458772 TKV458772 TUR458772 UEN458772 UOJ458772 UYF458772 VIB458772 VRX458772 WBT458772 WLP458772 WVL458772 D524308 IZ524308 SV524308 ACR524308 AMN524308 AWJ524308 BGF524308 BQB524308 BZX524308 CJT524308 CTP524308 DDL524308 DNH524308 DXD524308 EGZ524308 EQV524308 FAR524308 FKN524308 FUJ524308 GEF524308 GOB524308 GXX524308 HHT524308 HRP524308 IBL524308 ILH524308 IVD524308 JEZ524308 JOV524308 JYR524308 KIN524308 KSJ524308 LCF524308 LMB524308 LVX524308 MFT524308 MPP524308 MZL524308 NJH524308 NTD524308 OCZ524308 OMV524308 OWR524308 PGN524308 PQJ524308 QAF524308 QKB524308 QTX524308 RDT524308 RNP524308 RXL524308 SHH524308 SRD524308 TAZ524308 TKV524308 TUR524308 UEN524308 UOJ524308 UYF524308 VIB524308 VRX524308 WBT524308 WLP524308 WVL524308 D589844 IZ589844 SV589844 ACR589844 AMN589844 AWJ589844 BGF589844 BQB589844 BZX589844 CJT589844 CTP589844 DDL589844 DNH589844 DXD589844 EGZ589844 EQV589844 FAR589844 FKN589844 FUJ589844 GEF589844 GOB589844 GXX589844 HHT589844 HRP589844 IBL589844 ILH589844 IVD589844 JEZ589844 JOV589844 JYR589844 KIN589844 KSJ589844 LCF589844 LMB589844 LVX589844 MFT589844 MPP589844 MZL589844 NJH589844 NTD589844 OCZ589844 OMV589844 OWR589844 PGN589844 PQJ589844 QAF589844 QKB589844 QTX589844 RDT589844 RNP589844 RXL589844 SHH589844 SRD589844 TAZ589844 TKV589844 TUR589844 UEN589844 UOJ589844 UYF589844 VIB589844 VRX589844 WBT589844 WLP589844 WVL589844 D655380 IZ655380 SV655380 ACR655380 AMN655380 AWJ655380 BGF655380 BQB655380 BZX655380 CJT655380 CTP655380 DDL655380 DNH655380 DXD655380 EGZ655380 EQV655380 FAR655380 FKN655380 FUJ655380 GEF655380 GOB655380 GXX655380 HHT655380 HRP655380 IBL655380 ILH655380 IVD655380 JEZ655380 JOV655380 JYR655380 KIN655380 KSJ655380 LCF655380 LMB655380 LVX655380 MFT655380 MPP655380 MZL655380 NJH655380 NTD655380 OCZ655380 OMV655380 OWR655380 PGN655380 PQJ655380 QAF655380 QKB655380 QTX655380 RDT655380 RNP655380 RXL655380 SHH655380 SRD655380 TAZ655380 TKV655380 TUR655380 UEN655380 UOJ655380 UYF655380 VIB655380 VRX655380 WBT655380 WLP655380 WVL655380 D720916 IZ720916 SV720916 ACR720916 AMN720916 AWJ720916 BGF720916 BQB720916 BZX720916 CJT720916 CTP720916 DDL720916 DNH720916 DXD720916 EGZ720916 EQV720916 FAR720916 FKN720916 FUJ720916 GEF720916 GOB720916 GXX720916 HHT720916 HRP720916 IBL720916 ILH720916 IVD720916 JEZ720916 JOV720916 JYR720916 KIN720916 KSJ720916 LCF720916 LMB720916 LVX720916 MFT720916 MPP720916 MZL720916 NJH720916 NTD720916 OCZ720916 OMV720916 OWR720916 PGN720916 PQJ720916 QAF720916 QKB720916 QTX720916 RDT720916 RNP720916 RXL720916 SHH720916 SRD720916 TAZ720916 TKV720916 TUR720916 UEN720916 UOJ720916 UYF720916 VIB720916 VRX720916 WBT720916 WLP720916 WVL720916 D786452 IZ786452 SV786452 ACR786452 AMN786452 AWJ786452 BGF786452 BQB786452 BZX786452 CJT786452 CTP786452 DDL786452 DNH786452 DXD786452 EGZ786452 EQV786452 FAR786452 FKN786452 FUJ786452 GEF786452 GOB786452 GXX786452 HHT786452 HRP786452 IBL786452 ILH786452 IVD786452 JEZ786452 JOV786452 JYR786452 KIN786452 KSJ786452 LCF786452 LMB786452 LVX786452 MFT786452 MPP786452 MZL786452 NJH786452 NTD786452 OCZ786452 OMV786452 OWR786452 PGN786452 PQJ786452 QAF786452 QKB786452 QTX786452 RDT786452 RNP786452 RXL786452 SHH786452 SRD786452 TAZ786452 TKV786452 TUR786452 UEN786452 UOJ786452 UYF786452 VIB786452 VRX786452 WBT786452 WLP786452 WVL786452 D851988 IZ851988 SV851988 ACR851988 AMN851988 AWJ851988 BGF851988 BQB851988 BZX851988 CJT851988 CTP851988 DDL851988 DNH851988 DXD851988 EGZ851988 EQV851988 FAR851988 FKN851988 FUJ851988 GEF851988 GOB851988 GXX851988 HHT851988 HRP851988 IBL851988 ILH851988 IVD851988 JEZ851988 JOV851988 JYR851988 KIN851988 KSJ851988 LCF851988 LMB851988 LVX851988 MFT851988 MPP851988 MZL851988 NJH851988 NTD851988 OCZ851988 OMV851988 OWR851988 PGN851988 PQJ851988 QAF851988 QKB851988 QTX851988 RDT851988 RNP851988 RXL851988 SHH851988 SRD851988 TAZ851988 TKV851988 TUR851988 UEN851988 UOJ851988 UYF851988 VIB851988 VRX851988 WBT851988 WLP851988 WVL851988 D917524 IZ917524 SV917524 ACR917524 AMN917524 AWJ917524 BGF917524 BQB917524 BZX917524 CJT917524 CTP917524 DDL917524 DNH917524 DXD917524 EGZ917524 EQV917524 FAR917524 FKN917524 FUJ917524 GEF917524 GOB917524 GXX917524 HHT917524 HRP917524 IBL917524 ILH917524 IVD917524 JEZ917524 JOV917524 JYR917524 KIN917524 KSJ917524 LCF917524 LMB917524 LVX917524 MFT917524 MPP917524 MZL917524 NJH917524 NTD917524 OCZ917524 OMV917524 OWR917524 PGN917524 PQJ917524 QAF917524 QKB917524 QTX917524 RDT917524 RNP917524 RXL917524 SHH917524 SRD917524 TAZ917524 TKV917524 TUR917524 UEN917524 UOJ917524 UYF917524 VIB917524 VRX917524 WBT917524 WLP917524 WVL917524 D983060 IZ983060 SV983060 ACR983060 AMN983060 AWJ983060 BGF983060 BQB983060 BZX983060 CJT983060 CTP983060 DDL983060 DNH983060 DXD983060 EGZ983060 EQV983060 FAR983060 FKN983060 FUJ983060 GEF983060 GOB983060 GXX983060 HHT983060 HRP983060 IBL983060 ILH983060 IVD983060 JEZ983060 JOV983060 JYR983060 KIN983060 KSJ983060 LCF983060 LMB983060 LVX983060 MFT983060 MPP983060 MZL983060 NJH983060 NTD983060 OCZ983060 OMV983060 OWR983060 PGN983060 PQJ983060 QAF983060 QKB983060 QTX983060 RDT983060 RNP983060 RXL983060 SHH983060 SRD983060 TAZ983060 TKV983060 TUR983060 UEN983060 UOJ983060 UYF983060 VIB983060 VRX983060 WBT983060 WLP983060 WVL983060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WBS983061:WBS983062 WLO983061:WLO983062 WVK983061:WVK983062 C9 C5 C28 D17:D18</xm:sqref>
        </x14:dataValidation>
      </x14:dataValidations>
    </ext>
  </extLst>
</worksheet>
</file>

<file path=xl/worksheets/sheet6.xml><?xml version="1.0" encoding="utf-8"?>
<worksheet xmlns="http://schemas.openxmlformats.org/spreadsheetml/2006/main" xmlns:r="http://schemas.openxmlformats.org/officeDocument/2006/relationships">
  <sheetPr>
    <tabColor theme="8"/>
  </sheetPr>
  <dimension ref="A1:WVQ58"/>
  <sheetViews>
    <sheetView showGridLines="0" topLeftCell="A35" zoomScale="110" zoomScaleNormal="110" workbookViewId="0">
      <selection activeCell="F57" sqref="F57"/>
    </sheetView>
  </sheetViews>
  <sheetFormatPr defaultColWidth="0" defaultRowHeight="12.75" zeroHeight="1"/>
  <cols>
    <col min="1" max="1" width="3.7109375" style="272" customWidth="1"/>
    <col min="2" max="2" width="33.140625" style="284" customWidth="1"/>
    <col min="3" max="3" width="16.7109375" style="272" customWidth="1"/>
    <col min="4" max="4" width="10.5703125" style="272" customWidth="1"/>
    <col min="5" max="5" width="21.140625" style="272" customWidth="1"/>
    <col min="6" max="6" width="19.5703125" style="272" customWidth="1"/>
    <col min="7" max="7" width="18.5703125" style="272" customWidth="1"/>
    <col min="8" max="8" width="12.42578125" style="272" customWidth="1"/>
    <col min="9" max="9" width="3.28515625" style="272" customWidth="1"/>
    <col min="10" max="10" width="12.28515625" style="272" hidden="1" customWidth="1"/>
    <col min="11" max="11" width="14" style="272" hidden="1" customWidth="1"/>
    <col min="12" max="12" width="13.42578125" style="272" hidden="1" customWidth="1"/>
    <col min="13" max="13" width="12.7109375" style="272" hidden="1" customWidth="1"/>
    <col min="14" max="14" width="13.5703125" style="272" hidden="1" customWidth="1"/>
    <col min="15" max="15" width="11.85546875" style="272" hidden="1" customWidth="1"/>
    <col min="16" max="16" width="12.42578125" style="272" hidden="1" customWidth="1"/>
    <col min="17" max="17" width="11.85546875" style="272" hidden="1" customWidth="1"/>
    <col min="18" max="21" width="0" style="272" hidden="1" customWidth="1"/>
    <col min="22" max="256" width="9.140625" style="272" hidden="1"/>
    <col min="257" max="257" width="3.7109375" style="272" customWidth="1"/>
    <col min="258" max="258" width="33.140625" style="272" customWidth="1"/>
    <col min="259" max="259" width="16.7109375" style="272" customWidth="1"/>
    <col min="260" max="260" width="10.5703125" style="272" customWidth="1"/>
    <col min="261" max="261" width="16.85546875" style="272" customWidth="1"/>
    <col min="262" max="262" width="19.5703125" style="272" customWidth="1"/>
    <col min="263" max="263" width="18.5703125" style="272" customWidth="1"/>
    <col min="264" max="264" width="12.42578125" style="272" customWidth="1"/>
    <col min="265" max="265" width="3.28515625" style="272" customWidth="1"/>
    <col min="266" max="277" width="9.140625" style="272" hidden="1" customWidth="1"/>
    <col min="278" max="512" width="9.140625" style="272" hidden="1"/>
    <col min="513" max="513" width="3.7109375" style="272" customWidth="1"/>
    <col min="514" max="514" width="33.140625" style="272" customWidth="1"/>
    <col min="515" max="515" width="16.7109375" style="272" customWidth="1"/>
    <col min="516" max="516" width="10.5703125" style="272" customWidth="1"/>
    <col min="517" max="517" width="16.85546875" style="272" customWidth="1"/>
    <col min="518" max="518" width="19.5703125" style="272" customWidth="1"/>
    <col min="519" max="519" width="18.5703125" style="272" customWidth="1"/>
    <col min="520" max="520" width="12.42578125" style="272" customWidth="1"/>
    <col min="521" max="521" width="3.28515625" style="272" customWidth="1"/>
    <col min="522" max="533" width="9.140625" style="272" hidden="1" customWidth="1"/>
    <col min="534" max="768" width="9.140625" style="272" hidden="1"/>
    <col min="769" max="769" width="3.7109375" style="272" customWidth="1"/>
    <col min="770" max="770" width="33.140625" style="272" customWidth="1"/>
    <col min="771" max="771" width="16.7109375" style="272" customWidth="1"/>
    <col min="772" max="772" width="10.5703125" style="272" customWidth="1"/>
    <col min="773" max="773" width="16.85546875" style="272" customWidth="1"/>
    <col min="774" max="774" width="19.5703125" style="272" customWidth="1"/>
    <col min="775" max="775" width="18.5703125" style="272" customWidth="1"/>
    <col min="776" max="776" width="12.42578125" style="272" customWidth="1"/>
    <col min="777" max="777" width="3.28515625" style="272" customWidth="1"/>
    <col min="778" max="789" width="9.140625" style="272" hidden="1" customWidth="1"/>
    <col min="790" max="1024" width="9.140625" style="272" hidden="1"/>
    <col min="1025" max="1025" width="3.7109375" style="272" customWidth="1"/>
    <col min="1026" max="1026" width="33.140625" style="272" customWidth="1"/>
    <col min="1027" max="1027" width="16.7109375" style="272" customWidth="1"/>
    <col min="1028" max="1028" width="10.5703125" style="272" customWidth="1"/>
    <col min="1029" max="1029" width="16.85546875" style="272" customWidth="1"/>
    <col min="1030" max="1030" width="19.5703125" style="272" customWidth="1"/>
    <col min="1031" max="1031" width="18.5703125" style="272" customWidth="1"/>
    <col min="1032" max="1032" width="12.42578125" style="272" customWidth="1"/>
    <col min="1033" max="1033" width="3.28515625" style="272" customWidth="1"/>
    <col min="1034" max="1045" width="9.140625" style="272" hidden="1" customWidth="1"/>
    <col min="1046" max="1280" width="9.140625" style="272" hidden="1"/>
    <col min="1281" max="1281" width="3.7109375" style="272" customWidth="1"/>
    <col min="1282" max="1282" width="33.140625" style="272" customWidth="1"/>
    <col min="1283" max="1283" width="16.7109375" style="272" customWidth="1"/>
    <col min="1284" max="1284" width="10.5703125" style="272" customWidth="1"/>
    <col min="1285" max="1285" width="16.85546875" style="272" customWidth="1"/>
    <col min="1286" max="1286" width="19.5703125" style="272" customWidth="1"/>
    <col min="1287" max="1287" width="18.5703125" style="272" customWidth="1"/>
    <col min="1288" max="1288" width="12.42578125" style="272" customWidth="1"/>
    <col min="1289" max="1289" width="3.28515625" style="272" customWidth="1"/>
    <col min="1290" max="1301" width="9.140625" style="272" hidden="1" customWidth="1"/>
    <col min="1302" max="1536" width="9.140625" style="272" hidden="1"/>
    <col min="1537" max="1537" width="3.7109375" style="272" customWidth="1"/>
    <col min="1538" max="1538" width="33.140625" style="272" customWidth="1"/>
    <col min="1539" max="1539" width="16.7109375" style="272" customWidth="1"/>
    <col min="1540" max="1540" width="10.5703125" style="272" customWidth="1"/>
    <col min="1541" max="1541" width="16.85546875" style="272" customWidth="1"/>
    <col min="1542" max="1542" width="19.5703125" style="272" customWidth="1"/>
    <col min="1543" max="1543" width="18.5703125" style="272" customWidth="1"/>
    <col min="1544" max="1544" width="12.42578125" style="272" customWidth="1"/>
    <col min="1545" max="1545" width="3.28515625" style="272" customWidth="1"/>
    <col min="1546" max="1557" width="9.140625" style="272" hidden="1" customWidth="1"/>
    <col min="1558" max="1792" width="9.140625" style="272" hidden="1"/>
    <col min="1793" max="1793" width="3.7109375" style="272" customWidth="1"/>
    <col min="1794" max="1794" width="33.140625" style="272" customWidth="1"/>
    <col min="1795" max="1795" width="16.7109375" style="272" customWidth="1"/>
    <col min="1796" max="1796" width="10.5703125" style="272" customWidth="1"/>
    <col min="1797" max="1797" width="16.85546875" style="272" customWidth="1"/>
    <col min="1798" max="1798" width="19.5703125" style="272" customWidth="1"/>
    <col min="1799" max="1799" width="18.5703125" style="272" customWidth="1"/>
    <col min="1800" max="1800" width="12.42578125" style="272" customWidth="1"/>
    <col min="1801" max="1801" width="3.28515625" style="272" customWidth="1"/>
    <col min="1802" max="1813" width="9.140625" style="272" hidden="1" customWidth="1"/>
    <col min="1814" max="2048" width="9.140625" style="272" hidden="1"/>
    <col min="2049" max="2049" width="3.7109375" style="272" customWidth="1"/>
    <col min="2050" max="2050" width="33.140625" style="272" customWidth="1"/>
    <col min="2051" max="2051" width="16.7109375" style="272" customWidth="1"/>
    <col min="2052" max="2052" width="10.5703125" style="272" customWidth="1"/>
    <col min="2053" max="2053" width="16.85546875" style="272" customWidth="1"/>
    <col min="2054" max="2054" width="19.5703125" style="272" customWidth="1"/>
    <col min="2055" max="2055" width="18.5703125" style="272" customWidth="1"/>
    <col min="2056" max="2056" width="12.42578125" style="272" customWidth="1"/>
    <col min="2057" max="2057" width="3.28515625" style="272" customWidth="1"/>
    <col min="2058" max="2069" width="9.140625" style="272" hidden="1" customWidth="1"/>
    <col min="2070" max="2304" width="9.140625" style="272" hidden="1"/>
    <col min="2305" max="2305" width="3.7109375" style="272" customWidth="1"/>
    <col min="2306" max="2306" width="33.140625" style="272" customWidth="1"/>
    <col min="2307" max="2307" width="16.7109375" style="272" customWidth="1"/>
    <col min="2308" max="2308" width="10.5703125" style="272" customWidth="1"/>
    <col min="2309" max="2309" width="16.85546875" style="272" customWidth="1"/>
    <col min="2310" max="2310" width="19.5703125" style="272" customWidth="1"/>
    <col min="2311" max="2311" width="18.5703125" style="272" customWidth="1"/>
    <col min="2312" max="2312" width="12.42578125" style="272" customWidth="1"/>
    <col min="2313" max="2313" width="3.28515625" style="272" customWidth="1"/>
    <col min="2314" max="2325" width="9.140625" style="272" hidden="1" customWidth="1"/>
    <col min="2326" max="2560" width="9.140625" style="272" hidden="1"/>
    <col min="2561" max="2561" width="3.7109375" style="272" customWidth="1"/>
    <col min="2562" max="2562" width="33.140625" style="272" customWidth="1"/>
    <col min="2563" max="2563" width="16.7109375" style="272" customWidth="1"/>
    <col min="2564" max="2564" width="10.5703125" style="272" customWidth="1"/>
    <col min="2565" max="2565" width="16.85546875" style="272" customWidth="1"/>
    <col min="2566" max="2566" width="19.5703125" style="272" customWidth="1"/>
    <col min="2567" max="2567" width="18.5703125" style="272" customWidth="1"/>
    <col min="2568" max="2568" width="12.42578125" style="272" customWidth="1"/>
    <col min="2569" max="2569" width="3.28515625" style="272" customWidth="1"/>
    <col min="2570" max="2581" width="9.140625" style="272" hidden="1" customWidth="1"/>
    <col min="2582" max="2816" width="9.140625" style="272" hidden="1"/>
    <col min="2817" max="2817" width="3.7109375" style="272" customWidth="1"/>
    <col min="2818" max="2818" width="33.140625" style="272" customWidth="1"/>
    <col min="2819" max="2819" width="16.7109375" style="272" customWidth="1"/>
    <col min="2820" max="2820" width="10.5703125" style="272" customWidth="1"/>
    <col min="2821" max="2821" width="16.85546875" style="272" customWidth="1"/>
    <col min="2822" max="2822" width="19.5703125" style="272" customWidth="1"/>
    <col min="2823" max="2823" width="18.5703125" style="272" customWidth="1"/>
    <col min="2824" max="2824" width="12.42578125" style="272" customWidth="1"/>
    <col min="2825" max="2825" width="3.28515625" style="272" customWidth="1"/>
    <col min="2826" max="2837" width="9.140625" style="272" hidden="1" customWidth="1"/>
    <col min="2838" max="3072" width="9.140625" style="272" hidden="1"/>
    <col min="3073" max="3073" width="3.7109375" style="272" customWidth="1"/>
    <col min="3074" max="3074" width="33.140625" style="272" customWidth="1"/>
    <col min="3075" max="3075" width="16.7109375" style="272" customWidth="1"/>
    <col min="3076" max="3076" width="10.5703125" style="272" customWidth="1"/>
    <col min="3077" max="3077" width="16.85546875" style="272" customWidth="1"/>
    <col min="3078" max="3078" width="19.5703125" style="272" customWidth="1"/>
    <col min="3079" max="3079" width="18.5703125" style="272" customWidth="1"/>
    <col min="3080" max="3080" width="12.42578125" style="272" customWidth="1"/>
    <col min="3081" max="3081" width="3.28515625" style="272" customWidth="1"/>
    <col min="3082" max="3093" width="9.140625" style="272" hidden="1" customWidth="1"/>
    <col min="3094" max="3328" width="9.140625" style="272" hidden="1"/>
    <col min="3329" max="3329" width="3.7109375" style="272" customWidth="1"/>
    <col min="3330" max="3330" width="33.140625" style="272" customWidth="1"/>
    <col min="3331" max="3331" width="16.7109375" style="272" customWidth="1"/>
    <col min="3332" max="3332" width="10.5703125" style="272" customWidth="1"/>
    <col min="3333" max="3333" width="16.85546875" style="272" customWidth="1"/>
    <col min="3334" max="3334" width="19.5703125" style="272" customWidth="1"/>
    <col min="3335" max="3335" width="18.5703125" style="272" customWidth="1"/>
    <col min="3336" max="3336" width="12.42578125" style="272" customWidth="1"/>
    <col min="3337" max="3337" width="3.28515625" style="272" customWidth="1"/>
    <col min="3338" max="3349" width="9.140625" style="272" hidden="1" customWidth="1"/>
    <col min="3350" max="3584" width="9.140625" style="272" hidden="1"/>
    <col min="3585" max="3585" width="3.7109375" style="272" customWidth="1"/>
    <col min="3586" max="3586" width="33.140625" style="272" customWidth="1"/>
    <col min="3587" max="3587" width="16.7109375" style="272" customWidth="1"/>
    <col min="3588" max="3588" width="10.5703125" style="272" customWidth="1"/>
    <col min="3589" max="3589" width="16.85546875" style="272" customWidth="1"/>
    <col min="3590" max="3590" width="19.5703125" style="272" customWidth="1"/>
    <col min="3591" max="3591" width="18.5703125" style="272" customWidth="1"/>
    <col min="3592" max="3592" width="12.42578125" style="272" customWidth="1"/>
    <col min="3593" max="3593" width="3.28515625" style="272" customWidth="1"/>
    <col min="3594" max="3605" width="9.140625" style="272" hidden="1" customWidth="1"/>
    <col min="3606" max="3840" width="9.140625" style="272" hidden="1"/>
    <col min="3841" max="3841" width="3.7109375" style="272" customWidth="1"/>
    <col min="3842" max="3842" width="33.140625" style="272" customWidth="1"/>
    <col min="3843" max="3843" width="16.7109375" style="272" customWidth="1"/>
    <col min="3844" max="3844" width="10.5703125" style="272" customWidth="1"/>
    <col min="3845" max="3845" width="16.85546875" style="272" customWidth="1"/>
    <col min="3846" max="3846" width="19.5703125" style="272" customWidth="1"/>
    <col min="3847" max="3847" width="18.5703125" style="272" customWidth="1"/>
    <col min="3848" max="3848" width="12.42578125" style="272" customWidth="1"/>
    <col min="3849" max="3849" width="3.28515625" style="272" customWidth="1"/>
    <col min="3850" max="3861" width="9.140625" style="272" hidden="1" customWidth="1"/>
    <col min="3862" max="4096" width="9.140625" style="272" hidden="1"/>
    <col min="4097" max="4097" width="3.7109375" style="272" customWidth="1"/>
    <col min="4098" max="4098" width="33.140625" style="272" customWidth="1"/>
    <col min="4099" max="4099" width="16.7109375" style="272" customWidth="1"/>
    <col min="4100" max="4100" width="10.5703125" style="272" customWidth="1"/>
    <col min="4101" max="4101" width="16.85546875" style="272" customWidth="1"/>
    <col min="4102" max="4102" width="19.5703125" style="272" customWidth="1"/>
    <col min="4103" max="4103" width="18.5703125" style="272" customWidth="1"/>
    <col min="4104" max="4104" width="12.42578125" style="272" customWidth="1"/>
    <col min="4105" max="4105" width="3.28515625" style="272" customWidth="1"/>
    <col min="4106" max="4117" width="9.140625" style="272" hidden="1" customWidth="1"/>
    <col min="4118" max="4352" width="9.140625" style="272" hidden="1"/>
    <col min="4353" max="4353" width="3.7109375" style="272" customWidth="1"/>
    <col min="4354" max="4354" width="33.140625" style="272" customWidth="1"/>
    <col min="4355" max="4355" width="16.7109375" style="272" customWidth="1"/>
    <col min="4356" max="4356" width="10.5703125" style="272" customWidth="1"/>
    <col min="4357" max="4357" width="16.85546875" style="272" customWidth="1"/>
    <col min="4358" max="4358" width="19.5703125" style="272" customWidth="1"/>
    <col min="4359" max="4359" width="18.5703125" style="272" customWidth="1"/>
    <col min="4360" max="4360" width="12.42578125" style="272" customWidth="1"/>
    <col min="4361" max="4361" width="3.28515625" style="272" customWidth="1"/>
    <col min="4362" max="4373" width="9.140625" style="272" hidden="1" customWidth="1"/>
    <col min="4374" max="4608" width="9.140625" style="272" hidden="1"/>
    <col min="4609" max="4609" width="3.7109375" style="272" customWidth="1"/>
    <col min="4610" max="4610" width="33.140625" style="272" customWidth="1"/>
    <col min="4611" max="4611" width="16.7109375" style="272" customWidth="1"/>
    <col min="4612" max="4612" width="10.5703125" style="272" customWidth="1"/>
    <col min="4613" max="4613" width="16.85546875" style="272" customWidth="1"/>
    <col min="4614" max="4614" width="19.5703125" style="272" customWidth="1"/>
    <col min="4615" max="4615" width="18.5703125" style="272" customWidth="1"/>
    <col min="4616" max="4616" width="12.42578125" style="272" customWidth="1"/>
    <col min="4617" max="4617" width="3.28515625" style="272" customWidth="1"/>
    <col min="4618" max="4629" width="9.140625" style="272" hidden="1" customWidth="1"/>
    <col min="4630" max="4864" width="9.140625" style="272" hidden="1"/>
    <col min="4865" max="4865" width="3.7109375" style="272" customWidth="1"/>
    <col min="4866" max="4866" width="33.140625" style="272" customWidth="1"/>
    <col min="4867" max="4867" width="16.7109375" style="272" customWidth="1"/>
    <col min="4868" max="4868" width="10.5703125" style="272" customWidth="1"/>
    <col min="4869" max="4869" width="16.85546875" style="272" customWidth="1"/>
    <col min="4870" max="4870" width="19.5703125" style="272" customWidth="1"/>
    <col min="4871" max="4871" width="18.5703125" style="272" customWidth="1"/>
    <col min="4872" max="4872" width="12.42578125" style="272" customWidth="1"/>
    <col min="4873" max="4873" width="3.28515625" style="272" customWidth="1"/>
    <col min="4874" max="4885" width="9.140625" style="272" hidden="1" customWidth="1"/>
    <col min="4886" max="5120" width="9.140625" style="272" hidden="1"/>
    <col min="5121" max="5121" width="3.7109375" style="272" customWidth="1"/>
    <col min="5122" max="5122" width="33.140625" style="272" customWidth="1"/>
    <col min="5123" max="5123" width="16.7109375" style="272" customWidth="1"/>
    <col min="5124" max="5124" width="10.5703125" style="272" customWidth="1"/>
    <col min="5125" max="5125" width="16.85546875" style="272" customWidth="1"/>
    <col min="5126" max="5126" width="19.5703125" style="272" customWidth="1"/>
    <col min="5127" max="5127" width="18.5703125" style="272" customWidth="1"/>
    <col min="5128" max="5128" width="12.42578125" style="272" customWidth="1"/>
    <col min="5129" max="5129" width="3.28515625" style="272" customWidth="1"/>
    <col min="5130" max="5141" width="9.140625" style="272" hidden="1" customWidth="1"/>
    <col min="5142" max="5376" width="9.140625" style="272" hidden="1"/>
    <col min="5377" max="5377" width="3.7109375" style="272" customWidth="1"/>
    <col min="5378" max="5378" width="33.140625" style="272" customWidth="1"/>
    <col min="5379" max="5379" width="16.7109375" style="272" customWidth="1"/>
    <col min="5380" max="5380" width="10.5703125" style="272" customWidth="1"/>
    <col min="5381" max="5381" width="16.85546875" style="272" customWidth="1"/>
    <col min="5382" max="5382" width="19.5703125" style="272" customWidth="1"/>
    <col min="5383" max="5383" width="18.5703125" style="272" customWidth="1"/>
    <col min="5384" max="5384" width="12.42578125" style="272" customWidth="1"/>
    <col min="5385" max="5385" width="3.28515625" style="272" customWidth="1"/>
    <col min="5386" max="5397" width="9.140625" style="272" hidden="1" customWidth="1"/>
    <col min="5398" max="5632" width="9.140625" style="272" hidden="1"/>
    <col min="5633" max="5633" width="3.7109375" style="272" customWidth="1"/>
    <col min="5634" max="5634" width="33.140625" style="272" customWidth="1"/>
    <col min="5635" max="5635" width="16.7109375" style="272" customWidth="1"/>
    <col min="5636" max="5636" width="10.5703125" style="272" customWidth="1"/>
    <col min="5637" max="5637" width="16.85546875" style="272" customWidth="1"/>
    <col min="5638" max="5638" width="19.5703125" style="272" customWidth="1"/>
    <col min="5639" max="5639" width="18.5703125" style="272" customWidth="1"/>
    <col min="5640" max="5640" width="12.42578125" style="272" customWidth="1"/>
    <col min="5641" max="5641" width="3.28515625" style="272" customWidth="1"/>
    <col min="5642" max="5653" width="9.140625" style="272" hidden="1" customWidth="1"/>
    <col min="5654" max="5888" width="9.140625" style="272" hidden="1"/>
    <col min="5889" max="5889" width="3.7109375" style="272" customWidth="1"/>
    <col min="5890" max="5890" width="33.140625" style="272" customWidth="1"/>
    <col min="5891" max="5891" width="16.7109375" style="272" customWidth="1"/>
    <col min="5892" max="5892" width="10.5703125" style="272" customWidth="1"/>
    <col min="5893" max="5893" width="16.85546875" style="272" customWidth="1"/>
    <col min="5894" max="5894" width="19.5703125" style="272" customWidth="1"/>
    <col min="5895" max="5895" width="18.5703125" style="272" customWidth="1"/>
    <col min="5896" max="5896" width="12.42578125" style="272" customWidth="1"/>
    <col min="5897" max="5897" width="3.28515625" style="272" customWidth="1"/>
    <col min="5898" max="5909" width="9.140625" style="272" hidden="1" customWidth="1"/>
    <col min="5910" max="6144" width="9.140625" style="272" hidden="1"/>
    <col min="6145" max="6145" width="3.7109375" style="272" customWidth="1"/>
    <col min="6146" max="6146" width="33.140625" style="272" customWidth="1"/>
    <col min="6147" max="6147" width="16.7109375" style="272" customWidth="1"/>
    <col min="6148" max="6148" width="10.5703125" style="272" customWidth="1"/>
    <col min="6149" max="6149" width="16.85546875" style="272" customWidth="1"/>
    <col min="6150" max="6150" width="19.5703125" style="272" customWidth="1"/>
    <col min="6151" max="6151" width="18.5703125" style="272" customWidth="1"/>
    <col min="6152" max="6152" width="12.42578125" style="272" customWidth="1"/>
    <col min="6153" max="6153" width="3.28515625" style="272" customWidth="1"/>
    <col min="6154" max="6165" width="9.140625" style="272" hidden="1" customWidth="1"/>
    <col min="6166" max="6400" width="9.140625" style="272" hidden="1"/>
    <col min="6401" max="6401" width="3.7109375" style="272" customWidth="1"/>
    <col min="6402" max="6402" width="33.140625" style="272" customWidth="1"/>
    <col min="6403" max="6403" width="16.7109375" style="272" customWidth="1"/>
    <col min="6404" max="6404" width="10.5703125" style="272" customWidth="1"/>
    <col min="6405" max="6405" width="16.85546875" style="272" customWidth="1"/>
    <col min="6406" max="6406" width="19.5703125" style="272" customWidth="1"/>
    <col min="6407" max="6407" width="18.5703125" style="272" customWidth="1"/>
    <col min="6408" max="6408" width="12.42578125" style="272" customWidth="1"/>
    <col min="6409" max="6409" width="3.28515625" style="272" customWidth="1"/>
    <col min="6410" max="6421" width="9.140625" style="272" hidden="1" customWidth="1"/>
    <col min="6422" max="6656" width="9.140625" style="272" hidden="1"/>
    <col min="6657" max="6657" width="3.7109375" style="272" customWidth="1"/>
    <col min="6658" max="6658" width="33.140625" style="272" customWidth="1"/>
    <col min="6659" max="6659" width="16.7109375" style="272" customWidth="1"/>
    <col min="6660" max="6660" width="10.5703125" style="272" customWidth="1"/>
    <col min="6661" max="6661" width="16.85546875" style="272" customWidth="1"/>
    <col min="6662" max="6662" width="19.5703125" style="272" customWidth="1"/>
    <col min="6663" max="6663" width="18.5703125" style="272" customWidth="1"/>
    <col min="6664" max="6664" width="12.42578125" style="272" customWidth="1"/>
    <col min="6665" max="6665" width="3.28515625" style="272" customWidth="1"/>
    <col min="6666" max="6677" width="9.140625" style="272" hidden="1" customWidth="1"/>
    <col min="6678" max="6912" width="9.140625" style="272" hidden="1"/>
    <col min="6913" max="6913" width="3.7109375" style="272" customWidth="1"/>
    <col min="6914" max="6914" width="33.140625" style="272" customWidth="1"/>
    <col min="6915" max="6915" width="16.7109375" style="272" customWidth="1"/>
    <col min="6916" max="6916" width="10.5703125" style="272" customWidth="1"/>
    <col min="6917" max="6917" width="16.85546875" style="272" customWidth="1"/>
    <col min="6918" max="6918" width="19.5703125" style="272" customWidth="1"/>
    <col min="6919" max="6919" width="18.5703125" style="272" customWidth="1"/>
    <col min="6920" max="6920" width="12.42578125" style="272" customWidth="1"/>
    <col min="6921" max="6921" width="3.28515625" style="272" customWidth="1"/>
    <col min="6922" max="6933" width="9.140625" style="272" hidden="1" customWidth="1"/>
    <col min="6934" max="7168" width="9.140625" style="272" hidden="1"/>
    <col min="7169" max="7169" width="3.7109375" style="272" customWidth="1"/>
    <col min="7170" max="7170" width="33.140625" style="272" customWidth="1"/>
    <col min="7171" max="7171" width="16.7109375" style="272" customWidth="1"/>
    <col min="7172" max="7172" width="10.5703125" style="272" customWidth="1"/>
    <col min="7173" max="7173" width="16.85546875" style="272" customWidth="1"/>
    <col min="7174" max="7174" width="19.5703125" style="272" customWidth="1"/>
    <col min="7175" max="7175" width="18.5703125" style="272" customWidth="1"/>
    <col min="7176" max="7176" width="12.42578125" style="272" customWidth="1"/>
    <col min="7177" max="7177" width="3.28515625" style="272" customWidth="1"/>
    <col min="7178" max="7189" width="9.140625" style="272" hidden="1" customWidth="1"/>
    <col min="7190" max="7424" width="9.140625" style="272" hidden="1"/>
    <col min="7425" max="7425" width="3.7109375" style="272" customWidth="1"/>
    <col min="7426" max="7426" width="33.140625" style="272" customWidth="1"/>
    <col min="7427" max="7427" width="16.7109375" style="272" customWidth="1"/>
    <col min="7428" max="7428" width="10.5703125" style="272" customWidth="1"/>
    <col min="7429" max="7429" width="16.85546875" style="272" customWidth="1"/>
    <col min="7430" max="7430" width="19.5703125" style="272" customWidth="1"/>
    <col min="7431" max="7431" width="18.5703125" style="272" customWidth="1"/>
    <col min="7432" max="7432" width="12.42578125" style="272" customWidth="1"/>
    <col min="7433" max="7433" width="3.28515625" style="272" customWidth="1"/>
    <col min="7434" max="7445" width="9.140625" style="272" hidden="1" customWidth="1"/>
    <col min="7446" max="7680" width="9.140625" style="272" hidden="1"/>
    <col min="7681" max="7681" width="3.7109375" style="272" customWidth="1"/>
    <col min="7682" max="7682" width="33.140625" style="272" customWidth="1"/>
    <col min="7683" max="7683" width="16.7109375" style="272" customWidth="1"/>
    <col min="7684" max="7684" width="10.5703125" style="272" customWidth="1"/>
    <col min="7685" max="7685" width="16.85546875" style="272" customWidth="1"/>
    <col min="7686" max="7686" width="19.5703125" style="272" customWidth="1"/>
    <col min="7687" max="7687" width="18.5703125" style="272" customWidth="1"/>
    <col min="7688" max="7688" width="12.42578125" style="272" customWidth="1"/>
    <col min="7689" max="7689" width="3.28515625" style="272" customWidth="1"/>
    <col min="7690" max="7701" width="9.140625" style="272" hidden="1" customWidth="1"/>
    <col min="7702" max="7936" width="9.140625" style="272" hidden="1"/>
    <col min="7937" max="7937" width="3.7109375" style="272" customWidth="1"/>
    <col min="7938" max="7938" width="33.140625" style="272" customWidth="1"/>
    <col min="7939" max="7939" width="16.7109375" style="272" customWidth="1"/>
    <col min="7940" max="7940" width="10.5703125" style="272" customWidth="1"/>
    <col min="7941" max="7941" width="16.85546875" style="272" customWidth="1"/>
    <col min="7942" max="7942" width="19.5703125" style="272" customWidth="1"/>
    <col min="7943" max="7943" width="18.5703125" style="272" customWidth="1"/>
    <col min="7944" max="7944" width="12.42578125" style="272" customWidth="1"/>
    <col min="7945" max="7945" width="3.28515625" style="272" customWidth="1"/>
    <col min="7946" max="7957" width="9.140625" style="272" hidden="1" customWidth="1"/>
    <col min="7958" max="8192" width="9.140625" style="272" hidden="1"/>
    <col min="8193" max="8193" width="3.7109375" style="272" customWidth="1"/>
    <col min="8194" max="8194" width="33.140625" style="272" customWidth="1"/>
    <col min="8195" max="8195" width="16.7109375" style="272" customWidth="1"/>
    <col min="8196" max="8196" width="10.5703125" style="272" customWidth="1"/>
    <col min="8197" max="8197" width="16.85546875" style="272" customWidth="1"/>
    <col min="8198" max="8198" width="19.5703125" style="272" customWidth="1"/>
    <col min="8199" max="8199" width="18.5703125" style="272" customWidth="1"/>
    <col min="8200" max="8200" width="12.42578125" style="272" customWidth="1"/>
    <col min="8201" max="8201" width="3.28515625" style="272" customWidth="1"/>
    <col min="8202" max="8213" width="9.140625" style="272" hidden="1" customWidth="1"/>
    <col min="8214" max="8448" width="9.140625" style="272" hidden="1"/>
    <col min="8449" max="8449" width="3.7109375" style="272" customWidth="1"/>
    <col min="8450" max="8450" width="33.140625" style="272" customWidth="1"/>
    <col min="8451" max="8451" width="16.7109375" style="272" customWidth="1"/>
    <col min="8452" max="8452" width="10.5703125" style="272" customWidth="1"/>
    <col min="8453" max="8453" width="16.85546875" style="272" customWidth="1"/>
    <col min="8454" max="8454" width="19.5703125" style="272" customWidth="1"/>
    <col min="8455" max="8455" width="18.5703125" style="272" customWidth="1"/>
    <col min="8456" max="8456" width="12.42578125" style="272" customWidth="1"/>
    <col min="8457" max="8457" width="3.28515625" style="272" customWidth="1"/>
    <col min="8458" max="8469" width="9.140625" style="272" hidden="1" customWidth="1"/>
    <col min="8470" max="8704" width="9.140625" style="272" hidden="1"/>
    <col min="8705" max="8705" width="3.7109375" style="272" customWidth="1"/>
    <col min="8706" max="8706" width="33.140625" style="272" customWidth="1"/>
    <col min="8707" max="8707" width="16.7109375" style="272" customWidth="1"/>
    <col min="8708" max="8708" width="10.5703125" style="272" customWidth="1"/>
    <col min="8709" max="8709" width="16.85546875" style="272" customWidth="1"/>
    <col min="8710" max="8710" width="19.5703125" style="272" customWidth="1"/>
    <col min="8711" max="8711" width="18.5703125" style="272" customWidth="1"/>
    <col min="8712" max="8712" width="12.42578125" style="272" customWidth="1"/>
    <col min="8713" max="8713" width="3.28515625" style="272" customWidth="1"/>
    <col min="8714" max="8725" width="9.140625" style="272" hidden="1" customWidth="1"/>
    <col min="8726" max="8960" width="9.140625" style="272" hidden="1"/>
    <col min="8961" max="8961" width="3.7109375" style="272" customWidth="1"/>
    <col min="8962" max="8962" width="33.140625" style="272" customWidth="1"/>
    <col min="8963" max="8963" width="16.7109375" style="272" customWidth="1"/>
    <col min="8964" max="8964" width="10.5703125" style="272" customWidth="1"/>
    <col min="8965" max="8965" width="16.85546875" style="272" customWidth="1"/>
    <col min="8966" max="8966" width="19.5703125" style="272" customWidth="1"/>
    <col min="8967" max="8967" width="18.5703125" style="272" customWidth="1"/>
    <col min="8968" max="8968" width="12.42578125" style="272" customWidth="1"/>
    <col min="8969" max="8969" width="3.28515625" style="272" customWidth="1"/>
    <col min="8970" max="8981" width="9.140625" style="272" hidden="1" customWidth="1"/>
    <col min="8982" max="9216" width="9.140625" style="272" hidden="1"/>
    <col min="9217" max="9217" width="3.7109375" style="272" customWidth="1"/>
    <col min="9218" max="9218" width="33.140625" style="272" customWidth="1"/>
    <col min="9219" max="9219" width="16.7109375" style="272" customWidth="1"/>
    <col min="9220" max="9220" width="10.5703125" style="272" customWidth="1"/>
    <col min="9221" max="9221" width="16.85546875" style="272" customWidth="1"/>
    <col min="9222" max="9222" width="19.5703125" style="272" customWidth="1"/>
    <col min="9223" max="9223" width="18.5703125" style="272" customWidth="1"/>
    <col min="9224" max="9224" width="12.42578125" style="272" customWidth="1"/>
    <col min="9225" max="9225" width="3.28515625" style="272" customWidth="1"/>
    <col min="9226" max="9237" width="9.140625" style="272" hidden="1" customWidth="1"/>
    <col min="9238" max="9472" width="9.140625" style="272" hidden="1"/>
    <col min="9473" max="9473" width="3.7109375" style="272" customWidth="1"/>
    <col min="9474" max="9474" width="33.140625" style="272" customWidth="1"/>
    <col min="9475" max="9475" width="16.7109375" style="272" customWidth="1"/>
    <col min="9476" max="9476" width="10.5703125" style="272" customWidth="1"/>
    <col min="9477" max="9477" width="16.85546875" style="272" customWidth="1"/>
    <col min="9478" max="9478" width="19.5703125" style="272" customWidth="1"/>
    <col min="9479" max="9479" width="18.5703125" style="272" customWidth="1"/>
    <col min="9480" max="9480" width="12.42578125" style="272" customWidth="1"/>
    <col min="9481" max="9481" width="3.28515625" style="272" customWidth="1"/>
    <col min="9482" max="9493" width="9.140625" style="272" hidden="1" customWidth="1"/>
    <col min="9494" max="9728" width="9.140625" style="272" hidden="1"/>
    <col min="9729" max="9729" width="3.7109375" style="272" customWidth="1"/>
    <col min="9730" max="9730" width="33.140625" style="272" customWidth="1"/>
    <col min="9731" max="9731" width="16.7109375" style="272" customWidth="1"/>
    <col min="9732" max="9732" width="10.5703125" style="272" customWidth="1"/>
    <col min="9733" max="9733" width="16.85546875" style="272" customWidth="1"/>
    <col min="9734" max="9734" width="19.5703125" style="272" customWidth="1"/>
    <col min="9735" max="9735" width="18.5703125" style="272" customWidth="1"/>
    <col min="9736" max="9736" width="12.42578125" style="272" customWidth="1"/>
    <col min="9737" max="9737" width="3.28515625" style="272" customWidth="1"/>
    <col min="9738" max="9749" width="9.140625" style="272" hidden="1" customWidth="1"/>
    <col min="9750" max="9984" width="9.140625" style="272" hidden="1"/>
    <col min="9985" max="9985" width="3.7109375" style="272" customWidth="1"/>
    <col min="9986" max="9986" width="33.140625" style="272" customWidth="1"/>
    <col min="9987" max="9987" width="16.7109375" style="272" customWidth="1"/>
    <col min="9988" max="9988" width="10.5703125" style="272" customWidth="1"/>
    <col min="9989" max="9989" width="16.85546875" style="272" customWidth="1"/>
    <col min="9990" max="9990" width="19.5703125" style="272" customWidth="1"/>
    <col min="9991" max="9991" width="18.5703125" style="272" customWidth="1"/>
    <col min="9992" max="9992" width="12.42578125" style="272" customWidth="1"/>
    <col min="9993" max="9993" width="3.28515625" style="272" customWidth="1"/>
    <col min="9994" max="10005" width="9.140625" style="272" hidden="1" customWidth="1"/>
    <col min="10006" max="10240" width="9.140625" style="272" hidden="1"/>
    <col min="10241" max="10241" width="3.7109375" style="272" customWidth="1"/>
    <col min="10242" max="10242" width="33.140625" style="272" customWidth="1"/>
    <col min="10243" max="10243" width="16.7109375" style="272" customWidth="1"/>
    <col min="10244" max="10244" width="10.5703125" style="272" customWidth="1"/>
    <col min="10245" max="10245" width="16.85546875" style="272" customWidth="1"/>
    <col min="10246" max="10246" width="19.5703125" style="272" customWidth="1"/>
    <col min="10247" max="10247" width="18.5703125" style="272" customWidth="1"/>
    <col min="10248" max="10248" width="12.42578125" style="272" customWidth="1"/>
    <col min="10249" max="10249" width="3.28515625" style="272" customWidth="1"/>
    <col min="10250" max="10261" width="9.140625" style="272" hidden="1" customWidth="1"/>
    <col min="10262" max="10496" width="9.140625" style="272" hidden="1"/>
    <col min="10497" max="10497" width="3.7109375" style="272" customWidth="1"/>
    <col min="10498" max="10498" width="33.140625" style="272" customWidth="1"/>
    <col min="10499" max="10499" width="16.7109375" style="272" customWidth="1"/>
    <col min="10500" max="10500" width="10.5703125" style="272" customWidth="1"/>
    <col min="10501" max="10501" width="16.85546875" style="272" customWidth="1"/>
    <col min="10502" max="10502" width="19.5703125" style="272" customWidth="1"/>
    <col min="10503" max="10503" width="18.5703125" style="272" customWidth="1"/>
    <col min="10504" max="10504" width="12.42578125" style="272" customWidth="1"/>
    <col min="10505" max="10505" width="3.28515625" style="272" customWidth="1"/>
    <col min="10506" max="10517" width="9.140625" style="272" hidden="1" customWidth="1"/>
    <col min="10518" max="10752" width="9.140625" style="272" hidden="1"/>
    <col min="10753" max="10753" width="3.7109375" style="272" customWidth="1"/>
    <col min="10754" max="10754" width="33.140625" style="272" customWidth="1"/>
    <col min="10755" max="10755" width="16.7109375" style="272" customWidth="1"/>
    <col min="10756" max="10756" width="10.5703125" style="272" customWidth="1"/>
    <col min="10757" max="10757" width="16.85546875" style="272" customWidth="1"/>
    <col min="10758" max="10758" width="19.5703125" style="272" customWidth="1"/>
    <col min="10759" max="10759" width="18.5703125" style="272" customWidth="1"/>
    <col min="10760" max="10760" width="12.42578125" style="272" customWidth="1"/>
    <col min="10761" max="10761" width="3.28515625" style="272" customWidth="1"/>
    <col min="10762" max="10773" width="9.140625" style="272" hidden="1" customWidth="1"/>
    <col min="10774" max="11008" width="9.140625" style="272" hidden="1"/>
    <col min="11009" max="11009" width="3.7109375" style="272" customWidth="1"/>
    <col min="11010" max="11010" width="33.140625" style="272" customWidth="1"/>
    <col min="11011" max="11011" width="16.7109375" style="272" customWidth="1"/>
    <col min="11012" max="11012" width="10.5703125" style="272" customWidth="1"/>
    <col min="11013" max="11013" width="16.85546875" style="272" customWidth="1"/>
    <col min="11014" max="11014" width="19.5703125" style="272" customWidth="1"/>
    <col min="11015" max="11015" width="18.5703125" style="272" customWidth="1"/>
    <col min="11016" max="11016" width="12.42578125" style="272" customWidth="1"/>
    <col min="11017" max="11017" width="3.28515625" style="272" customWidth="1"/>
    <col min="11018" max="11029" width="9.140625" style="272" hidden="1" customWidth="1"/>
    <col min="11030" max="11264" width="9.140625" style="272" hidden="1"/>
    <col min="11265" max="11265" width="3.7109375" style="272" customWidth="1"/>
    <col min="11266" max="11266" width="33.140625" style="272" customWidth="1"/>
    <col min="11267" max="11267" width="16.7109375" style="272" customWidth="1"/>
    <col min="11268" max="11268" width="10.5703125" style="272" customWidth="1"/>
    <col min="11269" max="11269" width="16.85546875" style="272" customWidth="1"/>
    <col min="11270" max="11270" width="19.5703125" style="272" customWidth="1"/>
    <col min="11271" max="11271" width="18.5703125" style="272" customWidth="1"/>
    <col min="11272" max="11272" width="12.42578125" style="272" customWidth="1"/>
    <col min="11273" max="11273" width="3.28515625" style="272" customWidth="1"/>
    <col min="11274" max="11285" width="9.140625" style="272" hidden="1" customWidth="1"/>
    <col min="11286" max="11520" width="9.140625" style="272" hidden="1"/>
    <col min="11521" max="11521" width="3.7109375" style="272" customWidth="1"/>
    <col min="11522" max="11522" width="33.140625" style="272" customWidth="1"/>
    <col min="11523" max="11523" width="16.7109375" style="272" customWidth="1"/>
    <col min="11524" max="11524" width="10.5703125" style="272" customWidth="1"/>
    <col min="11525" max="11525" width="16.85546875" style="272" customWidth="1"/>
    <col min="11526" max="11526" width="19.5703125" style="272" customWidth="1"/>
    <col min="11527" max="11527" width="18.5703125" style="272" customWidth="1"/>
    <col min="11528" max="11528" width="12.42578125" style="272" customWidth="1"/>
    <col min="11529" max="11529" width="3.28515625" style="272" customWidth="1"/>
    <col min="11530" max="11541" width="9.140625" style="272" hidden="1" customWidth="1"/>
    <col min="11542" max="11776" width="9.140625" style="272" hidden="1"/>
    <col min="11777" max="11777" width="3.7109375" style="272" customWidth="1"/>
    <col min="11778" max="11778" width="33.140625" style="272" customWidth="1"/>
    <col min="11779" max="11779" width="16.7109375" style="272" customWidth="1"/>
    <col min="11780" max="11780" width="10.5703125" style="272" customWidth="1"/>
    <col min="11781" max="11781" width="16.85546875" style="272" customWidth="1"/>
    <col min="11782" max="11782" width="19.5703125" style="272" customWidth="1"/>
    <col min="11783" max="11783" width="18.5703125" style="272" customWidth="1"/>
    <col min="11784" max="11784" width="12.42578125" style="272" customWidth="1"/>
    <col min="11785" max="11785" width="3.28515625" style="272" customWidth="1"/>
    <col min="11786" max="11797" width="9.140625" style="272" hidden="1" customWidth="1"/>
    <col min="11798" max="12032" width="9.140625" style="272" hidden="1"/>
    <col min="12033" max="12033" width="3.7109375" style="272" customWidth="1"/>
    <col min="12034" max="12034" width="33.140625" style="272" customWidth="1"/>
    <col min="12035" max="12035" width="16.7109375" style="272" customWidth="1"/>
    <col min="12036" max="12036" width="10.5703125" style="272" customWidth="1"/>
    <col min="12037" max="12037" width="16.85546875" style="272" customWidth="1"/>
    <col min="12038" max="12038" width="19.5703125" style="272" customWidth="1"/>
    <col min="12039" max="12039" width="18.5703125" style="272" customWidth="1"/>
    <col min="12040" max="12040" width="12.42578125" style="272" customWidth="1"/>
    <col min="12041" max="12041" width="3.28515625" style="272" customWidth="1"/>
    <col min="12042" max="12053" width="9.140625" style="272" hidden="1" customWidth="1"/>
    <col min="12054" max="12288" width="9.140625" style="272" hidden="1"/>
    <col min="12289" max="12289" width="3.7109375" style="272" customWidth="1"/>
    <col min="12290" max="12290" width="33.140625" style="272" customWidth="1"/>
    <col min="12291" max="12291" width="16.7109375" style="272" customWidth="1"/>
    <col min="12292" max="12292" width="10.5703125" style="272" customWidth="1"/>
    <col min="12293" max="12293" width="16.85546875" style="272" customWidth="1"/>
    <col min="12294" max="12294" width="19.5703125" style="272" customWidth="1"/>
    <col min="12295" max="12295" width="18.5703125" style="272" customWidth="1"/>
    <col min="12296" max="12296" width="12.42578125" style="272" customWidth="1"/>
    <col min="12297" max="12297" width="3.28515625" style="272" customWidth="1"/>
    <col min="12298" max="12309" width="9.140625" style="272" hidden="1" customWidth="1"/>
    <col min="12310" max="12544" width="9.140625" style="272" hidden="1"/>
    <col min="12545" max="12545" width="3.7109375" style="272" customWidth="1"/>
    <col min="12546" max="12546" width="33.140625" style="272" customWidth="1"/>
    <col min="12547" max="12547" width="16.7109375" style="272" customWidth="1"/>
    <col min="12548" max="12548" width="10.5703125" style="272" customWidth="1"/>
    <col min="12549" max="12549" width="16.85546875" style="272" customWidth="1"/>
    <col min="12550" max="12550" width="19.5703125" style="272" customWidth="1"/>
    <col min="12551" max="12551" width="18.5703125" style="272" customWidth="1"/>
    <col min="12552" max="12552" width="12.42578125" style="272" customWidth="1"/>
    <col min="12553" max="12553" width="3.28515625" style="272" customWidth="1"/>
    <col min="12554" max="12565" width="9.140625" style="272" hidden="1" customWidth="1"/>
    <col min="12566" max="12800" width="9.140625" style="272" hidden="1"/>
    <col min="12801" max="12801" width="3.7109375" style="272" customWidth="1"/>
    <col min="12802" max="12802" width="33.140625" style="272" customWidth="1"/>
    <col min="12803" max="12803" width="16.7109375" style="272" customWidth="1"/>
    <col min="12804" max="12804" width="10.5703125" style="272" customWidth="1"/>
    <col min="12805" max="12805" width="16.85546875" style="272" customWidth="1"/>
    <col min="12806" max="12806" width="19.5703125" style="272" customWidth="1"/>
    <col min="12807" max="12807" width="18.5703125" style="272" customWidth="1"/>
    <col min="12808" max="12808" width="12.42578125" style="272" customWidth="1"/>
    <col min="12809" max="12809" width="3.28515625" style="272" customWidth="1"/>
    <col min="12810" max="12821" width="9.140625" style="272" hidden="1" customWidth="1"/>
    <col min="12822" max="13056" width="9.140625" style="272" hidden="1"/>
    <col min="13057" max="13057" width="3.7109375" style="272" customWidth="1"/>
    <col min="13058" max="13058" width="33.140625" style="272" customWidth="1"/>
    <col min="13059" max="13059" width="16.7109375" style="272" customWidth="1"/>
    <col min="13060" max="13060" width="10.5703125" style="272" customWidth="1"/>
    <col min="13061" max="13061" width="16.85546875" style="272" customWidth="1"/>
    <col min="13062" max="13062" width="19.5703125" style="272" customWidth="1"/>
    <col min="13063" max="13063" width="18.5703125" style="272" customWidth="1"/>
    <col min="13064" max="13064" width="12.42578125" style="272" customWidth="1"/>
    <col min="13065" max="13065" width="3.28515625" style="272" customWidth="1"/>
    <col min="13066" max="13077" width="9.140625" style="272" hidden="1" customWidth="1"/>
    <col min="13078" max="13312" width="9.140625" style="272" hidden="1"/>
    <col min="13313" max="13313" width="3.7109375" style="272" customWidth="1"/>
    <col min="13314" max="13314" width="33.140625" style="272" customWidth="1"/>
    <col min="13315" max="13315" width="16.7109375" style="272" customWidth="1"/>
    <col min="13316" max="13316" width="10.5703125" style="272" customWidth="1"/>
    <col min="13317" max="13317" width="16.85546875" style="272" customWidth="1"/>
    <col min="13318" max="13318" width="19.5703125" style="272" customWidth="1"/>
    <col min="13319" max="13319" width="18.5703125" style="272" customWidth="1"/>
    <col min="13320" max="13320" width="12.42578125" style="272" customWidth="1"/>
    <col min="13321" max="13321" width="3.28515625" style="272" customWidth="1"/>
    <col min="13322" max="13333" width="9.140625" style="272" hidden="1" customWidth="1"/>
    <col min="13334" max="13568" width="9.140625" style="272" hidden="1"/>
    <col min="13569" max="13569" width="3.7109375" style="272" customWidth="1"/>
    <col min="13570" max="13570" width="33.140625" style="272" customWidth="1"/>
    <col min="13571" max="13571" width="16.7109375" style="272" customWidth="1"/>
    <col min="13572" max="13572" width="10.5703125" style="272" customWidth="1"/>
    <col min="13573" max="13573" width="16.85546875" style="272" customWidth="1"/>
    <col min="13574" max="13574" width="19.5703125" style="272" customWidth="1"/>
    <col min="13575" max="13575" width="18.5703125" style="272" customWidth="1"/>
    <col min="13576" max="13576" width="12.42578125" style="272" customWidth="1"/>
    <col min="13577" max="13577" width="3.28515625" style="272" customWidth="1"/>
    <col min="13578" max="13589" width="9.140625" style="272" hidden="1" customWidth="1"/>
    <col min="13590" max="13824" width="9.140625" style="272" hidden="1"/>
    <col min="13825" max="13825" width="3.7109375" style="272" customWidth="1"/>
    <col min="13826" max="13826" width="33.140625" style="272" customWidth="1"/>
    <col min="13827" max="13827" width="16.7109375" style="272" customWidth="1"/>
    <col min="13828" max="13828" width="10.5703125" style="272" customWidth="1"/>
    <col min="13829" max="13829" width="16.85546875" style="272" customWidth="1"/>
    <col min="13830" max="13830" width="19.5703125" style="272" customWidth="1"/>
    <col min="13831" max="13831" width="18.5703125" style="272" customWidth="1"/>
    <col min="13832" max="13832" width="12.42578125" style="272" customWidth="1"/>
    <col min="13833" max="13833" width="3.28515625" style="272" customWidth="1"/>
    <col min="13834" max="13845" width="9.140625" style="272" hidden="1" customWidth="1"/>
    <col min="13846" max="14080" width="9.140625" style="272" hidden="1"/>
    <col min="14081" max="14081" width="3.7109375" style="272" customWidth="1"/>
    <col min="14082" max="14082" width="33.140625" style="272" customWidth="1"/>
    <col min="14083" max="14083" width="16.7109375" style="272" customWidth="1"/>
    <col min="14084" max="14084" width="10.5703125" style="272" customWidth="1"/>
    <col min="14085" max="14085" width="16.85546875" style="272" customWidth="1"/>
    <col min="14086" max="14086" width="19.5703125" style="272" customWidth="1"/>
    <col min="14087" max="14087" width="18.5703125" style="272" customWidth="1"/>
    <col min="14088" max="14088" width="12.42578125" style="272" customWidth="1"/>
    <col min="14089" max="14089" width="3.28515625" style="272" customWidth="1"/>
    <col min="14090" max="14101" width="9.140625" style="272" hidden="1" customWidth="1"/>
    <col min="14102" max="14336" width="9.140625" style="272" hidden="1"/>
    <col min="14337" max="14337" width="3.7109375" style="272" customWidth="1"/>
    <col min="14338" max="14338" width="33.140625" style="272" customWidth="1"/>
    <col min="14339" max="14339" width="16.7109375" style="272" customWidth="1"/>
    <col min="14340" max="14340" width="10.5703125" style="272" customWidth="1"/>
    <col min="14341" max="14341" width="16.85546875" style="272" customWidth="1"/>
    <col min="14342" max="14342" width="19.5703125" style="272" customWidth="1"/>
    <col min="14343" max="14343" width="18.5703125" style="272" customWidth="1"/>
    <col min="14344" max="14344" width="12.42578125" style="272" customWidth="1"/>
    <col min="14345" max="14345" width="3.28515625" style="272" customWidth="1"/>
    <col min="14346" max="14357" width="9.140625" style="272" hidden="1" customWidth="1"/>
    <col min="14358" max="14592" width="9.140625" style="272" hidden="1"/>
    <col min="14593" max="14593" width="3.7109375" style="272" customWidth="1"/>
    <col min="14594" max="14594" width="33.140625" style="272" customWidth="1"/>
    <col min="14595" max="14595" width="16.7109375" style="272" customWidth="1"/>
    <col min="14596" max="14596" width="10.5703125" style="272" customWidth="1"/>
    <col min="14597" max="14597" width="16.85546875" style="272" customWidth="1"/>
    <col min="14598" max="14598" width="19.5703125" style="272" customWidth="1"/>
    <col min="14599" max="14599" width="18.5703125" style="272" customWidth="1"/>
    <col min="14600" max="14600" width="12.42578125" style="272" customWidth="1"/>
    <col min="14601" max="14601" width="3.28515625" style="272" customWidth="1"/>
    <col min="14602" max="14613" width="9.140625" style="272" hidden="1" customWidth="1"/>
    <col min="14614" max="14848" width="9.140625" style="272" hidden="1"/>
    <col min="14849" max="14849" width="3.7109375" style="272" customWidth="1"/>
    <col min="14850" max="14850" width="33.140625" style="272" customWidth="1"/>
    <col min="14851" max="14851" width="16.7109375" style="272" customWidth="1"/>
    <col min="14852" max="14852" width="10.5703125" style="272" customWidth="1"/>
    <col min="14853" max="14853" width="16.85546875" style="272" customWidth="1"/>
    <col min="14854" max="14854" width="19.5703125" style="272" customWidth="1"/>
    <col min="14855" max="14855" width="18.5703125" style="272" customWidth="1"/>
    <col min="14856" max="14856" width="12.42578125" style="272" customWidth="1"/>
    <col min="14857" max="14857" width="3.28515625" style="272" customWidth="1"/>
    <col min="14858" max="14869" width="9.140625" style="272" hidden="1" customWidth="1"/>
    <col min="14870" max="15104" width="9.140625" style="272" hidden="1"/>
    <col min="15105" max="15105" width="3.7109375" style="272" customWidth="1"/>
    <col min="15106" max="15106" width="33.140625" style="272" customWidth="1"/>
    <col min="15107" max="15107" width="16.7109375" style="272" customWidth="1"/>
    <col min="15108" max="15108" width="10.5703125" style="272" customWidth="1"/>
    <col min="15109" max="15109" width="16.85546875" style="272" customWidth="1"/>
    <col min="15110" max="15110" width="19.5703125" style="272" customWidth="1"/>
    <col min="15111" max="15111" width="18.5703125" style="272" customWidth="1"/>
    <col min="15112" max="15112" width="12.42578125" style="272" customWidth="1"/>
    <col min="15113" max="15113" width="3.28515625" style="272" customWidth="1"/>
    <col min="15114" max="15125" width="9.140625" style="272" hidden="1" customWidth="1"/>
    <col min="15126" max="15360" width="9.140625" style="272" hidden="1"/>
    <col min="15361" max="15361" width="3.7109375" style="272" customWidth="1"/>
    <col min="15362" max="15362" width="33.140625" style="272" customWidth="1"/>
    <col min="15363" max="15363" width="16.7109375" style="272" customWidth="1"/>
    <col min="15364" max="15364" width="10.5703125" style="272" customWidth="1"/>
    <col min="15365" max="15365" width="16.85546875" style="272" customWidth="1"/>
    <col min="15366" max="15366" width="19.5703125" style="272" customWidth="1"/>
    <col min="15367" max="15367" width="18.5703125" style="272" customWidth="1"/>
    <col min="15368" max="15368" width="12.42578125" style="272" customWidth="1"/>
    <col min="15369" max="15369" width="3.28515625" style="272" customWidth="1"/>
    <col min="15370" max="15381" width="9.140625" style="272" hidden="1" customWidth="1"/>
    <col min="15382" max="15616" width="9.140625" style="272" hidden="1"/>
    <col min="15617" max="15617" width="3.7109375" style="272" customWidth="1"/>
    <col min="15618" max="15618" width="33.140625" style="272" customWidth="1"/>
    <col min="15619" max="15619" width="16.7109375" style="272" customWidth="1"/>
    <col min="15620" max="15620" width="10.5703125" style="272" customWidth="1"/>
    <col min="15621" max="15621" width="16.85546875" style="272" customWidth="1"/>
    <col min="15622" max="15622" width="19.5703125" style="272" customWidth="1"/>
    <col min="15623" max="15623" width="18.5703125" style="272" customWidth="1"/>
    <col min="15624" max="15624" width="12.42578125" style="272" customWidth="1"/>
    <col min="15625" max="15625" width="3.28515625" style="272" customWidth="1"/>
    <col min="15626" max="15637" width="9.140625" style="272" hidden="1" customWidth="1"/>
    <col min="15638" max="15872" width="9.140625" style="272" hidden="1"/>
    <col min="15873" max="15873" width="3.7109375" style="272" customWidth="1"/>
    <col min="15874" max="15874" width="33.140625" style="272" customWidth="1"/>
    <col min="15875" max="15875" width="16.7109375" style="272" customWidth="1"/>
    <col min="15876" max="15876" width="10.5703125" style="272" customWidth="1"/>
    <col min="15877" max="15877" width="16.85546875" style="272" customWidth="1"/>
    <col min="15878" max="15878" width="19.5703125" style="272" customWidth="1"/>
    <col min="15879" max="15879" width="18.5703125" style="272" customWidth="1"/>
    <col min="15880" max="15880" width="12.42578125" style="272" customWidth="1"/>
    <col min="15881" max="15881" width="3.28515625" style="272" customWidth="1"/>
    <col min="15882" max="15893" width="9.140625" style="272" hidden="1" customWidth="1"/>
    <col min="15894" max="16128" width="9.140625" style="272" hidden="1"/>
    <col min="16129" max="16129" width="3.7109375" style="272" customWidth="1"/>
    <col min="16130" max="16130" width="33.140625" style="272" customWidth="1"/>
    <col min="16131" max="16131" width="16.7109375" style="272" customWidth="1"/>
    <col min="16132" max="16132" width="10.5703125" style="272" customWidth="1"/>
    <col min="16133" max="16133" width="16.85546875" style="272" customWidth="1"/>
    <col min="16134" max="16134" width="19.5703125" style="272" customWidth="1"/>
    <col min="16135" max="16135" width="18.5703125" style="272" customWidth="1"/>
    <col min="16136" max="16136" width="12.42578125" style="272" customWidth="1"/>
    <col min="16137" max="16137" width="3.28515625" style="272" customWidth="1"/>
    <col min="16138" max="16149" width="9.140625" style="272" hidden="1" customWidth="1"/>
    <col min="16150" max="16384" width="9.140625" style="272" hidden="1"/>
  </cols>
  <sheetData>
    <row r="1" spans="1:21" ht="21" customHeight="1">
      <c r="A1" s="271"/>
      <c r="B1" s="675" t="s">
        <v>324</v>
      </c>
      <c r="C1" s="675"/>
      <c r="D1" s="675"/>
      <c r="E1" s="675"/>
      <c r="F1" s="675"/>
      <c r="G1" s="675"/>
      <c r="H1" s="675"/>
      <c r="I1" s="675"/>
      <c r="J1" s="92"/>
      <c r="K1" s="92"/>
      <c r="L1" s="92"/>
      <c r="M1" s="92"/>
      <c r="N1" s="92"/>
      <c r="O1" s="92"/>
      <c r="P1" s="92"/>
      <c r="Q1" s="92"/>
      <c r="T1" s="273"/>
    </row>
    <row r="2" spans="1:21" ht="12.75" customHeight="1">
      <c r="A2" s="271"/>
      <c r="B2" s="274"/>
      <c r="C2" s="274"/>
      <c r="D2" s="274"/>
      <c r="E2" s="654" t="s">
        <v>592</v>
      </c>
      <c r="F2" s="655" t="s">
        <v>612</v>
      </c>
      <c r="G2" s="275"/>
      <c r="H2" s="275"/>
      <c r="I2" s="275"/>
      <c r="J2" s="92"/>
      <c r="K2" s="92"/>
      <c r="L2" s="92"/>
      <c r="M2" s="92"/>
      <c r="N2" s="92"/>
      <c r="O2" s="92"/>
      <c r="P2" s="92"/>
      <c r="Q2" s="92"/>
      <c r="T2" s="273"/>
    </row>
    <row r="3" spans="1:21" ht="42.6" customHeight="1">
      <c r="A3" s="271"/>
      <c r="B3" s="563" t="s">
        <v>325</v>
      </c>
      <c r="C3" s="563" t="s">
        <v>50</v>
      </c>
      <c r="D3" s="564" t="s">
        <v>92</v>
      </c>
      <c r="E3" s="564" t="s">
        <v>598</v>
      </c>
      <c r="F3" s="564" t="s">
        <v>94</v>
      </c>
      <c r="G3" s="275"/>
      <c r="H3" s="275"/>
      <c r="I3" s="275"/>
      <c r="J3" s="92"/>
      <c r="K3" s="92"/>
      <c r="L3" s="92"/>
      <c r="M3" s="92"/>
      <c r="N3" s="92"/>
      <c r="O3" s="92"/>
      <c r="P3" s="92"/>
      <c r="Q3" s="92"/>
      <c r="T3" s="276"/>
      <c r="U3" s="277"/>
    </row>
    <row r="4" spans="1:21" ht="12.75" customHeight="1">
      <c r="A4" s="271"/>
      <c r="B4" s="523" t="s">
        <v>591</v>
      </c>
      <c r="C4" s="522"/>
      <c r="D4" s="524"/>
      <c r="E4" s="561"/>
      <c r="F4" s="656">
        <f>IF(F2="WEDP",100%,50%)</f>
        <v>1</v>
      </c>
      <c r="G4" s="275"/>
      <c r="H4" s="275"/>
      <c r="I4" s="275"/>
      <c r="J4" s="92"/>
      <c r="K4" s="92"/>
      <c r="L4" s="92"/>
      <c r="M4" s="92"/>
      <c r="N4" s="92"/>
      <c r="O4" s="92"/>
      <c r="P4" s="92"/>
      <c r="Q4" s="92"/>
      <c r="T4" s="276"/>
      <c r="U4" s="277"/>
    </row>
    <row r="5" spans="1:21" ht="12.75" customHeight="1">
      <c r="A5" s="271"/>
      <c r="B5" s="523" t="s">
        <v>590</v>
      </c>
      <c r="C5" s="522"/>
      <c r="D5" s="524"/>
      <c r="E5" s="561"/>
      <c r="F5" s="275"/>
      <c r="G5" s="275"/>
      <c r="H5" s="275"/>
      <c r="I5" s="275"/>
      <c r="J5" s="92"/>
      <c r="K5" s="92"/>
      <c r="L5" s="92"/>
      <c r="M5" s="92"/>
      <c r="N5" s="92"/>
      <c r="O5" s="92"/>
      <c r="P5" s="92"/>
      <c r="Q5" s="92"/>
      <c r="T5" s="276"/>
      <c r="U5" s="277"/>
    </row>
    <row r="6" spans="1:21" ht="12.75" customHeight="1">
      <c r="A6" s="271"/>
      <c r="B6" s="523"/>
      <c r="C6" s="522"/>
      <c r="D6" s="524"/>
      <c r="E6" s="561"/>
      <c r="F6" s="275"/>
      <c r="G6" s="275"/>
      <c r="H6" s="275"/>
      <c r="I6" s="275"/>
      <c r="J6" s="92"/>
      <c r="K6" s="92"/>
      <c r="L6" s="92"/>
      <c r="M6" s="92"/>
      <c r="N6" s="92"/>
      <c r="O6" s="92"/>
      <c r="P6" s="92"/>
      <c r="Q6" s="92"/>
      <c r="T6" s="276"/>
      <c r="U6" s="277"/>
    </row>
    <row r="7" spans="1:21" ht="12.75" customHeight="1">
      <c r="A7" s="271"/>
      <c r="B7" s="523"/>
      <c r="C7" s="522"/>
      <c r="D7" s="524"/>
      <c r="E7" s="561"/>
      <c r="F7" s="275"/>
      <c r="G7" s="275"/>
      <c r="H7" s="275"/>
      <c r="I7" s="275"/>
      <c r="J7" s="92"/>
      <c r="K7" s="92"/>
      <c r="L7" s="92"/>
      <c r="M7" s="92"/>
      <c r="N7" s="92"/>
      <c r="O7" s="92"/>
      <c r="P7" s="92"/>
      <c r="Q7" s="92"/>
      <c r="T7" s="276"/>
      <c r="U7" s="277"/>
    </row>
    <row r="8" spans="1:21" ht="12.75" customHeight="1">
      <c r="A8" s="271"/>
      <c r="B8" s="523"/>
      <c r="C8" s="522"/>
      <c r="D8" s="524"/>
      <c r="E8" s="561"/>
      <c r="F8" s="275"/>
      <c r="G8" s="275"/>
      <c r="H8" s="275"/>
      <c r="I8" s="275"/>
      <c r="J8" s="92"/>
      <c r="K8" s="92"/>
      <c r="L8" s="92"/>
      <c r="M8" s="92"/>
      <c r="N8" s="92"/>
      <c r="O8" s="92"/>
      <c r="P8" s="92"/>
      <c r="Q8" s="92"/>
      <c r="T8" s="276"/>
      <c r="U8" s="277"/>
    </row>
    <row r="9" spans="1:21" ht="12.75" customHeight="1">
      <c r="A9" s="271"/>
      <c r="B9" s="523"/>
      <c r="C9" s="522"/>
      <c r="D9" s="524"/>
      <c r="E9" s="561"/>
      <c r="F9" s="275"/>
      <c r="G9" s="275"/>
      <c r="H9" s="275"/>
      <c r="I9" s="275"/>
      <c r="J9" s="92"/>
      <c r="K9" s="92"/>
      <c r="L9" s="92"/>
      <c r="M9" s="92"/>
      <c r="N9" s="92"/>
      <c r="O9" s="92"/>
      <c r="P9" s="92"/>
      <c r="Q9" s="92"/>
      <c r="T9" s="276"/>
      <c r="U9" s="277"/>
    </row>
    <row r="10" spans="1:21" ht="12.75" customHeight="1">
      <c r="A10" s="271"/>
      <c r="B10" s="271"/>
      <c r="C10" s="278"/>
      <c r="D10" s="279"/>
      <c r="E10" s="565">
        <f>SUM(E4:E9)</f>
        <v>0</v>
      </c>
      <c r="F10" s="607">
        <f>E10*F4</f>
        <v>0</v>
      </c>
      <c r="G10" s="275"/>
      <c r="H10" s="275"/>
      <c r="I10" s="275"/>
      <c r="J10" s="92"/>
      <c r="K10" s="92"/>
      <c r="L10" s="92"/>
      <c r="M10" s="92"/>
      <c r="N10" s="92"/>
      <c r="O10" s="92"/>
      <c r="P10" s="92"/>
      <c r="Q10" s="92"/>
      <c r="T10" s="276"/>
      <c r="U10" s="277"/>
    </row>
    <row r="11" spans="1:21">
      <c r="A11" s="271"/>
      <c r="B11" s="185"/>
      <c r="C11" s="185"/>
      <c r="D11" s="185"/>
      <c r="E11" s="185"/>
      <c r="F11" s="275"/>
      <c r="G11" s="275"/>
      <c r="H11" s="275"/>
      <c r="I11" s="275"/>
      <c r="J11" s="92"/>
      <c r="K11" s="92"/>
      <c r="L11" s="92"/>
      <c r="M11" s="92"/>
      <c r="N11" s="92"/>
      <c r="O11" s="92"/>
      <c r="P11" s="92"/>
      <c r="Q11" s="92"/>
    </row>
    <row r="12" spans="1:21" ht="38.25">
      <c r="A12" s="271"/>
      <c r="B12" s="563" t="s">
        <v>327</v>
      </c>
      <c r="C12" s="563" t="s">
        <v>50</v>
      </c>
      <c r="D12" s="564" t="s">
        <v>92</v>
      </c>
      <c r="E12" s="564" t="s">
        <v>599</v>
      </c>
      <c r="F12" s="564" t="s">
        <v>94</v>
      </c>
      <c r="G12" s="275"/>
      <c r="H12" s="275"/>
      <c r="I12" s="275"/>
      <c r="J12" s="92"/>
      <c r="K12" s="92"/>
      <c r="L12" s="92"/>
      <c r="M12" s="92"/>
      <c r="N12" s="92"/>
      <c r="O12" s="92"/>
      <c r="P12" s="92"/>
      <c r="Q12" s="92"/>
    </row>
    <row r="13" spans="1:21">
      <c r="A13" s="271"/>
      <c r="B13" s="523" t="s">
        <v>93</v>
      </c>
      <c r="C13" s="523"/>
      <c r="D13" s="523"/>
      <c r="E13" s="568"/>
      <c r="F13" s="656">
        <f>IF($F$2="WEDP",100%,50%)</f>
        <v>1</v>
      </c>
      <c r="G13" s="275"/>
      <c r="H13" s="275"/>
      <c r="I13" s="275"/>
      <c r="J13" s="92"/>
      <c r="K13" s="92"/>
      <c r="L13" s="92"/>
      <c r="M13" s="92"/>
      <c r="N13" s="92"/>
      <c r="O13" s="92"/>
      <c r="P13" s="92"/>
      <c r="Q13" s="92"/>
    </row>
    <row r="14" spans="1:21">
      <c r="A14" s="271"/>
      <c r="B14" s="523" t="s">
        <v>452</v>
      </c>
      <c r="C14" s="523"/>
      <c r="D14" s="523"/>
      <c r="E14" s="568"/>
      <c r="F14" s="656">
        <f t="shared" ref="F14:F18" si="0">IF($F$2="WEDP",100%,50%)</f>
        <v>1</v>
      </c>
      <c r="G14" s="275"/>
      <c r="H14" s="275"/>
      <c r="I14" s="275"/>
      <c r="J14" s="92"/>
      <c r="K14" s="92"/>
      <c r="L14" s="92"/>
      <c r="M14" s="92"/>
      <c r="N14" s="92"/>
      <c r="O14" s="92"/>
      <c r="P14" s="92"/>
      <c r="Q14" s="92"/>
    </row>
    <row r="15" spans="1:21">
      <c r="A15" s="271"/>
      <c r="B15" s="523" t="s">
        <v>453</v>
      </c>
      <c r="C15" s="523"/>
      <c r="D15" s="523"/>
      <c r="E15" s="568"/>
      <c r="F15" s="656">
        <f t="shared" si="0"/>
        <v>1</v>
      </c>
      <c r="G15" s="275"/>
      <c r="H15" s="275"/>
      <c r="I15" s="275"/>
      <c r="J15" s="92"/>
      <c r="K15" s="92"/>
      <c r="L15" s="92"/>
      <c r="M15" s="92"/>
      <c r="N15" s="92"/>
      <c r="O15" s="92"/>
      <c r="P15" s="92"/>
      <c r="Q15" s="92"/>
    </row>
    <row r="16" spans="1:21">
      <c r="A16" s="271"/>
      <c r="B16" s="523" t="s">
        <v>454</v>
      </c>
      <c r="C16" s="523"/>
      <c r="D16" s="523"/>
      <c r="E16" s="568"/>
      <c r="F16" s="656">
        <f t="shared" si="0"/>
        <v>1</v>
      </c>
      <c r="G16" s="275"/>
      <c r="H16" s="275"/>
      <c r="I16" s="275"/>
      <c r="J16" s="92"/>
      <c r="K16" s="92"/>
      <c r="L16" s="92"/>
      <c r="M16" s="92"/>
      <c r="N16" s="92"/>
      <c r="O16" s="92"/>
      <c r="P16" s="92"/>
      <c r="Q16" s="92"/>
    </row>
    <row r="17" spans="1:17" ht="12.75" customHeight="1">
      <c r="A17" s="271"/>
      <c r="B17" s="523"/>
      <c r="C17" s="523"/>
      <c r="D17" s="523"/>
      <c r="E17" s="568"/>
      <c r="F17" s="656">
        <f t="shared" si="0"/>
        <v>1</v>
      </c>
      <c r="G17" s="275"/>
      <c r="H17" s="275"/>
      <c r="I17" s="275"/>
      <c r="J17" s="92"/>
      <c r="K17" s="92"/>
      <c r="L17" s="92"/>
      <c r="M17" s="92"/>
      <c r="N17" s="92"/>
      <c r="O17" s="92"/>
      <c r="P17" s="92"/>
      <c r="Q17" s="92"/>
    </row>
    <row r="18" spans="1:17" ht="13.5" customHeight="1">
      <c r="A18" s="271"/>
      <c r="B18" s="523"/>
      <c r="C18" s="523"/>
      <c r="D18" s="523"/>
      <c r="E18" s="570"/>
      <c r="F18" s="656">
        <f t="shared" si="0"/>
        <v>1</v>
      </c>
      <c r="G18" s="275"/>
      <c r="H18" s="275"/>
      <c r="I18" s="275"/>
      <c r="J18" s="92"/>
      <c r="K18" s="92"/>
      <c r="L18" s="92"/>
      <c r="M18" s="92"/>
      <c r="N18" s="92"/>
      <c r="O18" s="92"/>
      <c r="P18" s="92"/>
      <c r="Q18" s="92"/>
    </row>
    <row r="19" spans="1:17" ht="15" customHeight="1">
      <c r="A19" s="271"/>
      <c r="B19" s="271"/>
      <c r="C19" s="278"/>
      <c r="D19" s="279"/>
      <c r="E19" s="660">
        <f>SUM(E13:E18)</f>
        <v>0</v>
      </c>
      <c r="F19" s="607">
        <f>E13*F13+E14*F14+E15*F15+E16*F16+E17*F17+E18*F18</f>
        <v>0</v>
      </c>
      <c r="G19" s="275"/>
      <c r="H19" s="275"/>
      <c r="I19" s="275"/>
    </row>
    <row r="20" spans="1:17" ht="15" customHeight="1">
      <c r="A20" s="271"/>
      <c r="B20" s="271"/>
      <c r="C20" s="278"/>
      <c r="D20" s="279"/>
      <c r="E20" s="657"/>
      <c r="F20" s="607"/>
      <c r="G20" s="275"/>
      <c r="H20" s="275"/>
      <c r="I20" s="275"/>
    </row>
    <row r="21" spans="1:17" ht="28.5" customHeight="1">
      <c r="A21" s="271"/>
      <c r="B21" s="563" t="s">
        <v>597</v>
      </c>
      <c r="C21" s="563"/>
      <c r="D21" s="564"/>
      <c r="E21" s="564" t="s">
        <v>85</v>
      </c>
      <c r="F21" s="564" t="s">
        <v>94</v>
      </c>
      <c r="G21" s="275"/>
      <c r="H21" s="275"/>
      <c r="I21" s="275"/>
    </row>
    <row r="22" spans="1:17" ht="15" customHeight="1">
      <c r="A22" s="271"/>
      <c r="B22" s="751" t="s">
        <v>593</v>
      </c>
      <c r="C22" s="752"/>
      <c r="D22" s="523"/>
      <c r="E22" s="568"/>
      <c r="F22" s="656">
        <f>IF($F$2="WEDP",100%,50%)</f>
        <v>1</v>
      </c>
      <c r="G22" s="275"/>
      <c r="H22" s="275"/>
      <c r="I22" s="275"/>
    </row>
    <row r="23" spans="1:17" ht="15" customHeight="1">
      <c r="A23" s="271"/>
      <c r="B23" s="751" t="s">
        <v>594</v>
      </c>
      <c r="C23" s="752"/>
      <c r="D23" s="523"/>
      <c r="E23" s="568"/>
      <c r="F23" s="656">
        <f t="shared" ref="F23:F29" si="1">IF($F$2="WEDP",100%,50%)</f>
        <v>1</v>
      </c>
      <c r="G23" s="275"/>
      <c r="H23" s="275"/>
      <c r="I23" s="275"/>
    </row>
    <row r="24" spans="1:17" ht="15" customHeight="1">
      <c r="A24" s="271"/>
      <c r="B24" s="751" t="s">
        <v>595</v>
      </c>
      <c r="C24" s="752"/>
      <c r="D24" s="523"/>
      <c r="E24" s="568"/>
      <c r="F24" s="656">
        <f t="shared" si="1"/>
        <v>1</v>
      </c>
      <c r="G24" s="275"/>
      <c r="H24" s="275"/>
      <c r="I24" s="275"/>
    </row>
    <row r="25" spans="1:17" ht="15" customHeight="1">
      <c r="A25" s="271"/>
      <c r="B25" s="751" t="s">
        <v>596</v>
      </c>
      <c r="C25" s="752"/>
      <c r="D25" s="523"/>
      <c r="E25" s="568"/>
      <c r="F25" s="656">
        <f t="shared" si="1"/>
        <v>1</v>
      </c>
      <c r="G25" s="275"/>
      <c r="H25" s="275"/>
      <c r="I25" s="275"/>
    </row>
    <row r="26" spans="1:17" ht="15" customHeight="1">
      <c r="A26" s="271"/>
      <c r="B26" s="658"/>
      <c r="C26" s="659"/>
      <c r="D26" s="523"/>
      <c r="E26" s="568"/>
      <c r="F26" s="656">
        <f t="shared" si="1"/>
        <v>1</v>
      </c>
      <c r="G26" s="275"/>
      <c r="H26" s="275"/>
      <c r="I26" s="275"/>
    </row>
    <row r="27" spans="1:17" ht="15" customHeight="1">
      <c r="A27" s="271"/>
      <c r="B27" s="753"/>
      <c r="C27" s="754"/>
      <c r="D27" s="523"/>
      <c r="E27" s="568"/>
      <c r="F27" s="656">
        <f t="shared" si="1"/>
        <v>1</v>
      </c>
      <c r="G27" s="275"/>
      <c r="H27" s="275"/>
      <c r="I27" s="275"/>
    </row>
    <row r="28" spans="1:17" ht="15" customHeight="1">
      <c r="A28" s="271"/>
      <c r="B28" s="753"/>
      <c r="C28" s="754"/>
      <c r="D28" s="523"/>
      <c r="E28" s="568"/>
      <c r="F28" s="656">
        <f t="shared" si="1"/>
        <v>1</v>
      </c>
      <c r="G28" s="275"/>
      <c r="H28" s="275"/>
      <c r="I28" s="275"/>
    </row>
    <row r="29" spans="1:17">
      <c r="A29" s="271"/>
      <c r="B29" s="753"/>
      <c r="C29" s="754"/>
      <c r="D29" s="523"/>
      <c r="E29" s="568"/>
      <c r="F29" s="656">
        <f t="shared" si="1"/>
        <v>1</v>
      </c>
      <c r="G29" s="275"/>
      <c r="H29" s="275"/>
      <c r="I29" s="275"/>
      <c r="J29" s="92"/>
      <c r="K29" s="92"/>
      <c r="L29" s="92"/>
      <c r="M29" s="92"/>
      <c r="N29" s="113"/>
    </row>
    <row r="30" spans="1:17">
      <c r="A30" s="271"/>
      <c r="B30" s="271"/>
      <c r="C30" s="278"/>
      <c r="D30" s="279"/>
      <c r="E30" s="660">
        <f>SUM(E22:E29)</f>
        <v>0</v>
      </c>
      <c r="F30" s="607">
        <f>E22*F22+E23*F23+E24*F24+E25*F25+E26*F26+E27*F27+E28*F28+E29*F29</f>
        <v>0</v>
      </c>
      <c r="G30" s="275"/>
      <c r="H30" s="275"/>
      <c r="I30" s="275"/>
      <c r="J30" s="92"/>
      <c r="K30" s="92"/>
      <c r="L30" s="92"/>
      <c r="M30" s="92"/>
      <c r="N30" s="280"/>
    </row>
    <row r="31" spans="1:17">
      <c r="A31" s="271"/>
      <c r="B31" s="271"/>
      <c r="C31" s="278"/>
      <c r="D31" s="279"/>
      <c r="E31" s="657"/>
      <c r="F31" s="607"/>
      <c r="G31" s="275"/>
      <c r="H31" s="275"/>
      <c r="I31" s="275"/>
      <c r="J31" s="92"/>
      <c r="K31" s="92"/>
      <c r="L31" s="92"/>
      <c r="M31" s="92"/>
      <c r="N31" s="280"/>
    </row>
    <row r="32" spans="1:17" ht="51">
      <c r="A32" s="271"/>
      <c r="B32" s="563" t="s">
        <v>600</v>
      </c>
      <c r="C32" s="563" t="s">
        <v>328</v>
      </c>
      <c r="D32" s="564" t="s">
        <v>455</v>
      </c>
      <c r="E32" s="564" t="s">
        <v>326</v>
      </c>
      <c r="F32" s="564" t="s">
        <v>94</v>
      </c>
      <c r="G32" s="275"/>
      <c r="H32" s="275"/>
      <c r="I32" s="275"/>
      <c r="J32" s="92"/>
      <c r="K32" s="92"/>
      <c r="L32" s="92"/>
      <c r="M32" s="92"/>
      <c r="N32" s="280"/>
    </row>
    <row r="33" spans="1:14">
      <c r="A33" s="271"/>
      <c r="B33" s="523"/>
      <c r="C33" s="523"/>
      <c r="D33" s="569">
        <f>C33*$E$33</f>
        <v>0</v>
      </c>
      <c r="E33" s="566">
        <v>0.33</v>
      </c>
      <c r="F33" s="566"/>
      <c r="G33" s="275"/>
      <c r="H33" s="275"/>
      <c r="I33" s="275"/>
      <c r="J33" s="92"/>
      <c r="K33" s="92"/>
      <c r="L33" s="92"/>
      <c r="M33" s="92"/>
      <c r="N33" s="280"/>
    </row>
    <row r="34" spans="1:14">
      <c r="A34" s="271"/>
      <c r="B34" s="523"/>
      <c r="C34" s="523"/>
      <c r="D34" s="569">
        <f>C34*$E$33</f>
        <v>0</v>
      </c>
      <c r="E34" s="275"/>
      <c r="F34" s="275"/>
      <c r="G34" s="275"/>
      <c r="H34" s="275"/>
      <c r="I34" s="275"/>
      <c r="J34" s="92"/>
      <c r="K34" s="92"/>
      <c r="L34" s="92"/>
      <c r="M34" s="92"/>
      <c r="N34" s="280"/>
    </row>
    <row r="35" spans="1:14" ht="12.75" customHeight="1">
      <c r="A35" s="271"/>
      <c r="B35" s="523"/>
      <c r="C35" s="523"/>
      <c r="D35" s="569">
        <f>C35*$E$33</f>
        <v>0</v>
      </c>
      <c r="E35" s="275"/>
      <c r="F35" s="275"/>
      <c r="G35" s="275"/>
      <c r="H35" s="275"/>
      <c r="I35" s="275"/>
      <c r="J35" s="92"/>
      <c r="K35" s="92"/>
      <c r="L35" s="92"/>
      <c r="M35" s="92"/>
      <c r="N35" s="280"/>
    </row>
    <row r="36" spans="1:14">
      <c r="A36" s="271"/>
      <c r="B36" s="523"/>
      <c r="C36" s="523"/>
      <c r="D36" s="569">
        <f>C36*$E$33</f>
        <v>0</v>
      </c>
      <c r="E36" s="275"/>
      <c r="F36" s="275"/>
      <c r="G36" s="275"/>
      <c r="H36" s="275"/>
      <c r="I36" s="275"/>
      <c r="J36" s="92"/>
      <c r="K36" s="92"/>
      <c r="L36" s="92"/>
      <c r="M36" s="92"/>
      <c r="N36" s="280"/>
    </row>
    <row r="37" spans="1:14">
      <c r="A37" s="271"/>
      <c r="B37" s="271"/>
      <c r="C37" s="278"/>
      <c r="D37" s="567">
        <f>SUM(D33:D36)</f>
        <v>0</v>
      </c>
      <c r="E37" s="275"/>
      <c r="F37" s="89">
        <f>D37*'(1)Basic Info and loan request'!C44</f>
        <v>0</v>
      </c>
      <c r="G37" s="275"/>
      <c r="H37" s="275"/>
      <c r="I37" s="275"/>
      <c r="J37" s="92"/>
      <c r="K37" s="92"/>
      <c r="L37" s="92"/>
      <c r="M37" s="92"/>
      <c r="N37" s="280"/>
    </row>
    <row r="38" spans="1:14" ht="13.5" thickBot="1">
      <c r="A38" s="271"/>
      <c r="B38" s="275"/>
      <c r="C38" s="275"/>
      <c r="D38" s="275"/>
      <c r="E38" s="275"/>
      <c r="F38" s="275"/>
      <c r="G38" s="275"/>
      <c r="H38" s="275"/>
      <c r="I38" s="275"/>
      <c r="J38" s="92"/>
      <c r="K38" s="92"/>
      <c r="L38" s="92"/>
      <c r="M38" s="92"/>
      <c r="N38" s="280"/>
    </row>
    <row r="39" spans="1:14" ht="13.5" thickBot="1">
      <c r="A39" s="271"/>
      <c r="B39" s="571" t="s">
        <v>329</v>
      </c>
      <c r="C39" s="572">
        <f>F10+F19+F30+F37</f>
        <v>0</v>
      </c>
      <c r="D39" s="275"/>
      <c r="E39" s="275"/>
      <c r="F39" s="281"/>
      <c r="G39" s="275"/>
      <c r="H39" s="275"/>
      <c r="I39" s="275"/>
      <c r="J39" s="92"/>
      <c r="K39" s="92"/>
      <c r="L39" s="92"/>
      <c r="M39" s="92"/>
      <c r="N39" s="280"/>
    </row>
    <row r="40" spans="1:14" ht="13.5" thickBot="1">
      <c r="A40" s="271"/>
      <c r="B40" s="571" t="s">
        <v>456</v>
      </c>
      <c r="C40" s="572">
        <f>'(7)Repayment Schedule'!C97</f>
        <v>1437814.1367218625</v>
      </c>
      <c r="D40" s="275"/>
      <c r="E40" s="275"/>
      <c r="F40" s="275"/>
      <c r="G40" s="275"/>
      <c r="H40" s="275"/>
      <c r="I40" s="275"/>
      <c r="J40" s="92"/>
      <c r="K40" s="92"/>
      <c r="L40" s="92"/>
      <c r="M40" s="92"/>
      <c r="N40" s="280"/>
    </row>
    <row r="41" spans="1:14" ht="13.5" thickBot="1">
      <c r="A41" s="271"/>
      <c r="B41" s="571" t="s">
        <v>330</v>
      </c>
      <c r="C41" s="573">
        <f>C39/C40</f>
        <v>0</v>
      </c>
      <c r="D41" s="275"/>
      <c r="E41" s="275"/>
      <c r="F41" s="275"/>
      <c r="G41" s="275"/>
      <c r="H41" s="275"/>
      <c r="I41" s="275"/>
      <c r="J41" s="92"/>
      <c r="K41" s="92"/>
      <c r="L41" s="92"/>
      <c r="M41" s="92"/>
    </row>
    <row r="42" spans="1:14">
      <c r="A42" s="271"/>
      <c r="B42" s="275"/>
      <c r="C42" s="275"/>
      <c r="D42" s="275"/>
      <c r="E42" s="275"/>
      <c r="F42" s="275"/>
      <c r="G42" s="275"/>
      <c r="H42" s="275"/>
      <c r="I42" s="275"/>
      <c r="J42" s="92"/>
      <c r="K42" s="92"/>
      <c r="L42" s="92"/>
      <c r="M42" s="92"/>
    </row>
    <row r="43" spans="1:14">
      <c r="A43" s="271"/>
      <c r="B43" s="44"/>
      <c r="C43" s="54"/>
      <c r="D43" s="54"/>
      <c r="E43" s="54"/>
      <c r="F43" s="54"/>
      <c r="G43" s="54"/>
      <c r="H43" s="54"/>
      <c r="I43" s="55"/>
    </row>
    <row r="44" spans="1:14" ht="12.6" customHeight="1">
      <c r="A44" s="271"/>
      <c r="B44" s="282" t="s">
        <v>601</v>
      </c>
      <c r="C44" s="41"/>
      <c r="D44" s="41"/>
      <c r="E44" s="41"/>
      <c r="F44" s="41"/>
      <c r="G44" s="41"/>
      <c r="H44" s="41"/>
      <c r="I44" s="41"/>
      <c r="J44" s="92"/>
      <c r="K44" s="92"/>
      <c r="L44" s="92"/>
      <c r="M44" s="92"/>
    </row>
    <row r="45" spans="1:14" ht="12.6" customHeight="1">
      <c r="A45" s="271"/>
      <c r="B45" s="750"/>
      <c r="C45" s="750"/>
      <c r="D45" s="750"/>
      <c r="E45" s="750"/>
      <c r="F45" s="750"/>
      <c r="G45" s="750"/>
      <c r="H45" s="750"/>
      <c r="I45" s="41"/>
      <c r="J45" s="92"/>
      <c r="K45" s="92"/>
      <c r="L45" s="92"/>
      <c r="M45" s="92"/>
    </row>
    <row r="46" spans="1:14" ht="12.6" customHeight="1">
      <c r="A46" s="271"/>
      <c r="B46" s="750"/>
      <c r="C46" s="750"/>
      <c r="D46" s="750"/>
      <c r="E46" s="750"/>
      <c r="F46" s="750"/>
      <c r="G46" s="750"/>
      <c r="H46" s="750"/>
      <c r="I46" s="41"/>
      <c r="J46" s="92"/>
      <c r="K46" s="92"/>
      <c r="L46" s="92"/>
      <c r="M46" s="92"/>
    </row>
    <row r="47" spans="1:14" ht="12.6" customHeight="1">
      <c r="A47" s="271"/>
      <c r="B47" s="750"/>
      <c r="C47" s="750"/>
      <c r="D47" s="750"/>
      <c r="E47" s="750"/>
      <c r="F47" s="750"/>
      <c r="G47" s="750"/>
      <c r="H47" s="750"/>
      <c r="I47" s="41"/>
      <c r="J47" s="92"/>
      <c r="K47" s="92"/>
      <c r="L47" s="92"/>
      <c r="M47" s="92"/>
    </row>
    <row r="48" spans="1:14" ht="12.6" customHeight="1">
      <c r="A48" s="271"/>
      <c r="B48" s="750"/>
      <c r="C48" s="750"/>
      <c r="D48" s="750"/>
      <c r="E48" s="750"/>
      <c r="F48" s="750"/>
      <c r="G48" s="750"/>
      <c r="H48" s="750"/>
      <c r="I48" s="41"/>
      <c r="J48" s="92"/>
      <c r="K48" s="92"/>
      <c r="L48" s="92"/>
      <c r="M48" s="92"/>
    </row>
    <row r="49" spans="1:13" ht="12.6" customHeight="1">
      <c r="A49" s="271"/>
      <c r="B49" s="750"/>
      <c r="C49" s="750"/>
      <c r="D49" s="750"/>
      <c r="E49" s="750"/>
      <c r="F49" s="750"/>
      <c r="G49" s="750"/>
      <c r="H49" s="750"/>
      <c r="I49" s="41"/>
      <c r="J49" s="92"/>
      <c r="K49" s="92"/>
      <c r="L49" s="92"/>
      <c r="M49" s="92"/>
    </row>
    <row r="50" spans="1:13" ht="12.6" customHeight="1">
      <c r="A50" s="271"/>
      <c r="B50" s="750"/>
      <c r="C50" s="750"/>
      <c r="D50" s="750"/>
      <c r="E50" s="750"/>
      <c r="F50" s="750"/>
      <c r="G50" s="750"/>
      <c r="H50" s="750"/>
      <c r="I50" s="41"/>
      <c r="J50" s="92"/>
      <c r="K50" s="92"/>
      <c r="L50" s="92"/>
      <c r="M50" s="92"/>
    </row>
    <row r="51" spans="1:13" ht="12.6" customHeight="1">
      <c r="A51" s="271"/>
      <c r="B51" s="750"/>
      <c r="C51" s="750"/>
      <c r="D51" s="750"/>
      <c r="E51" s="750"/>
      <c r="F51" s="750"/>
      <c r="G51" s="750"/>
      <c r="H51" s="750"/>
      <c r="I51" s="41"/>
      <c r="J51" s="92"/>
      <c r="K51" s="92"/>
      <c r="L51" s="92"/>
      <c r="M51" s="92"/>
    </row>
    <row r="52" spans="1:13" ht="12.6" customHeight="1">
      <c r="A52" s="271"/>
      <c r="B52" s="750"/>
      <c r="C52" s="750"/>
      <c r="D52" s="750"/>
      <c r="E52" s="750"/>
      <c r="F52" s="750"/>
      <c r="G52" s="750"/>
      <c r="H52" s="750"/>
      <c r="I52" s="41"/>
      <c r="J52" s="92"/>
      <c r="K52" s="92"/>
      <c r="L52" s="92"/>
      <c r="M52" s="92"/>
    </row>
    <row r="53" spans="1:13" ht="12.6" customHeight="1">
      <c r="A53" s="271"/>
      <c r="B53" s="750"/>
      <c r="C53" s="750"/>
      <c r="D53" s="750"/>
      <c r="E53" s="750"/>
      <c r="F53" s="750"/>
      <c r="G53" s="750"/>
      <c r="H53" s="750"/>
      <c r="I53" s="275"/>
      <c r="J53" s="92"/>
      <c r="K53" s="92"/>
      <c r="L53" s="92"/>
      <c r="M53" s="92"/>
    </row>
    <row r="54" spans="1:13" ht="12.6" customHeight="1">
      <c r="A54" s="271"/>
      <c r="B54" s="750"/>
      <c r="C54" s="750"/>
      <c r="D54" s="750"/>
      <c r="E54" s="750"/>
      <c r="F54" s="750"/>
      <c r="G54" s="750"/>
      <c r="H54" s="750"/>
      <c r="I54" s="275"/>
      <c r="J54" s="92"/>
      <c r="K54" s="92"/>
      <c r="L54" s="92"/>
      <c r="M54" s="92"/>
    </row>
    <row r="55" spans="1:13">
      <c r="A55" s="271"/>
      <c r="B55" s="283"/>
      <c r="C55" s="275"/>
      <c r="D55" s="275"/>
      <c r="E55" s="275"/>
      <c r="F55" s="275"/>
      <c r="G55" s="275"/>
      <c r="H55" s="275"/>
      <c r="I55" s="275"/>
    </row>
    <row r="56" spans="1:13" hidden="1"/>
    <row r="57" spans="1:13"/>
    <row r="58" spans="1:13"/>
  </sheetData>
  <sheetProtection password="CA61" sheet="1" objects="1" scenarios="1"/>
  <protectedRanges>
    <protectedRange sqref="B45" name="Range3"/>
    <protectedRange sqref="B4:E9 B13:E18 B33:D36 B22:E29" name="Range1"/>
    <protectedRange sqref="F2" name="Range2"/>
  </protectedRanges>
  <mergeCells count="9">
    <mergeCell ref="B45:H54"/>
    <mergeCell ref="B1:I1"/>
    <mergeCell ref="B22:C22"/>
    <mergeCell ref="B23:C23"/>
    <mergeCell ref="B24:C24"/>
    <mergeCell ref="B28:C28"/>
    <mergeCell ref="B27:C27"/>
    <mergeCell ref="B29:C29"/>
    <mergeCell ref="B25:C25"/>
  </mergeCells>
  <dataValidations count="1">
    <dataValidation type="list" allowBlank="1" showInputMessage="1" showErrorMessage="1" sqref="F2">
      <formula1>"WEDP, Other MSME Loan Products"</formula1>
    </dataValidation>
  </dataValidations>
  <printOptions horizontalCentered="1"/>
  <pageMargins left="0.35" right="0.24" top="0.94488188976377996" bottom="0.59055118110236204" header="0.31496062992126" footer="0.31496062992126"/>
  <pageSetup paperSize="9" scale="75" fitToWidth="2" orientation="portrait" r:id="rId1"/>
  <headerFooter>
    <oddHeader xml:space="preserve">&amp;LAssessment No.: _______________Branch: ______________&amp;CClient:_________________&amp;RDate: ________________ </oddHeader>
  </headerFooter>
</worksheet>
</file>

<file path=xl/worksheets/sheet7.xml><?xml version="1.0" encoding="utf-8"?>
<worksheet xmlns="http://schemas.openxmlformats.org/spreadsheetml/2006/main" xmlns:r="http://schemas.openxmlformats.org/officeDocument/2006/relationships">
  <sheetPr published="0">
    <tabColor theme="9" tint="0.39997558519241921"/>
  </sheetPr>
  <dimension ref="A1:WVT132"/>
  <sheetViews>
    <sheetView showGridLines="0" zoomScale="120" zoomScaleNormal="120" workbookViewId="0">
      <selection activeCell="A122" sqref="A122:XFD132"/>
    </sheetView>
  </sheetViews>
  <sheetFormatPr defaultColWidth="0" defaultRowHeight="0" customHeight="1" zeroHeight="1"/>
  <cols>
    <col min="1" max="1" width="35.85546875" style="381" customWidth="1"/>
    <col min="2" max="2" width="16.140625" style="381" customWidth="1"/>
    <col min="3" max="3" width="17.5703125" style="381" customWidth="1"/>
    <col min="4" max="4" width="6.7109375" style="381" customWidth="1"/>
    <col min="5" max="5" width="16.42578125" style="381" customWidth="1"/>
    <col min="6" max="6" width="12.28515625" style="381" customWidth="1"/>
    <col min="7" max="7" width="13" style="381" customWidth="1"/>
    <col min="8" max="8" width="12.140625" style="381" customWidth="1"/>
    <col min="9" max="9" width="10.7109375" style="381" customWidth="1"/>
    <col min="10" max="10" width="12.7109375" style="381" customWidth="1"/>
    <col min="11" max="11" width="16.28515625" style="381" customWidth="1"/>
    <col min="12" max="12" width="5.85546875" style="381" customWidth="1"/>
    <col min="13" max="13" width="0" style="240" hidden="1" customWidth="1"/>
    <col min="14" max="256" width="9.140625" style="240" hidden="1"/>
    <col min="257" max="257" width="35.28515625" style="240" customWidth="1"/>
    <col min="258" max="258" width="16.140625" style="240" customWidth="1"/>
    <col min="259" max="259" width="17.5703125" style="240" customWidth="1"/>
    <col min="260" max="260" width="6.7109375" style="240" customWidth="1"/>
    <col min="261" max="261" width="16.42578125" style="240" customWidth="1"/>
    <col min="262" max="262" width="12.28515625" style="240" customWidth="1"/>
    <col min="263" max="263" width="10.85546875" style="240" customWidth="1"/>
    <col min="264" max="264" width="12.140625" style="240" customWidth="1"/>
    <col min="265" max="265" width="10.7109375" style="240" customWidth="1"/>
    <col min="266" max="266" width="12.7109375" style="240" customWidth="1"/>
    <col min="267" max="267" width="16.28515625" style="240" customWidth="1"/>
    <col min="268" max="268" width="5.85546875" style="240" customWidth="1"/>
    <col min="269" max="269" width="9.140625" style="240" hidden="1" customWidth="1"/>
    <col min="270" max="512" width="9.140625" style="240" hidden="1"/>
    <col min="513" max="513" width="35.28515625" style="240" customWidth="1"/>
    <col min="514" max="514" width="16.140625" style="240" customWidth="1"/>
    <col min="515" max="515" width="17.5703125" style="240" customWidth="1"/>
    <col min="516" max="516" width="6.7109375" style="240" customWidth="1"/>
    <col min="517" max="517" width="16.42578125" style="240" customWidth="1"/>
    <col min="518" max="518" width="12.28515625" style="240" customWidth="1"/>
    <col min="519" max="519" width="10.85546875" style="240" customWidth="1"/>
    <col min="520" max="520" width="12.140625" style="240" customWidth="1"/>
    <col min="521" max="521" width="10.7109375" style="240" customWidth="1"/>
    <col min="522" max="522" width="12.7109375" style="240" customWidth="1"/>
    <col min="523" max="523" width="16.28515625" style="240" customWidth="1"/>
    <col min="524" max="524" width="5.85546875" style="240" customWidth="1"/>
    <col min="525" max="525" width="9.140625" style="240" hidden="1" customWidth="1"/>
    <col min="526" max="768" width="9.140625" style="240" hidden="1"/>
    <col min="769" max="769" width="35.28515625" style="240" customWidth="1"/>
    <col min="770" max="770" width="16.140625" style="240" customWidth="1"/>
    <col min="771" max="771" width="17.5703125" style="240" customWidth="1"/>
    <col min="772" max="772" width="6.7109375" style="240" customWidth="1"/>
    <col min="773" max="773" width="16.42578125" style="240" customWidth="1"/>
    <col min="774" max="774" width="12.28515625" style="240" customWidth="1"/>
    <col min="775" max="775" width="10.85546875" style="240" customWidth="1"/>
    <col min="776" max="776" width="12.140625" style="240" customWidth="1"/>
    <col min="777" max="777" width="10.7109375" style="240" customWidth="1"/>
    <col min="778" max="778" width="12.7109375" style="240" customWidth="1"/>
    <col min="779" max="779" width="16.28515625" style="240" customWidth="1"/>
    <col min="780" max="780" width="5.85546875" style="240" customWidth="1"/>
    <col min="781" max="781" width="9.140625" style="240" hidden="1" customWidth="1"/>
    <col min="782" max="1024" width="9.140625" style="240" hidden="1"/>
    <col min="1025" max="1025" width="35.28515625" style="240" customWidth="1"/>
    <col min="1026" max="1026" width="16.140625" style="240" customWidth="1"/>
    <col min="1027" max="1027" width="17.5703125" style="240" customWidth="1"/>
    <col min="1028" max="1028" width="6.7109375" style="240" customWidth="1"/>
    <col min="1029" max="1029" width="16.42578125" style="240" customWidth="1"/>
    <col min="1030" max="1030" width="12.28515625" style="240" customWidth="1"/>
    <col min="1031" max="1031" width="10.85546875" style="240" customWidth="1"/>
    <col min="1032" max="1032" width="12.140625" style="240" customWidth="1"/>
    <col min="1033" max="1033" width="10.7109375" style="240" customWidth="1"/>
    <col min="1034" max="1034" width="12.7109375" style="240" customWidth="1"/>
    <col min="1035" max="1035" width="16.28515625" style="240" customWidth="1"/>
    <col min="1036" max="1036" width="5.85546875" style="240" customWidth="1"/>
    <col min="1037" max="1037" width="9.140625" style="240" hidden="1" customWidth="1"/>
    <col min="1038" max="1280" width="9.140625" style="240" hidden="1"/>
    <col min="1281" max="1281" width="35.28515625" style="240" customWidth="1"/>
    <col min="1282" max="1282" width="16.140625" style="240" customWidth="1"/>
    <col min="1283" max="1283" width="17.5703125" style="240" customWidth="1"/>
    <col min="1284" max="1284" width="6.7109375" style="240" customWidth="1"/>
    <col min="1285" max="1285" width="16.42578125" style="240" customWidth="1"/>
    <col min="1286" max="1286" width="12.28515625" style="240" customWidth="1"/>
    <col min="1287" max="1287" width="10.85546875" style="240" customWidth="1"/>
    <col min="1288" max="1288" width="12.140625" style="240" customWidth="1"/>
    <col min="1289" max="1289" width="10.7109375" style="240" customWidth="1"/>
    <col min="1290" max="1290" width="12.7109375" style="240" customWidth="1"/>
    <col min="1291" max="1291" width="16.28515625" style="240" customWidth="1"/>
    <col min="1292" max="1292" width="5.85546875" style="240" customWidth="1"/>
    <col min="1293" max="1293" width="9.140625" style="240" hidden="1" customWidth="1"/>
    <col min="1294" max="1536" width="9.140625" style="240" hidden="1"/>
    <col min="1537" max="1537" width="35.28515625" style="240" customWidth="1"/>
    <col min="1538" max="1538" width="16.140625" style="240" customWidth="1"/>
    <col min="1539" max="1539" width="17.5703125" style="240" customWidth="1"/>
    <col min="1540" max="1540" width="6.7109375" style="240" customWidth="1"/>
    <col min="1541" max="1541" width="16.42578125" style="240" customWidth="1"/>
    <col min="1542" max="1542" width="12.28515625" style="240" customWidth="1"/>
    <col min="1543" max="1543" width="10.85546875" style="240" customWidth="1"/>
    <col min="1544" max="1544" width="12.140625" style="240" customWidth="1"/>
    <col min="1545" max="1545" width="10.7109375" style="240" customWidth="1"/>
    <col min="1546" max="1546" width="12.7109375" style="240" customWidth="1"/>
    <col min="1547" max="1547" width="16.28515625" style="240" customWidth="1"/>
    <col min="1548" max="1548" width="5.85546875" style="240" customWidth="1"/>
    <col min="1549" max="1549" width="9.140625" style="240" hidden="1" customWidth="1"/>
    <col min="1550" max="1792" width="9.140625" style="240" hidden="1"/>
    <col min="1793" max="1793" width="35.28515625" style="240" customWidth="1"/>
    <col min="1794" max="1794" width="16.140625" style="240" customWidth="1"/>
    <col min="1795" max="1795" width="17.5703125" style="240" customWidth="1"/>
    <col min="1796" max="1796" width="6.7109375" style="240" customWidth="1"/>
    <col min="1797" max="1797" width="16.42578125" style="240" customWidth="1"/>
    <col min="1798" max="1798" width="12.28515625" style="240" customWidth="1"/>
    <col min="1799" max="1799" width="10.85546875" style="240" customWidth="1"/>
    <col min="1800" max="1800" width="12.140625" style="240" customWidth="1"/>
    <col min="1801" max="1801" width="10.7109375" style="240" customWidth="1"/>
    <col min="1802" max="1802" width="12.7109375" style="240" customWidth="1"/>
    <col min="1803" max="1803" width="16.28515625" style="240" customWidth="1"/>
    <col min="1804" max="1804" width="5.85546875" style="240" customWidth="1"/>
    <col min="1805" max="1805" width="9.140625" style="240" hidden="1" customWidth="1"/>
    <col min="1806" max="2048" width="9.140625" style="240" hidden="1"/>
    <col min="2049" max="2049" width="35.28515625" style="240" customWidth="1"/>
    <col min="2050" max="2050" width="16.140625" style="240" customWidth="1"/>
    <col min="2051" max="2051" width="17.5703125" style="240" customWidth="1"/>
    <col min="2052" max="2052" width="6.7109375" style="240" customWidth="1"/>
    <col min="2053" max="2053" width="16.42578125" style="240" customWidth="1"/>
    <col min="2054" max="2054" width="12.28515625" style="240" customWidth="1"/>
    <col min="2055" max="2055" width="10.85546875" style="240" customWidth="1"/>
    <col min="2056" max="2056" width="12.140625" style="240" customWidth="1"/>
    <col min="2057" max="2057" width="10.7109375" style="240" customWidth="1"/>
    <col min="2058" max="2058" width="12.7109375" style="240" customWidth="1"/>
    <col min="2059" max="2059" width="16.28515625" style="240" customWidth="1"/>
    <col min="2060" max="2060" width="5.85546875" style="240" customWidth="1"/>
    <col min="2061" max="2061" width="9.140625" style="240" hidden="1" customWidth="1"/>
    <col min="2062" max="2304" width="9.140625" style="240" hidden="1"/>
    <col min="2305" max="2305" width="35.28515625" style="240" customWidth="1"/>
    <col min="2306" max="2306" width="16.140625" style="240" customWidth="1"/>
    <col min="2307" max="2307" width="17.5703125" style="240" customWidth="1"/>
    <col min="2308" max="2308" width="6.7109375" style="240" customWidth="1"/>
    <col min="2309" max="2309" width="16.42578125" style="240" customWidth="1"/>
    <col min="2310" max="2310" width="12.28515625" style="240" customWidth="1"/>
    <col min="2311" max="2311" width="10.85546875" style="240" customWidth="1"/>
    <col min="2312" max="2312" width="12.140625" style="240" customWidth="1"/>
    <col min="2313" max="2313" width="10.7109375" style="240" customWidth="1"/>
    <col min="2314" max="2314" width="12.7109375" style="240" customWidth="1"/>
    <col min="2315" max="2315" width="16.28515625" style="240" customWidth="1"/>
    <col min="2316" max="2316" width="5.85546875" style="240" customWidth="1"/>
    <col min="2317" max="2317" width="9.140625" style="240" hidden="1" customWidth="1"/>
    <col min="2318" max="2560" width="9.140625" style="240" hidden="1"/>
    <col min="2561" max="2561" width="35.28515625" style="240" customWidth="1"/>
    <col min="2562" max="2562" width="16.140625" style="240" customWidth="1"/>
    <col min="2563" max="2563" width="17.5703125" style="240" customWidth="1"/>
    <col min="2564" max="2564" width="6.7109375" style="240" customWidth="1"/>
    <col min="2565" max="2565" width="16.42578125" style="240" customWidth="1"/>
    <col min="2566" max="2566" width="12.28515625" style="240" customWidth="1"/>
    <col min="2567" max="2567" width="10.85546875" style="240" customWidth="1"/>
    <col min="2568" max="2568" width="12.140625" style="240" customWidth="1"/>
    <col min="2569" max="2569" width="10.7109375" style="240" customWidth="1"/>
    <col min="2570" max="2570" width="12.7109375" style="240" customWidth="1"/>
    <col min="2571" max="2571" width="16.28515625" style="240" customWidth="1"/>
    <col min="2572" max="2572" width="5.85546875" style="240" customWidth="1"/>
    <col min="2573" max="2573" width="9.140625" style="240" hidden="1" customWidth="1"/>
    <col min="2574" max="2816" width="9.140625" style="240" hidden="1"/>
    <col min="2817" max="2817" width="35.28515625" style="240" customWidth="1"/>
    <col min="2818" max="2818" width="16.140625" style="240" customWidth="1"/>
    <col min="2819" max="2819" width="17.5703125" style="240" customWidth="1"/>
    <col min="2820" max="2820" width="6.7109375" style="240" customWidth="1"/>
    <col min="2821" max="2821" width="16.42578125" style="240" customWidth="1"/>
    <col min="2822" max="2822" width="12.28515625" style="240" customWidth="1"/>
    <col min="2823" max="2823" width="10.85546875" style="240" customWidth="1"/>
    <col min="2824" max="2824" width="12.140625" style="240" customWidth="1"/>
    <col min="2825" max="2825" width="10.7109375" style="240" customWidth="1"/>
    <col min="2826" max="2826" width="12.7109375" style="240" customWidth="1"/>
    <col min="2827" max="2827" width="16.28515625" style="240" customWidth="1"/>
    <col min="2828" max="2828" width="5.85546875" style="240" customWidth="1"/>
    <col min="2829" max="2829" width="9.140625" style="240" hidden="1" customWidth="1"/>
    <col min="2830" max="3072" width="9.140625" style="240" hidden="1"/>
    <col min="3073" max="3073" width="35.28515625" style="240" customWidth="1"/>
    <col min="3074" max="3074" width="16.140625" style="240" customWidth="1"/>
    <col min="3075" max="3075" width="17.5703125" style="240" customWidth="1"/>
    <col min="3076" max="3076" width="6.7109375" style="240" customWidth="1"/>
    <col min="3077" max="3077" width="16.42578125" style="240" customWidth="1"/>
    <col min="3078" max="3078" width="12.28515625" style="240" customWidth="1"/>
    <col min="3079" max="3079" width="10.85546875" style="240" customWidth="1"/>
    <col min="3080" max="3080" width="12.140625" style="240" customWidth="1"/>
    <col min="3081" max="3081" width="10.7109375" style="240" customWidth="1"/>
    <col min="3082" max="3082" width="12.7109375" style="240" customWidth="1"/>
    <col min="3083" max="3083" width="16.28515625" style="240" customWidth="1"/>
    <col min="3084" max="3084" width="5.85546875" style="240" customWidth="1"/>
    <col min="3085" max="3085" width="9.140625" style="240" hidden="1" customWidth="1"/>
    <col min="3086" max="3328" width="9.140625" style="240" hidden="1"/>
    <col min="3329" max="3329" width="35.28515625" style="240" customWidth="1"/>
    <col min="3330" max="3330" width="16.140625" style="240" customWidth="1"/>
    <col min="3331" max="3331" width="17.5703125" style="240" customWidth="1"/>
    <col min="3332" max="3332" width="6.7109375" style="240" customWidth="1"/>
    <col min="3333" max="3333" width="16.42578125" style="240" customWidth="1"/>
    <col min="3334" max="3334" width="12.28515625" style="240" customWidth="1"/>
    <col min="3335" max="3335" width="10.85546875" style="240" customWidth="1"/>
    <col min="3336" max="3336" width="12.140625" style="240" customWidth="1"/>
    <col min="3337" max="3337" width="10.7109375" style="240" customWidth="1"/>
    <col min="3338" max="3338" width="12.7109375" style="240" customWidth="1"/>
    <col min="3339" max="3339" width="16.28515625" style="240" customWidth="1"/>
    <col min="3340" max="3340" width="5.85546875" style="240" customWidth="1"/>
    <col min="3341" max="3341" width="9.140625" style="240" hidden="1" customWidth="1"/>
    <col min="3342" max="3584" width="9.140625" style="240" hidden="1"/>
    <col min="3585" max="3585" width="35.28515625" style="240" customWidth="1"/>
    <col min="3586" max="3586" width="16.140625" style="240" customWidth="1"/>
    <col min="3587" max="3587" width="17.5703125" style="240" customWidth="1"/>
    <col min="3588" max="3588" width="6.7109375" style="240" customWidth="1"/>
    <col min="3589" max="3589" width="16.42578125" style="240" customWidth="1"/>
    <col min="3590" max="3590" width="12.28515625" style="240" customWidth="1"/>
    <col min="3591" max="3591" width="10.85546875" style="240" customWidth="1"/>
    <col min="3592" max="3592" width="12.140625" style="240" customWidth="1"/>
    <col min="3593" max="3593" width="10.7109375" style="240" customWidth="1"/>
    <col min="3594" max="3594" width="12.7109375" style="240" customWidth="1"/>
    <col min="3595" max="3595" width="16.28515625" style="240" customWidth="1"/>
    <col min="3596" max="3596" width="5.85546875" style="240" customWidth="1"/>
    <col min="3597" max="3597" width="9.140625" style="240" hidden="1" customWidth="1"/>
    <col min="3598" max="3840" width="9.140625" style="240" hidden="1"/>
    <col min="3841" max="3841" width="35.28515625" style="240" customWidth="1"/>
    <col min="3842" max="3842" width="16.140625" style="240" customWidth="1"/>
    <col min="3843" max="3843" width="17.5703125" style="240" customWidth="1"/>
    <col min="3844" max="3844" width="6.7109375" style="240" customWidth="1"/>
    <col min="3845" max="3845" width="16.42578125" style="240" customWidth="1"/>
    <col min="3846" max="3846" width="12.28515625" style="240" customWidth="1"/>
    <col min="3847" max="3847" width="10.85546875" style="240" customWidth="1"/>
    <col min="3848" max="3848" width="12.140625" style="240" customWidth="1"/>
    <col min="3849" max="3849" width="10.7109375" style="240" customWidth="1"/>
    <col min="3850" max="3850" width="12.7109375" style="240" customWidth="1"/>
    <col min="3851" max="3851" width="16.28515625" style="240" customWidth="1"/>
    <col min="3852" max="3852" width="5.85546875" style="240" customWidth="1"/>
    <col min="3853" max="3853" width="9.140625" style="240" hidden="1" customWidth="1"/>
    <col min="3854" max="4096" width="9.140625" style="240" hidden="1"/>
    <col min="4097" max="4097" width="35.28515625" style="240" customWidth="1"/>
    <col min="4098" max="4098" width="16.140625" style="240" customWidth="1"/>
    <col min="4099" max="4099" width="17.5703125" style="240" customWidth="1"/>
    <col min="4100" max="4100" width="6.7109375" style="240" customWidth="1"/>
    <col min="4101" max="4101" width="16.42578125" style="240" customWidth="1"/>
    <col min="4102" max="4102" width="12.28515625" style="240" customWidth="1"/>
    <col min="4103" max="4103" width="10.85546875" style="240" customWidth="1"/>
    <col min="4104" max="4104" width="12.140625" style="240" customWidth="1"/>
    <col min="4105" max="4105" width="10.7109375" style="240" customWidth="1"/>
    <col min="4106" max="4106" width="12.7109375" style="240" customWidth="1"/>
    <col min="4107" max="4107" width="16.28515625" style="240" customWidth="1"/>
    <col min="4108" max="4108" width="5.85546875" style="240" customWidth="1"/>
    <col min="4109" max="4109" width="9.140625" style="240" hidden="1" customWidth="1"/>
    <col min="4110" max="4352" width="9.140625" style="240" hidden="1"/>
    <col min="4353" max="4353" width="35.28515625" style="240" customWidth="1"/>
    <col min="4354" max="4354" width="16.140625" style="240" customWidth="1"/>
    <col min="4355" max="4355" width="17.5703125" style="240" customWidth="1"/>
    <col min="4356" max="4356" width="6.7109375" style="240" customWidth="1"/>
    <col min="4357" max="4357" width="16.42578125" style="240" customWidth="1"/>
    <col min="4358" max="4358" width="12.28515625" style="240" customWidth="1"/>
    <col min="4359" max="4359" width="10.85546875" style="240" customWidth="1"/>
    <col min="4360" max="4360" width="12.140625" style="240" customWidth="1"/>
    <col min="4361" max="4361" width="10.7109375" style="240" customWidth="1"/>
    <col min="4362" max="4362" width="12.7109375" style="240" customWidth="1"/>
    <col min="4363" max="4363" width="16.28515625" style="240" customWidth="1"/>
    <col min="4364" max="4364" width="5.85546875" style="240" customWidth="1"/>
    <col min="4365" max="4365" width="9.140625" style="240" hidden="1" customWidth="1"/>
    <col min="4366" max="4608" width="9.140625" style="240" hidden="1"/>
    <col min="4609" max="4609" width="35.28515625" style="240" customWidth="1"/>
    <col min="4610" max="4610" width="16.140625" style="240" customWidth="1"/>
    <col min="4611" max="4611" width="17.5703125" style="240" customWidth="1"/>
    <col min="4612" max="4612" width="6.7109375" style="240" customWidth="1"/>
    <col min="4613" max="4613" width="16.42578125" style="240" customWidth="1"/>
    <col min="4614" max="4614" width="12.28515625" style="240" customWidth="1"/>
    <col min="4615" max="4615" width="10.85546875" style="240" customWidth="1"/>
    <col min="4616" max="4616" width="12.140625" style="240" customWidth="1"/>
    <col min="4617" max="4617" width="10.7109375" style="240" customWidth="1"/>
    <col min="4618" max="4618" width="12.7109375" style="240" customWidth="1"/>
    <col min="4619" max="4619" width="16.28515625" style="240" customWidth="1"/>
    <col min="4620" max="4620" width="5.85546875" style="240" customWidth="1"/>
    <col min="4621" max="4621" width="9.140625" style="240" hidden="1" customWidth="1"/>
    <col min="4622" max="4864" width="9.140625" style="240" hidden="1"/>
    <col min="4865" max="4865" width="35.28515625" style="240" customWidth="1"/>
    <col min="4866" max="4866" width="16.140625" style="240" customWidth="1"/>
    <col min="4867" max="4867" width="17.5703125" style="240" customWidth="1"/>
    <col min="4868" max="4868" width="6.7109375" style="240" customWidth="1"/>
    <col min="4869" max="4869" width="16.42578125" style="240" customWidth="1"/>
    <col min="4870" max="4870" width="12.28515625" style="240" customWidth="1"/>
    <col min="4871" max="4871" width="10.85546875" style="240" customWidth="1"/>
    <col min="4872" max="4872" width="12.140625" style="240" customWidth="1"/>
    <col min="4873" max="4873" width="10.7109375" style="240" customWidth="1"/>
    <col min="4874" max="4874" width="12.7109375" style="240" customWidth="1"/>
    <col min="4875" max="4875" width="16.28515625" style="240" customWidth="1"/>
    <col min="4876" max="4876" width="5.85546875" style="240" customWidth="1"/>
    <col min="4877" max="4877" width="9.140625" style="240" hidden="1" customWidth="1"/>
    <col min="4878" max="5120" width="9.140625" style="240" hidden="1"/>
    <col min="5121" max="5121" width="35.28515625" style="240" customWidth="1"/>
    <col min="5122" max="5122" width="16.140625" style="240" customWidth="1"/>
    <col min="5123" max="5123" width="17.5703125" style="240" customWidth="1"/>
    <col min="5124" max="5124" width="6.7109375" style="240" customWidth="1"/>
    <col min="5125" max="5125" width="16.42578125" style="240" customWidth="1"/>
    <col min="5126" max="5126" width="12.28515625" style="240" customWidth="1"/>
    <col min="5127" max="5127" width="10.85546875" style="240" customWidth="1"/>
    <col min="5128" max="5128" width="12.140625" style="240" customWidth="1"/>
    <col min="5129" max="5129" width="10.7109375" style="240" customWidth="1"/>
    <col min="5130" max="5130" width="12.7109375" style="240" customWidth="1"/>
    <col min="5131" max="5131" width="16.28515625" style="240" customWidth="1"/>
    <col min="5132" max="5132" width="5.85546875" style="240" customWidth="1"/>
    <col min="5133" max="5133" width="9.140625" style="240" hidden="1" customWidth="1"/>
    <col min="5134" max="5376" width="9.140625" style="240" hidden="1"/>
    <col min="5377" max="5377" width="35.28515625" style="240" customWidth="1"/>
    <col min="5378" max="5378" width="16.140625" style="240" customWidth="1"/>
    <col min="5379" max="5379" width="17.5703125" style="240" customWidth="1"/>
    <col min="5380" max="5380" width="6.7109375" style="240" customWidth="1"/>
    <col min="5381" max="5381" width="16.42578125" style="240" customWidth="1"/>
    <col min="5382" max="5382" width="12.28515625" style="240" customWidth="1"/>
    <col min="5383" max="5383" width="10.85546875" style="240" customWidth="1"/>
    <col min="5384" max="5384" width="12.140625" style="240" customWidth="1"/>
    <col min="5385" max="5385" width="10.7109375" style="240" customWidth="1"/>
    <col min="5386" max="5386" width="12.7109375" style="240" customWidth="1"/>
    <col min="5387" max="5387" width="16.28515625" style="240" customWidth="1"/>
    <col min="5388" max="5388" width="5.85546875" style="240" customWidth="1"/>
    <col min="5389" max="5389" width="9.140625" style="240" hidden="1" customWidth="1"/>
    <col min="5390" max="5632" width="9.140625" style="240" hidden="1"/>
    <col min="5633" max="5633" width="35.28515625" style="240" customWidth="1"/>
    <col min="5634" max="5634" width="16.140625" style="240" customWidth="1"/>
    <col min="5635" max="5635" width="17.5703125" style="240" customWidth="1"/>
    <col min="5636" max="5636" width="6.7109375" style="240" customWidth="1"/>
    <col min="5637" max="5637" width="16.42578125" style="240" customWidth="1"/>
    <col min="5638" max="5638" width="12.28515625" style="240" customWidth="1"/>
    <col min="5639" max="5639" width="10.85546875" style="240" customWidth="1"/>
    <col min="5640" max="5640" width="12.140625" style="240" customWidth="1"/>
    <col min="5641" max="5641" width="10.7109375" style="240" customWidth="1"/>
    <col min="5642" max="5642" width="12.7109375" style="240" customWidth="1"/>
    <col min="5643" max="5643" width="16.28515625" style="240" customWidth="1"/>
    <col min="5644" max="5644" width="5.85546875" style="240" customWidth="1"/>
    <col min="5645" max="5645" width="9.140625" style="240" hidden="1" customWidth="1"/>
    <col min="5646" max="5888" width="9.140625" style="240" hidden="1"/>
    <col min="5889" max="5889" width="35.28515625" style="240" customWidth="1"/>
    <col min="5890" max="5890" width="16.140625" style="240" customWidth="1"/>
    <col min="5891" max="5891" width="17.5703125" style="240" customWidth="1"/>
    <col min="5892" max="5892" width="6.7109375" style="240" customWidth="1"/>
    <col min="5893" max="5893" width="16.42578125" style="240" customWidth="1"/>
    <col min="5894" max="5894" width="12.28515625" style="240" customWidth="1"/>
    <col min="5895" max="5895" width="10.85546875" style="240" customWidth="1"/>
    <col min="5896" max="5896" width="12.140625" style="240" customWidth="1"/>
    <col min="5897" max="5897" width="10.7109375" style="240" customWidth="1"/>
    <col min="5898" max="5898" width="12.7109375" style="240" customWidth="1"/>
    <col min="5899" max="5899" width="16.28515625" style="240" customWidth="1"/>
    <col min="5900" max="5900" width="5.85546875" style="240" customWidth="1"/>
    <col min="5901" max="5901" width="9.140625" style="240" hidden="1" customWidth="1"/>
    <col min="5902" max="6144" width="9.140625" style="240" hidden="1"/>
    <col min="6145" max="6145" width="35.28515625" style="240" customWidth="1"/>
    <col min="6146" max="6146" width="16.140625" style="240" customWidth="1"/>
    <col min="6147" max="6147" width="17.5703125" style="240" customWidth="1"/>
    <col min="6148" max="6148" width="6.7109375" style="240" customWidth="1"/>
    <col min="6149" max="6149" width="16.42578125" style="240" customWidth="1"/>
    <col min="6150" max="6150" width="12.28515625" style="240" customWidth="1"/>
    <col min="6151" max="6151" width="10.85546875" style="240" customWidth="1"/>
    <col min="6152" max="6152" width="12.140625" style="240" customWidth="1"/>
    <col min="6153" max="6153" width="10.7109375" style="240" customWidth="1"/>
    <col min="6154" max="6154" width="12.7109375" style="240" customWidth="1"/>
    <col min="6155" max="6155" width="16.28515625" style="240" customWidth="1"/>
    <col min="6156" max="6156" width="5.85546875" style="240" customWidth="1"/>
    <col min="6157" max="6157" width="9.140625" style="240" hidden="1" customWidth="1"/>
    <col min="6158" max="6400" width="9.140625" style="240" hidden="1"/>
    <col min="6401" max="6401" width="35.28515625" style="240" customWidth="1"/>
    <col min="6402" max="6402" width="16.140625" style="240" customWidth="1"/>
    <col min="6403" max="6403" width="17.5703125" style="240" customWidth="1"/>
    <col min="6404" max="6404" width="6.7109375" style="240" customWidth="1"/>
    <col min="6405" max="6405" width="16.42578125" style="240" customWidth="1"/>
    <col min="6406" max="6406" width="12.28515625" style="240" customWidth="1"/>
    <col min="6407" max="6407" width="10.85546875" style="240" customWidth="1"/>
    <col min="6408" max="6408" width="12.140625" style="240" customWidth="1"/>
    <col min="6409" max="6409" width="10.7109375" style="240" customWidth="1"/>
    <col min="6410" max="6410" width="12.7109375" style="240" customWidth="1"/>
    <col min="6411" max="6411" width="16.28515625" style="240" customWidth="1"/>
    <col min="6412" max="6412" width="5.85546875" style="240" customWidth="1"/>
    <col min="6413" max="6413" width="9.140625" style="240" hidden="1" customWidth="1"/>
    <col min="6414" max="6656" width="9.140625" style="240" hidden="1"/>
    <col min="6657" max="6657" width="35.28515625" style="240" customWidth="1"/>
    <col min="6658" max="6658" width="16.140625" style="240" customWidth="1"/>
    <col min="6659" max="6659" width="17.5703125" style="240" customWidth="1"/>
    <col min="6660" max="6660" width="6.7109375" style="240" customWidth="1"/>
    <col min="6661" max="6661" width="16.42578125" style="240" customWidth="1"/>
    <col min="6662" max="6662" width="12.28515625" style="240" customWidth="1"/>
    <col min="6663" max="6663" width="10.85546875" style="240" customWidth="1"/>
    <col min="6664" max="6664" width="12.140625" style="240" customWidth="1"/>
    <col min="6665" max="6665" width="10.7109375" style="240" customWidth="1"/>
    <col min="6666" max="6666" width="12.7109375" style="240" customWidth="1"/>
    <col min="6667" max="6667" width="16.28515625" style="240" customWidth="1"/>
    <col min="6668" max="6668" width="5.85546875" style="240" customWidth="1"/>
    <col min="6669" max="6669" width="9.140625" style="240" hidden="1" customWidth="1"/>
    <col min="6670" max="6912" width="9.140625" style="240" hidden="1"/>
    <col min="6913" max="6913" width="35.28515625" style="240" customWidth="1"/>
    <col min="6914" max="6914" width="16.140625" style="240" customWidth="1"/>
    <col min="6915" max="6915" width="17.5703125" style="240" customWidth="1"/>
    <col min="6916" max="6916" width="6.7109375" style="240" customWidth="1"/>
    <col min="6917" max="6917" width="16.42578125" style="240" customWidth="1"/>
    <col min="6918" max="6918" width="12.28515625" style="240" customWidth="1"/>
    <col min="6919" max="6919" width="10.85546875" style="240" customWidth="1"/>
    <col min="6920" max="6920" width="12.140625" style="240" customWidth="1"/>
    <col min="6921" max="6921" width="10.7109375" style="240" customWidth="1"/>
    <col min="6922" max="6922" width="12.7109375" style="240" customWidth="1"/>
    <col min="6923" max="6923" width="16.28515625" style="240" customWidth="1"/>
    <col min="6924" max="6924" width="5.85546875" style="240" customWidth="1"/>
    <col min="6925" max="6925" width="9.140625" style="240" hidden="1" customWidth="1"/>
    <col min="6926" max="7168" width="9.140625" style="240" hidden="1"/>
    <col min="7169" max="7169" width="35.28515625" style="240" customWidth="1"/>
    <col min="7170" max="7170" width="16.140625" style="240" customWidth="1"/>
    <col min="7171" max="7171" width="17.5703125" style="240" customWidth="1"/>
    <col min="7172" max="7172" width="6.7109375" style="240" customWidth="1"/>
    <col min="7173" max="7173" width="16.42578125" style="240" customWidth="1"/>
    <col min="7174" max="7174" width="12.28515625" style="240" customWidth="1"/>
    <col min="7175" max="7175" width="10.85546875" style="240" customWidth="1"/>
    <col min="7176" max="7176" width="12.140625" style="240" customWidth="1"/>
    <col min="7177" max="7177" width="10.7109375" style="240" customWidth="1"/>
    <col min="7178" max="7178" width="12.7109375" style="240" customWidth="1"/>
    <col min="7179" max="7179" width="16.28515625" style="240" customWidth="1"/>
    <col min="7180" max="7180" width="5.85546875" style="240" customWidth="1"/>
    <col min="7181" max="7181" width="9.140625" style="240" hidden="1" customWidth="1"/>
    <col min="7182" max="7424" width="9.140625" style="240" hidden="1"/>
    <col min="7425" max="7425" width="35.28515625" style="240" customWidth="1"/>
    <col min="7426" max="7426" width="16.140625" style="240" customWidth="1"/>
    <col min="7427" max="7427" width="17.5703125" style="240" customWidth="1"/>
    <col min="7428" max="7428" width="6.7109375" style="240" customWidth="1"/>
    <col min="7429" max="7429" width="16.42578125" style="240" customWidth="1"/>
    <col min="7430" max="7430" width="12.28515625" style="240" customWidth="1"/>
    <col min="7431" max="7431" width="10.85546875" style="240" customWidth="1"/>
    <col min="7432" max="7432" width="12.140625" style="240" customWidth="1"/>
    <col min="7433" max="7433" width="10.7109375" style="240" customWidth="1"/>
    <col min="7434" max="7434" width="12.7109375" style="240" customWidth="1"/>
    <col min="7435" max="7435" width="16.28515625" style="240" customWidth="1"/>
    <col min="7436" max="7436" width="5.85546875" style="240" customWidth="1"/>
    <col min="7437" max="7437" width="9.140625" style="240" hidden="1" customWidth="1"/>
    <col min="7438" max="7680" width="9.140625" style="240" hidden="1"/>
    <col min="7681" max="7681" width="35.28515625" style="240" customWidth="1"/>
    <col min="7682" max="7682" width="16.140625" style="240" customWidth="1"/>
    <col min="7683" max="7683" width="17.5703125" style="240" customWidth="1"/>
    <col min="7684" max="7684" width="6.7109375" style="240" customWidth="1"/>
    <col min="7685" max="7685" width="16.42578125" style="240" customWidth="1"/>
    <col min="7686" max="7686" width="12.28515625" style="240" customWidth="1"/>
    <col min="7687" max="7687" width="10.85546875" style="240" customWidth="1"/>
    <col min="7688" max="7688" width="12.140625" style="240" customWidth="1"/>
    <col min="7689" max="7689" width="10.7109375" style="240" customWidth="1"/>
    <col min="7690" max="7690" width="12.7109375" style="240" customWidth="1"/>
    <col min="7691" max="7691" width="16.28515625" style="240" customWidth="1"/>
    <col min="7692" max="7692" width="5.85546875" style="240" customWidth="1"/>
    <col min="7693" max="7693" width="9.140625" style="240" hidden="1" customWidth="1"/>
    <col min="7694" max="7936" width="9.140625" style="240" hidden="1"/>
    <col min="7937" max="7937" width="35.28515625" style="240" customWidth="1"/>
    <col min="7938" max="7938" width="16.140625" style="240" customWidth="1"/>
    <col min="7939" max="7939" width="17.5703125" style="240" customWidth="1"/>
    <col min="7940" max="7940" width="6.7109375" style="240" customWidth="1"/>
    <col min="7941" max="7941" width="16.42578125" style="240" customWidth="1"/>
    <col min="7942" max="7942" width="12.28515625" style="240" customWidth="1"/>
    <col min="7943" max="7943" width="10.85546875" style="240" customWidth="1"/>
    <col min="7944" max="7944" width="12.140625" style="240" customWidth="1"/>
    <col min="7945" max="7945" width="10.7109375" style="240" customWidth="1"/>
    <col min="7946" max="7946" width="12.7109375" style="240" customWidth="1"/>
    <col min="7947" max="7947" width="16.28515625" style="240" customWidth="1"/>
    <col min="7948" max="7948" width="5.85546875" style="240" customWidth="1"/>
    <col min="7949" max="7949" width="9.140625" style="240" hidden="1" customWidth="1"/>
    <col min="7950" max="8192" width="9.140625" style="240" hidden="1"/>
    <col min="8193" max="8193" width="35.28515625" style="240" customWidth="1"/>
    <col min="8194" max="8194" width="16.140625" style="240" customWidth="1"/>
    <col min="8195" max="8195" width="17.5703125" style="240" customWidth="1"/>
    <col min="8196" max="8196" width="6.7109375" style="240" customWidth="1"/>
    <col min="8197" max="8197" width="16.42578125" style="240" customWidth="1"/>
    <col min="8198" max="8198" width="12.28515625" style="240" customWidth="1"/>
    <col min="8199" max="8199" width="10.85546875" style="240" customWidth="1"/>
    <col min="8200" max="8200" width="12.140625" style="240" customWidth="1"/>
    <col min="8201" max="8201" width="10.7109375" style="240" customWidth="1"/>
    <col min="8202" max="8202" width="12.7109375" style="240" customWidth="1"/>
    <col min="8203" max="8203" width="16.28515625" style="240" customWidth="1"/>
    <col min="8204" max="8204" width="5.85546875" style="240" customWidth="1"/>
    <col min="8205" max="8205" width="9.140625" style="240" hidden="1" customWidth="1"/>
    <col min="8206" max="8448" width="9.140625" style="240" hidden="1"/>
    <col min="8449" max="8449" width="35.28515625" style="240" customWidth="1"/>
    <col min="8450" max="8450" width="16.140625" style="240" customWidth="1"/>
    <col min="8451" max="8451" width="17.5703125" style="240" customWidth="1"/>
    <col min="8452" max="8452" width="6.7109375" style="240" customWidth="1"/>
    <col min="8453" max="8453" width="16.42578125" style="240" customWidth="1"/>
    <col min="8454" max="8454" width="12.28515625" style="240" customWidth="1"/>
    <col min="8455" max="8455" width="10.85546875" style="240" customWidth="1"/>
    <col min="8456" max="8456" width="12.140625" style="240" customWidth="1"/>
    <col min="8457" max="8457" width="10.7109375" style="240" customWidth="1"/>
    <col min="8458" max="8458" width="12.7109375" style="240" customWidth="1"/>
    <col min="8459" max="8459" width="16.28515625" style="240" customWidth="1"/>
    <col min="8460" max="8460" width="5.85546875" style="240" customWidth="1"/>
    <col min="8461" max="8461" width="9.140625" style="240" hidden="1" customWidth="1"/>
    <col min="8462" max="8704" width="9.140625" style="240" hidden="1"/>
    <col min="8705" max="8705" width="35.28515625" style="240" customWidth="1"/>
    <col min="8706" max="8706" width="16.140625" style="240" customWidth="1"/>
    <col min="8707" max="8707" width="17.5703125" style="240" customWidth="1"/>
    <col min="8708" max="8708" width="6.7109375" style="240" customWidth="1"/>
    <col min="8709" max="8709" width="16.42578125" style="240" customWidth="1"/>
    <col min="8710" max="8710" width="12.28515625" style="240" customWidth="1"/>
    <col min="8711" max="8711" width="10.85546875" style="240" customWidth="1"/>
    <col min="8712" max="8712" width="12.140625" style="240" customWidth="1"/>
    <col min="8713" max="8713" width="10.7109375" style="240" customWidth="1"/>
    <col min="8714" max="8714" width="12.7109375" style="240" customWidth="1"/>
    <col min="8715" max="8715" width="16.28515625" style="240" customWidth="1"/>
    <col min="8716" max="8716" width="5.85546875" style="240" customWidth="1"/>
    <col min="8717" max="8717" width="9.140625" style="240" hidden="1" customWidth="1"/>
    <col min="8718" max="8960" width="9.140625" style="240" hidden="1"/>
    <col min="8961" max="8961" width="35.28515625" style="240" customWidth="1"/>
    <col min="8962" max="8962" width="16.140625" style="240" customWidth="1"/>
    <col min="8963" max="8963" width="17.5703125" style="240" customWidth="1"/>
    <col min="8964" max="8964" width="6.7109375" style="240" customWidth="1"/>
    <col min="8965" max="8965" width="16.42578125" style="240" customWidth="1"/>
    <col min="8966" max="8966" width="12.28515625" style="240" customWidth="1"/>
    <col min="8967" max="8967" width="10.85546875" style="240" customWidth="1"/>
    <col min="8968" max="8968" width="12.140625" style="240" customWidth="1"/>
    <col min="8969" max="8969" width="10.7109375" style="240" customWidth="1"/>
    <col min="8970" max="8970" width="12.7109375" style="240" customWidth="1"/>
    <col min="8971" max="8971" width="16.28515625" style="240" customWidth="1"/>
    <col min="8972" max="8972" width="5.85546875" style="240" customWidth="1"/>
    <col min="8973" max="8973" width="9.140625" style="240" hidden="1" customWidth="1"/>
    <col min="8974" max="9216" width="9.140625" style="240" hidden="1"/>
    <col min="9217" max="9217" width="35.28515625" style="240" customWidth="1"/>
    <col min="9218" max="9218" width="16.140625" style="240" customWidth="1"/>
    <col min="9219" max="9219" width="17.5703125" style="240" customWidth="1"/>
    <col min="9220" max="9220" width="6.7109375" style="240" customWidth="1"/>
    <col min="9221" max="9221" width="16.42578125" style="240" customWidth="1"/>
    <col min="9222" max="9222" width="12.28515625" style="240" customWidth="1"/>
    <col min="9223" max="9223" width="10.85546875" style="240" customWidth="1"/>
    <col min="9224" max="9224" width="12.140625" style="240" customWidth="1"/>
    <col min="9225" max="9225" width="10.7109375" style="240" customWidth="1"/>
    <col min="9226" max="9226" width="12.7109375" style="240" customWidth="1"/>
    <col min="9227" max="9227" width="16.28515625" style="240" customWidth="1"/>
    <col min="9228" max="9228" width="5.85546875" style="240" customWidth="1"/>
    <col min="9229" max="9229" width="9.140625" style="240" hidden="1" customWidth="1"/>
    <col min="9230" max="9472" width="9.140625" style="240" hidden="1"/>
    <col min="9473" max="9473" width="35.28515625" style="240" customWidth="1"/>
    <col min="9474" max="9474" width="16.140625" style="240" customWidth="1"/>
    <col min="9475" max="9475" width="17.5703125" style="240" customWidth="1"/>
    <col min="9476" max="9476" width="6.7109375" style="240" customWidth="1"/>
    <col min="9477" max="9477" width="16.42578125" style="240" customWidth="1"/>
    <col min="9478" max="9478" width="12.28515625" style="240" customWidth="1"/>
    <col min="9479" max="9479" width="10.85546875" style="240" customWidth="1"/>
    <col min="9480" max="9480" width="12.140625" style="240" customWidth="1"/>
    <col min="9481" max="9481" width="10.7109375" style="240" customWidth="1"/>
    <col min="9482" max="9482" width="12.7109375" style="240" customWidth="1"/>
    <col min="9483" max="9483" width="16.28515625" style="240" customWidth="1"/>
    <col min="9484" max="9484" width="5.85546875" style="240" customWidth="1"/>
    <col min="9485" max="9485" width="9.140625" style="240" hidden="1" customWidth="1"/>
    <col min="9486" max="9728" width="9.140625" style="240" hidden="1"/>
    <col min="9729" max="9729" width="35.28515625" style="240" customWidth="1"/>
    <col min="9730" max="9730" width="16.140625" style="240" customWidth="1"/>
    <col min="9731" max="9731" width="17.5703125" style="240" customWidth="1"/>
    <col min="9732" max="9732" width="6.7109375" style="240" customWidth="1"/>
    <col min="9733" max="9733" width="16.42578125" style="240" customWidth="1"/>
    <col min="9734" max="9734" width="12.28515625" style="240" customWidth="1"/>
    <col min="9735" max="9735" width="10.85546875" style="240" customWidth="1"/>
    <col min="9736" max="9736" width="12.140625" style="240" customWidth="1"/>
    <col min="9737" max="9737" width="10.7109375" style="240" customWidth="1"/>
    <col min="9738" max="9738" width="12.7109375" style="240" customWidth="1"/>
    <col min="9739" max="9739" width="16.28515625" style="240" customWidth="1"/>
    <col min="9740" max="9740" width="5.85546875" style="240" customWidth="1"/>
    <col min="9741" max="9741" width="9.140625" style="240" hidden="1" customWidth="1"/>
    <col min="9742" max="9984" width="9.140625" style="240" hidden="1"/>
    <col min="9985" max="9985" width="35.28515625" style="240" customWidth="1"/>
    <col min="9986" max="9986" width="16.140625" style="240" customWidth="1"/>
    <col min="9987" max="9987" width="17.5703125" style="240" customWidth="1"/>
    <col min="9988" max="9988" width="6.7109375" style="240" customWidth="1"/>
    <col min="9989" max="9989" width="16.42578125" style="240" customWidth="1"/>
    <col min="9990" max="9990" width="12.28515625" style="240" customWidth="1"/>
    <col min="9991" max="9991" width="10.85546875" style="240" customWidth="1"/>
    <col min="9992" max="9992" width="12.140625" style="240" customWidth="1"/>
    <col min="9993" max="9993" width="10.7109375" style="240" customWidth="1"/>
    <col min="9994" max="9994" width="12.7109375" style="240" customWidth="1"/>
    <col min="9995" max="9995" width="16.28515625" style="240" customWidth="1"/>
    <col min="9996" max="9996" width="5.85546875" style="240" customWidth="1"/>
    <col min="9997" max="9997" width="9.140625" style="240" hidden="1" customWidth="1"/>
    <col min="9998" max="10240" width="9.140625" style="240" hidden="1"/>
    <col min="10241" max="10241" width="35.28515625" style="240" customWidth="1"/>
    <col min="10242" max="10242" width="16.140625" style="240" customWidth="1"/>
    <col min="10243" max="10243" width="17.5703125" style="240" customWidth="1"/>
    <col min="10244" max="10244" width="6.7109375" style="240" customWidth="1"/>
    <col min="10245" max="10245" width="16.42578125" style="240" customWidth="1"/>
    <col min="10246" max="10246" width="12.28515625" style="240" customWidth="1"/>
    <col min="10247" max="10247" width="10.85546875" style="240" customWidth="1"/>
    <col min="10248" max="10248" width="12.140625" style="240" customWidth="1"/>
    <col min="10249" max="10249" width="10.7109375" style="240" customWidth="1"/>
    <col min="10250" max="10250" width="12.7109375" style="240" customWidth="1"/>
    <col min="10251" max="10251" width="16.28515625" style="240" customWidth="1"/>
    <col min="10252" max="10252" width="5.85546875" style="240" customWidth="1"/>
    <col min="10253" max="10253" width="9.140625" style="240" hidden="1" customWidth="1"/>
    <col min="10254" max="10496" width="9.140625" style="240" hidden="1"/>
    <col min="10497" max="10497" width="35.28515625" style="240" customWidth="1"/>
    <col min="10498" max="10498" width="16.140625" style="240" customWidth="1"/>
    <col min="10499" max="10499" width="17.5703125" style="240" customWidth="1"/>
    <col min="10500" max="10500" width="6.7109375" style="240" customWidth="1"/>
    <col min="10501" max="10501" width="16.42578125" style="240" customWidth="1"/>
    <col min="10502" max="10502" width="12.28515625" style="240" customWidth="1"/>
    <col min="10503" max="10503" width="10.85546875" style="240" customWidth="1"/>
    <col min="10504" max="10504" width="12.140625" style="240" customWidth="1"/>
    <col min="10505" max="10505" width="10.7109375" style="240" customWidth="1"/>
    <col min="10506" max="10506" width="12.7109375" style="240" customWidth="1"/>
    <col min="10507" max="10507" width="16.28515625" style="240" customWidth="1"/>
    <col min="10508" max="10508" width="5.85546875" style="240" customWidth="1"/>
    <col min="10509" max="10509" width="9.140625" style="240" hidden="1" customWidth="1"/>
    <col min="10510" max="10752" width="9.140625" style="240" hidden="1"/>
    <col min="10753" max="10753" width="35.28515625" style="240" customWidth="1"/>
    <col min="10754" max="10754" width="16.140625" style="240" customWidth="1"/>
    <col min="10755" max="10755" width="17.5703125" style="240" customWidth="1"/>
    <col min="10756" max="10756" width="6.7109375" style="240" customWidth="1"/>
    <col min="10757" max="10757" width="16.42578125" style="240" customWidth="1"/>
    <col min="10758" max="10758" width="12.28515625" style="240" customWidth="1"/>
    <col min="10759" max="10759" width="10.85546875" style="240" customWidth="1"/>
    <col min="10760" max="10760" width="12.140625" style="240" customWidth="1"/>
    <col min="10761" max="10761" width="10.7109375" style="240" customWidth="1"/>
    <col min="10762" max="10762" width="12.7109375" style="240" customWidth="1"/>
    <col min="10763" max="10763" width="16.28515625" style="240" customWidth="1"/>
    <col min="10764" max="10764" width="5.85546875" style="240" customWidth="1"/>
    <col min="10765" max="10765" width="9.140625" style="240" hidden="1" customWidth="1"/>
    <col min="10766" max="11008" width="9.140625" style="240" hidden="1"/>
    <col min="11009" max="11009" width="35.28515625" style="240" customWidth="1"/>
    <col min="11010" max="11010" width="16.140625" style="240" customWidth="1"/>
    <col min="11011" max="11011" width="17.5703125" style="240" customWidth="1"/>
    <col min="11012" max="11012" width="6.7109375" style="240" customWidth="1"/>
    <col min="11013" max="11013" width="16.42578125" style="240" customWidth="1"/>
    <col min="11014" max="11014" width="12.28515625" style="240" customWidth="1"/>
    <col min="11015" max="11015" width="10.85546875" style="240" customWidth="1"/>
    <col min="11016" max="11016" width="12.140625" style="240" customWidth="1"/>
    <col min="11017" max="11017" width="10.7109375" style="240" customWidth="1"/>
    <col min="11018" max="11018" width="12.7109375" style="240" customWidth="1"/>
    <col min="11019" max="11019" width="16.28515625" style="240" customWidth="1"/>
    <col min="11020" max="11020" width="5.85546875" style="240" customWidth="1"/>
    <col min="11021" max="11021" width="9.140625" style="240" hidden="1" customWidth="1"/>
    <col min="11022" max="11264" width="9.140625" style="240" hidden="1"/>
    <col min="11265" max="11265" width="35.28515625" style="240" customWidth="1"/>
    <col min="11266" max="11266" width="16.140625" style="240" customWidth="1"/>
    <col min="11267" max="11267" width="17.5703125" style="240" customWidth="1"/>
    <col min="11268" max="11268" width="6.7109375" style="240" customWidth="1"/>
    <col min="11269" max="11269" width="16.42578125" style="240" customWidth="1"/>
    <col min="11270" max="11270" width="12.28515625" style="240" customWidth="1"/>
    <col min="11271" max="11271" width="10.85546875" style="240" customWidth="1"/>
    <col min="11272" max="11272" width="12.140625" style="240" customWidth="1"/>
    <col min="11273" max="11273" width="10.7109375" style="240" customWidth="1"/>
    <col min="11274" max="11274" width="12.7109375" style="240" customWidth="1"/>
    <col min="11275" max="11275" width="16.28515625" style="240" customWidth="1"/>
    <col min="11276" max="11276" width="5.85546875" style="240" customWidth="1"/>
    <col min="11277" max="11277" width="9.140625" style="240" hidden="1" customWidth="1"/>
    <col min="11278" max="11520" width="9.140625" style="240" hidden="1"/>
    <col min="11521" max="11521" width="35.28515625" style="240" customWidth="1"/>
    <col min="11522" max="11522" width="16.140625" style="240" customWidth="1"/>
    <col min="11523" max="11523" width="17.5703125" style="240" customWidth="1"/>
    <col min="11524" max="11524" width="6.7109375" style="240" customWidth="1"/>
    <col min="11525" max="11525" width="16.42578125" style="240" customWidth="1"/>
    <col min="11526" max="11526" width="12.28515625" style="240" customWidth="1"/>
    <col min="11527" max="11527" width="10.85546875" style="240" customWidth="1"/>
    <col min="11528" max="11528" width="12.140625" style="240" customWidth="1"/>
    <col min="11529" max="11529" width="10.7109375" style="240" customWidth="1"/>
    <col min="11530" max="11530" width="12.7109375" style="240" customWidth="1"/>
    <col min="11531" max="11531" width="16.28515625" style="240" customWidth="1"/>
    <col min="11532" max="11532" width="5.85546875" style="240" customWidth="1"/>
    <col min="11533" max="11533" width="9.140625" style="240" hidden="1" customWidth="1"/>
    <col min="11534" max="11776" width="9.140625" style="240" hidden="1"/>
    <col min="11777" max="11777" width="35.28515625" style="240" customWidth="1"/>
    <col min="11778" max="11778" width="16.140625" style="240" customWidth="1"/>
    <col min="11779" max="11779" width="17.5703125" style="240" customWidth="1"/>
    <col min="11780" max="11780" width="6.7109375" style="240" customWidth="1"/>
    <col min="11781" max="11781" width="16.42578125" style="240" customWidth="1"/>
    <col min="11782" max="11782" width="12.28515625" style="240" customWidth="1"/>
    <col min="11783" max="11783" width="10.85546875" style="240" customWidth="1"/>
    <col min="11784" max="11784" width="12.140625" style="240" customWidth="1"/>
    <col min="11785" max="11785" width="10.7109375" style="240" customWidth="1"/>
    <col min="11786" max="11786" width="12.7109375" style="240" customWidth="1"/>
    <col min="11787" max="11787" width="16.28515625" style="240" customWidth="1"/>
    <col min="11788" max="11788" width="5.85546875" style="240" customWidth="1"/>
    <col min="11789" max="11789" width="9.140625" style="240" hidden="1" customWidth="1"/>
    <col min="11790" max="12032" width="9.140625" style="240" hidden="1"/>
    <col min="12033" max="12033" width="35.28515625" style="240" customWidth="1"/>
    <col min="12034" max="12034" width="16.140625" style="240" customWidth="1"/>
    <col min="12035" max="12035" width="17.5703125" style="240" customWidth="1"/>
    <col min="12036" max="12036" width="6.7109375" style="240" customWidth="1"/>
    <col min="12037" max="12037" width="16.42578125" style="240" customWidth="1"/>
    <col min="12038" max="12038" width="12.28515625" style="240" customWidth="1"/>
    <col min="12039" max="12039" width="10.85546875" style="240" customWidth="1"/>
    <col min="12040" max="12040" width="12.140625" style="240" customWidth="1"/>
    <col min="12041" max="12041" width="10.7109375" style="240" customWidth="1"/>
    <col min="12042" max="12042" width="12.7109375" style="240" customWidth="1"/>
    <col min="12043" max="12043" width="16.28515625" style="240" customWidth="1"/>
    <col min="12044" max="12044" width="5.85546875" style="240" customWidth="1"/>
    <col min="12045" max="12045" width="9.140625" style="240" hidden="1" customWidth="1"/>
    <col min="12046" max="12288" width="9.140625" style="240" hidden="1"/>
    <col min="12289" max="12289" width="35.28515625" style="240" customWidth="1"/>
    <col min="12290" max="12290" width="16.140625" style="240" customWidth="1"/>
    <col min="12291" max="12291" width="17.5703125" style="240" customWidth="1"/>
    <col min="12292" max="12292" width="6.7109375" style="240" customWidth="1"/>
    <col min="12293" max="12293" width="16.42578125" style="240" customWidth="1"/>
    <col min="12294" max="12294" width="12.28515625" style="240" customWidth="1"/>
    <col min="12295" max="12295" width="10.85546875" style="240" customWidth="1"/>
    <col min="12296" max="12296" width="12.140625" style="240" customWidth="1"/>
    <col min="12297" max="12297" width="10.7109375" style="240" customWidth="1"/>
    <col min="12298" max="12298" width="12.7109375" style="240" customWidth="1"/>
    <col min="12299" max="12299" width="16.28515625" style="240" customWidth="1"/>
    <col min="12300" max="12300" width="5.85546875" style="240" customWidth="1"/>
    <col min="12301" max="12301" width="9.140625" style="240" hidden="1" customWidth="1"/>
    <col min="12302" max="12544" width="9.140625" style="240" hidden="1"/>
    <col min="12545" max="12545" width="35.28515625" style="240" customWidth="1"/>
    <col min="12546" max="12546" width="16.140625" style="240" customWidth="1"/>
    <col min="12547" max="12547" width="17.5703125" style="240" customWidth="1"/>
    <col min="12548" max="12548" width="6.7109375" style="240" customWidth="1"/>
    <col min="12549" max="12549" width="16.42578125" style="240" customWidth="1"/>
    <col min="12550" max="12550" width="12.28515625" style="240" customWidth="1"/>
    <col min="12551" max="12551" width="10.85546875" style="240" customWidth="1"/>
    <col min="12552" max="12552" width="12.140625" style="240" customWidth="1"/>
    <col min="12553" max="12553" width="10.7109375" style="240" customWidth="1"/>
    <col min="12554" max="12554" width="12.7109375" style="240" customWidth="1"/>
    <col min="12555" max="12555" width="16.28515625" style="240" customWidth="1"/>
    <col min="12556" max="12556" width="5.85546875" style="240" customWidth="1"/>
    <col min="12557" max="12557" width="9.140625" style="240" hidden="1" customWidth="1"/>
    <col min="12558" max="12800" width="9.140625" style="240" hidden="1"/>
    <col min="12801" max="12801" width="35.28515625" style="240" customWidth="1"/>
    <col min="12802" max="12802" width="16.140625" style="240" customWidth="1"/>
    <col min="12803" max="12803" width="17.5703125" style="240" customWidth="1"/>
    <col min="12804" max="12804" width="6.7109375" style="240" customWidth="1"/>
    <col min="12805" max="12805" width="16.42578125" style="240" customWidth="1"/>
    <col min="12806" max="12806" width="12.28515625" style="240" customWidth="1"/>
    <col min="12807" max="12807" width="10.85546875" style="240" customWidth="1"/>
    <col min="12808" max="12808" width="12.140625" style="240" customWidth="1"/>
    <col min="12809" max="12809" width="10.7109375" style="240" customWidth="1"/>
    <col min="12810" max="12810" width="12.7109375" style="240" customWidth="1"/>
    <col min="12811" max="12811" width="16.28515625" style="240" customWidth="1"/>
    <col min="12812" max="12812" width="5.85546875" style="240" customWidth="1"/>
    <col min="12813" max="12813" width="9.140625" style="240" hidden="1" customWidth="1"/>
    <col min="12814" max="13056" width="9.140625" style="240" hidden="1"/>
    <col min="13057" max="13057" width="35.28515625" style="240" customWidth="1"/>
    <col min="13058" max="13058" width="16.140625" style="240" customWidth="1"/>
    <col min="13059" max="13059" width="17.5703125" style="240" customWidth="1"/>
    <col min="13060" max="13060" width="6.7109375" style="240" customWidth="1"/>
    <col min="13061" max="13061" width="16.42578125" style="240" customWidth="1"/>
    <col min="13062" max="13062" width="12.28515625" style="240" customWidth="1"/>
    <col min="13063" max="13063" width="10.85546875" style="240" customWidth="1"/>
    <col min="13064" max="13064" width="12.140625" style="240" customWidth="1"/>
    <col min="13065" max="13065" width="10.7109375" style="240" customWidth="1"/>
    <col min="13066" max="13066" width="12.7109375" style="240" customWidth="1"/>
    <col min="13067" max="13067" width="16.28515625" style="240" customWidth="1"/>
    <col min="13068" max="13068" width="5.85546875" style="240" customWidth="1"/>
    <col min="13069" max="13069" width="9.140625" style="240" hidden="1" customWidth="1"/>
    <col min="13070" max="13312" width="9.140625" style="240" hidden="1"/>
    <col min="13313" max="13313" width="35.28515625" style="240" customWidth="1"/>
    <col min="13314" max="13314" width="16.140625" style="240" customWidth="1"/>
    <col min="13315" max="13315" width="17.5703125" style="240" customWidth="1"/>
    <col min="13316" max="13316" width="6.7109375" style="240" customWidth="1"/>
    <col min="13317" max="13317" width="16.42578125" style="240" customWidth="1"/>
    <col min="13318" max="13318" width="12.28515625" style="240" customWidth="1"/>
    <col min="13319" max="13319" width="10.85546875" style="240" customWidth="1"/>
    <col min="13320" max="13320" width="12.140625" style="240" customWidth="1"/>
    <col min="13321" max="13321" width="10.7109375" style="240" customWidth="1"/>
    <col min="13322" max="13322" width="12.7109375" style="240" customWidth="1"/>
    <col min="13323" max="13323" width="16.28515625" style="240" customWidth="1"/>
    <col min="13324" max="13324" width="5.85546875" style="240" customWidth="1"/>
    <col min="13325" max="13325" width="9.140625" style="240" hidden="1" customWidth="1"/>
    <col min="13326" max="13568" width="9.140625" style="240" hidden="1"/>
    <col min="13569" max="13569" width="35.28515625" style="240" customWidth="1"/>
    <col min="13570" max="13570" width="16.140625" style="240" customWidth="1"/>
    <col min="13571" max="13571" width="17.5703125" style="240" customWidth="1"/>
    <col min="13572" max="13572" width="6.7109375" style="240" customWidth="1"/>
    <col min="13573" max="13573" width="16.42578125" style="240" customWidth="1"/>
    <col min="13574" max="13574" width="12.28515625" style="240" customWidth="1"/>
    <col min="13575" max="13575" width="10.85546875" style="240" customWidth="1"/>
    <col min="13576" max="13576" width="12.140625" style="240" customWidth="1"/>
    <col min="13577" max="13577" width="10.7109375" style="240" customWidth="1"/>
    <col min="13578" max="13578" width="12.7109375" style="240" customWidth="1"/>
    <col min="13579" max="13579" width="16.28515625" style="240" customWidth="1"/>
    <col min="13580" max="13580" width="5.85546875" style="240" customWidth="1"/>
    <col min="13581" max="13581" width="9.140625" style="240" hidden="1" customWidth="1"/>
    <col min="13582" max="13824" width="9.140625" style="240" hidden="1"/>
    <col min="13825" max="13825" width="35.28515625" style="240" customWidth="1"/>
    <col min="13826" max="13826" width="16.140625" style="240" customWidth="1"/>
    <col min="13827" max="13827" width="17.5703125" style="240" customWidth="1"/>
    <col min="13828" max="13828" width="6.7109375" style="240" customWidth="1"/>
    <col min="13829" max="13829" width="16.42578125" style="240" customWidth="1"/>
    <col min="13830" max="13830" width="12.28515625" style="240" customWidth="1"/>
    <col min="13831" max="13831" width="10.85546875" style="240" customWidth="1"/>
    <col min="13832" max="13832" width="12.140625" style="240" customWidth="1"/>
    <col min="13833" max="13833" width="10.7109375" style="240" customWidth="1"/>
    <col min="13834" max="13834" width="12.7109375" style="240" customWidth="1"/>
    <col min="13835" max="13835" width="16.28515625" style="240" customWidth="1"/>
    <col min="13836" max="13836" width="5.85546875" style="240" customWidth="1"/>
    <col min="13837" max="13837" width="9.140625" style="240" hidden="1" customWidth="1"/>
    <col min="13838" max="14080" width="9.140625" style="240" hidden="1"/>
    <col min="14081" max="14081" width="35.28515625" style="240" customWidth="1"/>
    <col min="14082" max="14082" width="16.140625" style="240" customWidth="1"/>
    <col min="14083" max="14083" width="17.5703125" style="240" customWidth="1"/>
    <col min="14084" max="14084" width="6.7109375" style="240" customWidth="1"/>
    <col min="14085" max="14085" width="16.42578125" style="240" customWidth="1"/>
    <col min="14086" max="14086" width="12.28515625" style="240" customWidth="1"/>
    <col min="14087" max="14087" width="10.85546875" style="240" customWidth="1"/>
    <col min="14088" max="14088" width="12.140625" style="240" customWidth="1"/>
    <col min="14089" max="14089" width="10.7109375" style="240" customWidth="1"/>
    <col min="14090" max="14090" width="12.7109375" style="240" customWidth="1"/>
    <col min="14091" max="14091" width="16.28515625" style="240" customWidth="1"/>
    <col min="14092" max="14092" width="5.85546875" style="240" customWidth="1"/>
    <col min="14093" max="14093" width="9.140625" style="240" hidden="1" customWidth="1"/>
    <col min="14094" max="14336" width="9.140625" style="240" hidden="1"/>
    <col min="14337" max="14337" width="35.28515625" style="240" customWidth="1"/>
    <col min="14338" max="14338" width="16.140625" style="240" customWidth="1"/>
    <col min="14339" max="14339" width="17.5703125" style="240" customWidth="1"/>
    <col min="14340" max="14340" width="6.7109375" style="240" customWidth="1"/>
    <col min="14341" max="14341" width="16.42578125" style="240" customWidth="1"/>
    <col min="14342" max="14342" width="12.28515625" style="240" customWidth="1"/>
    <col min="14343" max="14343" width="10.85546875" style="240" customWidth="1"/>
    <col min="14344" max="14344" width="12.140625" style="240" customWidth="1"/>
    <col min="14345" max="14345" width="10.7109375" style="240" customWidth="1"/>
    <col min="14346" max="14346" width="12.7109375" style="240" customWidth="1"/>
    <col min="14347" max="14347" width="16.28515625" style="240" customWidth="1"/>
    <col min="14348" max="14348" width="5.85546875" style="240" customWidth="1"/>
    <col min="14349" max="14349" width="9.140625" style="240" hidden="1" customWidth="1"/>
    <col min="14350" max="14592" width="9.140625" style="240" hidden="1"/>
    <col min="14593" max="14593" width="35.28515625" style="240" customWidth="1"/>
    <col min="14594" max="14594" width="16.140625" style="240" customWidth="1"/>
    <col min="14595" max="14595" width="17.5703125" style="240" customWidth="1"/>
    <col min="14596" max="14596" width="6.7109375" style="240" customWidth="1"/>
    <col min="14597" max="14597" width="16.42578125" style="240" customWidth="1"/>
    <col min="14598" max="14598" width="12.28515625" style="240" customWidth="1"/>
    <col min="14599" max="14599" width="10.85546875" style="240" customWidth="1"/>
    <col min="14600" max="14600" width="12.140625" style="240" customWidth="1"/>
    <col min="14601" max="14601" width="10.7109375" style="240" customWidth="1"/>
    <col min="14602" max="14602" width="12.7109375" style="240" customWidth="1"/>
    <col min="14603" max="14603" width="16.28515625" style="240" customWidth="1"/>
    <col min="14604" max="14604" width="5.85546875" style="240" customWidth="1"/>
    <col min="14605" max="14605" width="9.140625" style="240" hidden="1" customWidth="1"/>
    <col min="14606" max="14848" width="9.140625" style="240" hidden="1"/>
    <col min="14849" max="14849" width="35.28515625" style="240" customWidth="1"/>
    <col min="14850" max="14850" width="16.140625" style="240" customWidth="1"/>
    <col min="14851" max="14851" width="17.5703125" style="240" customWidth="1"/>
    <col min="14852" max="14852" width="6.7109375" style="240" customWidth="1"/>
    <col min="14853" max="14853" width="16.42578125" style="240" customWidth="1"/>
    <col min="14854" max="14854" width="12.28515625" style="240" customWidth="1"/>
    <col min="14855" max="14855" width="10.85546875" style="240" customWidth="1"/>
    <col min="14856" max="14856" width="12.140625" style="240" customWidth="1"/>
    <col min="14857" max="14857" width="10.7109375" style="240" customWidth="1"/>
    <col min="14858" max="14858" width="12.7109375" style="240" customWidth="1"/>
    <col min="14859" max="14859" width="16.28515625" style="240" customWidth="1"/>
    <col min="14860" max="14860" width="5.85546875" style="240" customWidth="1"/>
    <col min="14861" max="14861" width="9.140625" style="240" hidden="1" customWidth="1"/>
    <col min="14862" max="15104" width="9.140625" style="240" hidden="1"/>
    <col min="15105" max="15105" width="35.28515625" style="240" customWidth="1"/>
    <col min="15106" max="15106" width="16.140625" style="240" customWidth="1"/>
    <col min="15107" max="15107" width="17.5703125" style="240" customWidth="1"/>
    <col min="15108" max="15108" width="6.7109375" style="240" customWidth="1"/>
    <col min="15109" max="15109" width="16.42578125" style="240" customWidth="1"/>
    <col min="15110" max="15110" width="12.28515625" style="240" customWidth="1"/>
    <col min="15111" max="15111" width="10.85546875" style="240" customWidth="1"/>
    <col min="15112" max="15112" width="12.140625" style="240" customWidth="1"/>
    <col min="15113" max="15113" width="10.7109375" style="240" customWidth="1"/>
    <col min="15114" max="15114" width="12.7109375" style="240" customWidth="1"/>
    <col min="15115" max="15115" width="16.28515625" style="240" customWidth="1"/>
    <col min="15116" max="15116" width="5.85546875" style="240" customWidth="1"/>
    <col min="15117" max="15117" width="9.140625" style="240" hidden="1" customWidth="1"/>
    <col min="15118" max="15360" width="9.140625" style="240" hidden="1"/>
    <col min="15361" max="15361" width="35.28515625" style="240" customWidth="1"/>
    <col min="15362" max="15362" width="16.140625" style="240" customWidth="1"/>
    <col min="15363" max="15363" width="17.5703125" style="240" customWidth="1"/>
    <col min="15364" max="15364" width="6.7109375" style="240" customWidth="1"/>
    <col min="15365" max="15365" width="16.42578125" style="240" customWidth="1"/>
    <col min="15366" max="15366" width="12.28515625" style="240" customWidth="1"/>
    <col min="15367" max="15367" width="10.85546875" style="240" customWidth="1"/>
    <col min="15368" max="15368" width="12.140625" style="240" customWidth="1"/>
    <col min="15369" max="15369" width="10.7109375" style="240" customWidth="1"/>
    <col min="15370" max="15370" width="12.7109375" style="240" customWidth="1"/>
    <col min="15371" max="15371" width="16.28515625" style="240" customWidth="1"/>
    <col min="15372" max="15372" width="5.85546875" style="240" customWidth="1"/>
    <col min="15373" max="15373" width="9.140625" style="240" hidden="1" customWidth="1"/>
    <col min="15374" max="15616" width="9.140625" style="240" hidden="1"/>
    <col min="15617" max="15617" width="35.28515625" style="240" customWidth="1"/>
    <col min="15618" max="15618" width="16.140625" style="240" customWidth="1"/>
    <col min="15619" max="15619" width="17.5703125" style="240" customWidth="1"/>
    <col min="15620" max="15620" width="6.7109375" style="240" customWidth="1"/>
    <col min="15621" max="15621" width="16.42578125" style="240" customWidth="1"/>
    <col min="15622" max="15622" width="12.28515625" style="240" customWidth="1"/>
    <col min="15623" max="15623" width="10.85546875" style="240" customWidth="1"/>
    <col min="15624" max="15624" width="12.140625" style="240" customWidth="1"/>
    <col min="15625" max="15625" width="10.7109375" style="240" customWidth="1"/>
    <col min="15626" max="15626" width="12.7109375" style="240" customWidth="1"/>
    <col min="15627" max="15627" width="16.28515625" style="240" customWidth="1"/>
    <col min="15628" max="15628" width="5.85546875" style="240" customWidth="1"/>
    <col min="15629" max="15629" width="9.140625" style="240" hidden="1" customWidth="1"/>
    <col min="15630" max="15872" width="9.140625" style="240" hidden="1"/>
    <col min="15873" max="15873" width="35.28515625" style="240" customWidth="1"/>
    <col min="15874" max="15874" width="16.140625" style="240" customWidth="1"/>
    <col min="15875" max="15875" width="17.5703125" style="240" customWidth="1"/>
    <col min="15876" max="15876" width="6.7109375" style="240" customWidth="1"/>
    <col min="15877" max="15877" width="16.42578125" style="240" customWidth="1"/>
    <col min="15878" max="15878" width="12.28515625" style="240" customWidth="1"/>
    <col min="15879" max="15879" width="10.85546875" style="240" customWidth="1"/>
    <col min="15880" max="15880" width="12.140625" style="240" customWidth="1"/>
    <col min="15881" max="15881" width="10.7109375" style="240" customWidth="1"/>
    <col min="15882" max="15882" width="12.7109375" style="240" customWidth="1"/>
    <col min="15883" max="15883" width="16.28515625" style="240" customWidth="1"/>
    <col min="15884" max="15884" width="5.85546875" style="240" customWidth="1"/>
    <col min="15885" max="15885" width="9.140625" style="240" hidden="1" customWidth="1"/>
    <col min="15886" max="16128" width="9.140625" style="240" hidden="1"/>
    <col min="16129" max="16129" width="35.28515625" style="240" customWidth="1"/>
    <col min="16130" max="16130" width="16.140625" style="240" customWidth="1"/>
    <col min="16131" max="16131" width="17.5703125" style="240" customWidth="1"/>
    <col min="16132" max="16132" width="6.7109375" style="240" customWidth="1"/>
    <col min="16133" max="16133" width="16.42578125" style="240" customWidth="1"/>
    <col min="16134" max="16134" width="12.28515625" style="240" customWidth="1"/>
    <col min="16135" max="16135" width="10.85546875" style="240" customWidth="1"/>
    <col min="16136" max="16136" width="12.140625" style="240" customWidth="1"/>
    <col min="16137" max="16137" width="10.7109375" style="240" customWidth="1"/>
    <col min="16138" max="16138" width="12.7109375" style="240" customWidth="1"/>
    <col min="16139" max="16139" width="16.28515625" style="240" customWidth="1"/>
    <col min="16140" max="16140" width="5.85546875" style="240" customWidth="1"/>
    <col min="16141" max="16141" width="9.140625" style="240" hidden="1" customWidth="1"/>
    <col min="16142" max="16384" width="9.140625" style="240" hidden="1"/>
  </cols>
  <sheetData>
    <row r="1" spans="1:256" ht="18">
      <c r="A1" s="675" t="s">
        <v>331</v>
      </c>
      <c r="B1" s="675"/>
      <c r="C1" s="675"/>
      <c r="D1" s="675"/>
      <c r="E1" s="675"/>
      <c r="F1" s="675"/>
      <c r="G1" s="675"/>
      <c r="H1" s="675"/>
      <c r="I1" s="675"/>
      <c r="J1" s="675"/>
      <c r="K1" s="675"/>
      <c r="L1" s="675"/>
    </row>
    <row r="2" spans="1:256" s="286" customFormat="1" ht="12">
      <c r="A2" s="290" t="s">
        <v>332</v>
      </c>
      <c r="B2" s="290" t="str">
        <f>'(1)Basic Info and loan request'!C9</f>
        <v>meron</v>
      </c>
      <c r="C2" s="290" t="str">
        <f>'(1)Basic Info and loan request'!D9</f>
        <v>dagne</v>
      </c>
      <c r="D2" s="290"/>
      <c r="E2" s="290" t="s">
        <v>333</v>
      </c>
      <c r="F2" s="290" t="str">
        <f>'(1)Basic Info and loan request'!C3</f>
        <v>tkus café and restourant</v>
      </c>
      <c r="G2" s="290"/>
      <c r="H2" s="290" t="str">
        <f>'(1)Basic Info and loan request'!B4</f>
        <v>Loan Product</v>
      </c>
      <c r="I2" s="290" t="str">
        <f>'(1)Basic Info and loan request'!C4</f>
        <v>WEDP</v>
      </c>
      <c r="J2" s="290" t="s">
        <v>334</v>
      </c>
      <c r="K2" s="290" t="str">
        <f>'(1)Basic Info and loan request'!F3</f>
        <v>kibret</v>
      </c>
      <c r="L2" s="290"/>
      <c r="M2" s="285"/>
      <c r="N2" s="285"/>
      <c r="O2" s="285"/>
      <c r="P2" s="285"/>
      <c r="Q2" s="285"/>
      <c r="R2" s="285"/>
      <c r="S2" s="285"/>
      <c r="T2" s="285"/>
      <c r="U2" s="285"/>
      <c r="V2" s="285"/>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7"/>
      <c r="AV2" s="287"/>
      <c r="AW2" s="287"/>
      <c r="AX2" s="287"/>
      <c r="AY2" s="287"/>
      <c r="AZ2" s="287"/>
      <c r="BA2" s="287"/>
      <c r="BB2" s="287"/>
      <c r="BC2" s="287"/>
      <c r="BD2" s="287"/>
      <c r="BE2" s="287"/>
      <c r="BF2" s="287"/>
      <c r="BG2" s="287"/>
      <c r="BH2" s="287"/>
      <c r="BI2" s="287"/>
      <c r="BJ2" s="287"/>
      <c r="BK2" s="287"/>
      <c r="BL2" s="287"/>
      <c r="BM2" s="287"/>
      <c r="BN2" s="287"/>
      <c r="BO2" s="287"/>
      <c r="BP2" s="287"/>
      <c r="BQ2" s="287"/>
      <c r="BR2" s="287"/>
      <c r="BS2" s="287"/>
      <c r="BT2" s="287"/>
      <c r="BU2" s="287"/>
      <c r="BV2" s="287"/>
      <c r="BW2" s="287"/>
      <c r="BX2" s="287"/>
      <c r="BY2" s="287"/>
      <c r="BZ2" s="287"/>
      <c r="CA2" s="287"/>
      <c r="CB2" s="287"/>
      <c r="CC2" s="287"/>
      <c r="CD2" s="287"/>
      <c r="CE2" s="287"/>
      <c r="CF2" s="287"/>
      <c r="CG2" s="287"/>
      <c r="CH2" s="287"/>
      <c r="CI2" s="287"/>
      <c r="CJ2" s="287"/>
      <c r="CK2" s="287"/>
      <c r="CL2" s="287"/>
      <c r="CM2" s="287"/>
      <c r="CN2" s="287"/>
      <c r="CO2" s="287"/>
      <c r="CP2" s="287"/>
      <c r="CQ2" s="287"/>
      <c r="CR2" s="287"/>
      <c r="CS2" s="287"/>
      <c r="CT2" s="287"/>
      <c r="CU2" s="287"/>
      <c r="CV2" s="287"/>
      <c r="CW2" s="287"/>
      <c r="CX2" s="287"/>
      <c r="CY2" s="287"/>
      <c r="CZ2" s="287"/>
      <c r="DA2" s="287"/>
      <c r="DB2" s="287"/>
      <c r="DC2" s="287"/>
      <c r="DD2" s="287"/>
      <c r="DE2" s="287"/>
      <c r="DF2" s="287"/>
      <c r="DG2" s="287"/>
      <c r="DH2" s="287"/>
      <c r="DI2" s="287"/>
      <c r="DJ2" s="287"/>
      <c r="DK2" s="287"/>
      <c r="DL2" s="287"/>
      <c r="DM2" s="287"/>
      <c r="DN2" s="287"/>
      <c r="DO2" s="287"/>
      <c r="DP2" s="287"/>
      <c r="DQ2" s="287"/>
      <c r="DR2" s="287"/>
      <c r="DS2" s="287"/>
      <c r="DT2" s="287"/>
      <c r="DU2" s="287"/>
      <c r="DV2" s="287"/>
      <c r="DW2" s="287"/>
      <c r="DX2" s="287"/>
      <c r="DY2" s="287"/>
      <c r="DZ2" s="287"/>
      <c r="EA2" s="287"/>
      <c r="EB2" s="287"/>
      <c r="EC2" s="287"/>
      <c r="ED2" s="287"/>
      <c r="EE2" s="287"/>
      <c r="EF2" s="287"/>
      <c r="EG2" s="287"/>
      <c r="EH2" s="287"/>
      <c r="EI2" s="287"/>
      <c r="EJ2" s="287"/>
      <c r="EK2" s="287"/>
      <c r="EL2" s="287"/>
      <c r="EM2" s="287"/>
      <c r="EN2" s="287"/>
      <c r="EO2" s="287"/>
      <c r="EP2" s="287"/>
      <c r="EQ2" s="287"/>
      <c r="ER2" s="287"/>
      <c r="ES2" s="287"/>
      <c r="ET2" s="287"/>
      <c r="EU2" s="287"/>
      <c r="EV2" s="287"/>
      <c r="EW2" s="287"/>
      <c r="EX2" s="287"/>
      <c r="EY2" s="287"/>
      <c r="EZ2" s="287"/>
      <c r="FA2" s="287"/>
      <c r="FB2" s="287"/>
      <c r="FC2" s="287"/>
      <c r="FD2" s="287"/>
      <c r="FE2" s="287"/>
      <c r="FF2" s="287"/>
      <c r="FG2" s="287"/>
      <c r="FH2" s="287"/>
      <c r="FI2" s="287"/>
      <c r="FJ2" s="287"/>
      <c r="FK2" s="287"/>
      <c r="FL2" s="287"/>
      <c r="FM2" s="287"/>
      <c r="FN2" s="287"/>
      <c r="FO2" s="287"/>
      <c r="FP2" s="287"/>
      <c r="FQ2" s="287"/>
      <c r="FR2" s="287"/>
      <c r="FS2" s="287"/>
      <c r="FT2" s="287"/>
      <c r="FU2" s="287"/>
      <c r="FV2" s="287"/>
      <c r="FW2" s="287"/>
      <c r="FX2" s="287"/>
      <c r="FY2" s="287"/>
      <c r="FZ2" s="287"/>
      <c r="GA2" s="287"/>
      <c r="GB2" s="287"/>
      <c r="GC2" s="287"/>
      <c r="GD2" s="287"/>
      <c r="GE2" s="287"/>
      <c r="GF2" s="287"/>
      <c r="GG2" s="287"/>
      <c r="GH2" s="287"/>
      <c r="GI2" s="287"/>
      <c r="GJ2" s="287"/>
      <c r="GK2" s="287"/>
      <c r="GL2" s="287"/>
      <c r="GM2" s="287"/>
      <c r="GN2" s="287"/>
      <c r="GO2" s="287"/>
      <c r="GP2" s="287"/>
      <c r="GQ2" s="287"/>
      <c r="GR2" s="287"/>
      <c r="GS2" s="287"/>
      <c r="GT2" s="287"/>
      <c r="GU2" s="287"/>
      <c r="GV2" s="287"/>
      <c r="GW2" s="287"/>
      <c r="GX2" s="287"/>
      <c r="GY2" s="287"/>
      <c r="GZ2" s="287"/>
      <c r="HA2" s="287"/>
      <c r="HB2" s="287"/>
      <c r="HC2" s="287"/>
      <c r="HD2" s="287"/>
      <c r="HE2" s="287"/>
      <c r="HF2" s="287"/>
      <c r="HG2" s="287"/>
      <c r="HH2" s="287"/>
      <c r="HI2" s="287"/>
      <c r="HJ2" s="287"/>
      <c r="HK2" s="287"/>
      <c r="HL2" s="287"/>
      <c r="HM2" s="287"/>
      <c r="HN2" s="287"/>
      <c r="HO2" s="287"/>
      <c r="HP2" s="287"/>
      <c r="HQ2" s="287"/>
      <c r="HR2" s="287"/>
      <c r="HS2" s="287"/>
      <c r="HT2" s="287"/>
      <c r="HU2" s="287"/>
      <c r="HV2" s="287"/>
      <c r="HW2" s="287"/>
      <c r="HX2" s="287"/>
      <c r="HY2" s="287"/>
      <c r="HZ2" s="287"/>
      <c r="IA2" s="287"/>
      <c r="IB2" s="287"/>
      <c r="IC2" s="287"/>
      <c r="ID2" s="287"/>
      <c r="IE2" s="287"/>
      <c r="IF2" s="287"/>
      <c r="IG2" s="287"/>
      <c r="IH2" s="287"/>
      <c r="II2" s="287"/>
      <c r="IJ2" s="287"/>
      <c r="IK2" s="287"/>
      <c r="IL2" s="287"/>
      <c r="IM2" s="287"/>
      <c r="IN2" s="287"/>
      <c r="IO2" s="287"/>
      <c r="IP2" s="287"/>
      <c r="IQ2" s="287"/>
      <c r="IR2" s="287"/>
      <c r="IS2" s="287"/>
      <c r="IT2" s="287"/>
      <c r="IU2" s="287"/>
      <c r="IV2" s="287"/>
    </row>
    <row r="3" spans="1:256" s="286" customFormat="1" ht="12">
      <c r="A3" s="290"/>
      <c r="B3" s="290"/>
      <c r="C3" s="290"/>
      <c r="D3" s="290"/>
      <c r="E3" s="290"/>
      <c r="F3" s="290"/>
      <c r="G3" s="290"/>
      <c r="H3" s="290"/>
      <c r="I3" s="290"/>
      <c r="J3" s="290" t="s">
        <v>38</v>
      </c>
      <c r="K3" s="290" t="str">
        <f>'(1)Basic Info and loan request'!F4</f>
        <v>mekelle</v>
      </c>
      <c r="L3" s="290"/>
    </row>
    <row r="4" spans="1:256" ht="12">
      <c r="A4" s="288"/>
      <c r="B4" s="288"/>
      <c r="C4" s="288"/>
      <c r="D4" s="288"/>
      <c r="E4" s="288"/>
      <c r="F4" s="288"/>
      <c r="G4" s="288"/>
      <c r="H4" s="288"/>
      <c r="I4" s="288"/>
      <c r="J4" s="288"/>
      <c r="K4" s="288"/>
      <c r="L4" s="288"/>
    </row>
    <row r="5" spans="1:256" ht="12">
      <c r="A5" s="574"/>
      <c r="B5" s="574"/>
      <c r="C5" s="574"/>
      <c r="D5" s="574"/>
      <c r="E5" s="574"/>
      <c r="F5" s="574"/>
      <c r="G5" s="574"/>
      <c r="H5" s="574"/>
      <c r="I5" s="574"/>
      <c r="J5" s="574"/>
      <c r="K5" s="574"/>
      <c r="L5" s="574"/>
    </row>
    <row r="6" spans="1:256" ht="12.75" thickBot="1">
      <c r="A6" s="778" t="s">
        <v>335</v>
      </c>
      <c r="B6" s="779"/>
      <c r="C6" s="779"/>
      <c r="D6" s="779"/>
      <c r="E6" s="779"/>
      <c r="F6" s="779"/>
      <c r="G6" s="779"/>
      <c r="H6" s="779"/>
      <c r="I6" s="779"/>
      <c r="J6" s="779"/>
      <c r="K6" s="779"/>
      <c r="L6" s="779"/>
    </row>
    <row r="7" spans="1:256" s="290" customFormat="1" ht="12" hidden="1">
      <c r="A7" s="289"/>
      <c r="B7" s="289"/>
      <c r="C7" s="289"/>
      <c r="D7" s="289"/>
      <c r="E7" s="289"/>
      <c r="F7" s="289"/>
      <c r="G7" s="289"/>
      <c r="I7" s="289"/>
      <c r="J7" s="289"/>
      <c r="K7" s="289"/>
      <c r="L7" s="289"/>
    </row>
    <row r="8" spans="1:256" ht="12" hidden="1">
      <c r="A8" s="291" t="s">
        <v>336</v>
      </c>
      <c r="B8" s="292" t="e">
        <f>#REF!</f>
        <v>#REF!</v>
      </c>
      <c r="C8" s="290"/>
      <c r="D8" s="290"/>
      <c r="E8" s="293" t="s">
        <v>337</v>
      </c>
      <c r="F8" s="289"/>
      <c r="G8" s="290"/>
      <c r="H8" s="290"/>
      <c r="I8" s="290"/>
      <c r="J8" s="294" t="s">
        <v>338</v>
      </c>
      <c r="K8" s="295" t="e">
        <f>#REF!</f>
        <v>#REF!</v>
      </c>
      <c r="L8" s="290"/>
    </row>
    <row r="9" spans="1:256" ht="12" hidden="1">
      <c r="A9" s="291" t="s">
        <v>339</v>
      </c>
      <c r="B9" s="296" t="str">
        <f>'(1)Basic Info and loan request'!C9</f>
        <v>meron</v>
      </c>
      <c r="C9" s="290"/>
      <c r="D9" s="297" t="s">
        <v>340</v>
      </c>
      <c r="E9" s="298" t="e">
        <f>#REF!</f>
        <v>#REF!</v>
      </c>
      <c r="F9" s="289"/>
      <c r="G9" s="290"/>
      <c r="H9" s="290"/>
      <c r="I9" s="299"/>
      <c r="J9" s="294" t="s">
        <v>341</v>
      </c>
      <c r="K9" s="295" t="e">
        <f>#REF!</f>
        <v>#REF!</v>
      </c>
      <c r="L9" s="290"/>
    </row>
    <row r="10" spans="1:256" ht="12" hidden="1">
      <c r="A10" s="300" t="s">
        <v>342</v>
      </c>
      <c r="B10" s="301" t="str">
        <f>'(1)Basic Info and loan request'!C31</f>
        <v>Service</v>
      </c>
      <c r="C10" s="290"/>
      <c r="D10" s="297" t="s">
        <v>343</v>
      </c>
      <c r="E10" s="302" t="e">
        <f>#REF!</f>
        <v>#REF!</v>
      </c>
      <c r="F10" s="289"/>
      <c r="G10" s="290"/>
      <c r="H10" s="290"/>
      <c r="I10" s="290"/>
      <c r="J10" s="303" t="s">
        <v>344</v>
      </c>
      <c r="K10" s="295" t="e">
        <f>#REF!</f>
        <v>#REF!</v>
      </c>
      <c r="L10" s="290"/>
    </row>
    <row r="11" spans="1:256" ht="12" hidden="1">
      <c r="A11" s="304" t="s">
        <v>345</v>
      </c>
      <c r="B11" s="305"/>
      <c r="C11" s="290"/>
      <c r="D11" s="297" t="s">
        <v>215</v>
      </c>
      <c r="E11" s="306" t="e">
        <f>#REF!</f>
        <v>#REF!</v>
      </c>
      <c r="F11" s="289"/>
      <c r="G11" s="290"/>
      <c r="H11" s="290"/>
      <c r="I11" s="290"/>
      <c r="J11" s="294" t="s">
        <v>76</v>
      </c>
      <c r="K11" s="307" t="e">
        <f>#REF!</f>
        <v>#REF!</v>
      </c>
      <c r="L11" s="290"/>
    </row>
    <row r="12" spans="1:256" ht="12" hidden="1">
      <c r="A12" s="304" t="s">
        <v>346</v>
      </c>
      <c r="B12" s="305" t="e">
        <f>#REF!</f>
        <v>#REF!</v>
      </c>
      <c r="C12" s="290"/>
      <c r="D12" s="308"/>
      <c r="E12" s="306"/>
      <c r="F12" s="289"/>
      <c r="G12" s="290"/>
      <c r="H12" s="290"/>
      <c r="I12" s="290"/>
      <c r="J12" s="294" t="s">
        <v>347</v>
      </c>
      <c r="K12" s="307" t="e">
        <f>#REF!</f>
        <v>#REF!</v>
      </c>
      <c r="L12" s="290"/>
    </row>
    <row r="13" spans="1:256" ht="12" hidden="1">
      <c r="A13" s="290"/>
      <c r="B13" s="290"/>
      <c r="C13" s="290"/>
      <c r="D13" s="308"/>
      <c r="E13" s="309"/>
      <c r="F13" s="289"/>
      <c r="G13" s="290"/>
      <c r="H13" s="290"/>
      <c r="I13" s="290"/>
      <c r="J13" s="290"/>
      <c r="K13" s="290"/>
      <c r="L13" s="290"/>
    </row>
    <row r="14" spans="1:256" ht="12" hidden="1">
      <c r="A14" s="290"/>
      <c r="B14" s="290"/>
      <c r="C14" s="290"/>
      <c r="D14" s="308"/>
      <c r="E14" s="309"/>
      <c r="F14" s="289"/>
      <c r="G14" s="290"/>
      <c r="H14" s="290"/>
      <c r="I14" s="290"/>
      <c r="J14" s="290"/>
      <c r="K14" s="290"/>
      <c r="L14" s="290"/>
    </row>
    <row r="15" spans="1:256" ht="12" hidden="1">
      <c r="A15" s="310" t="s">
        <v>348</v>
      </c>
      <c r="B15" s="290"/>
      <c r="C15" s="290"/>
      <c r="D15" s="311"/>
      <c r="E15" s="298"/>
      <c r="F15" s="312"/>
      <c r="G15" s="290"/>
      <c r="H15" s="290"/>
      <c r="I15" s="290"/>
      <c r="J15" s="290"/>
      <c r="K15" s="290"/>
      <c r="L15" s="290"/>
    </row>
    <row r="16" spans="1:256" ht="12.75" hidden="1" thickBot="1">
      <c r="A16" s="313"/>
      <c r="B16" s="314"/>
      <c r="C16" s="315"/>
      <c r="D16" s="316"/>
      <c r="E16" s="316"/>
      <c r="F16" s="316"/>
      <c r="G16" s="316"/>
      <c r="H16" s="316"/>
      <c r="I16" s="316"/>
      <c r="J16" s="317"/>
      <c r="K16" s="317"/>
      <c r="L16" s="316"/>
    </row>
    <row r="17" spans="1:12" ht="12">
      <c r="A17" s="318"/>
      <c r="B17" s="296"/>
      <c r="C17" s="296"/>
      <c r="D17" s="296"/>
      <c r="E17" s="319"/>
      <c r="F17" s="319"/>
      <c r="G17" s="290"/>
      <c r="H17" s="320"/>
      <c r="I17" s="774" t="s">
        <v>471</v>
      </c>
      <c r="J17" s="774"/>
      <c r="K17" s="774"/>
      <c r="L17" s="290"/>
    </row>
    <row r="18" spans="1:12" ht="12">
      <c r="A18" s="575" t="s">
        <v>349</v>
      </c>
      <c r="B18" s="576"/>
      <c r="C18" s="576" t="s">
        <v>350</v>
      </c>
      <c r="D18" s="576"/>
      <c r="E18" s="576" t="s">
        <v>351</v>
      </c>
      <c r="F18" s="483" t="s">
        <v>352</v>
      </c>
      <c r="G18" s="577" t="s">
        <v>353</v>
      </c>
      <c r="H18" s="483" t="s">
        <v>354</v>
      </c>
      <c r="I18" s="578" t="s">
        <v>355</v>
      </c>
      <c r="J18" s="578" t="s">
        <v>356</v>
      </c>
      <c r="K18" s="578" t="s">
        <v>357</v>
      </c>
      <c r="L18" s="579"/>
    </row>
    <row r="19" spans="1:12" ht="12.75" customHeight="1">
      <c r="A19" s="322" t="s">
        <v>358</v>
      </c>
      <c r="B19" s="296"/>
      <c r="C19" s="627">
        <f>'(3)Cashflow Analysis'!J79*B50/100</f>
        <v>0</v>
      </c>
      <c r="D19" s="323"/>
      <c r="E19" s="627">
        <f>'(3)Cashflow Analysis'!L79*B50</f>
        <v>2.5510231979270808</v>
      </c>
      <c r="F19" s="482" t="str">
        <f>IF(H19&gt;=5,L61,L60)</f>
        <v>√</v>
      </c>
      <c r="G19" s="324">
        <v>10</v>
      </c>
      <c r="H19" s="483">
        <f>IF((E19+C19)/2&gt;1,10,IF((E19+C19)/2&gt;=0.75, 5,0))</f>
        <v>10</v>
      </c>
      <c r="I19" s="326" t="s">
        <v>359</v>
      </c>
      <c r="J19" s="326">
        <v>1</v>
      </c>
      <c r="K19" s="326" t="s">
        <v>360</v>
      </c>
      <c r="L19" s="290"/>
    </row>
    <row r="20" spans="1:12" ht="12">
      <c r="A20" s="322" t="s">
        <v>191</v>
      </c>
      <c r="B20" s="296"/>
      <c r="C20" s="627">
        <f>'(3)Cashflow Analysis'!J80*B50</f>
        <v>-1.1540816326530612</v>
      </c>
      <c r="D20" s="627"/>
      <c r="E20" s="627">
        <f>'(3)Cashflow Analysis'!L80*B50</f>
        <v>0.72496052645522246</v>
      </c>
      <c r="F20" s="482" t="str">
        <f>IF(H20&gt;=5,$L$61,$L$60)</f>
        <v>√</v>
      </c>
      <c r="G20" s="324">
        <v>10</v>
      </c>
      <c r="H20" s="483">
        <f>IF((E20+C20)/2&lt;=2,G20,IF((E20+C20)/2&lt;=(80%*2),(60%*G20),0))</f>
        <v>10</v>
      </c>
      <c r="I20" s="326" t="s">
        <v>361</v>
      </c>
      <c r="J20" s="326">
        <v>2</v>
      </c>
      <c r="K20" s="326" t="s">
        <v>362</v>
      </c>
      <c r="L20" s="290"/>
    </row>
    <row r="21" spans="1:12" ht="24" customHeight="1">
      <c r="A21" s="327" t="s">
        <v>363</v>
      </c>
      <c r="B21" s="296"/>
      <c r="C21" s="323">
        <f>'(3)Cashflow Analysis'!J85*B50</f>
        <v>4.5370791363981846</v>
      </c>
      <c r="D21" s="323"/>
      <c r="E21" s="323">
        <f>'(3)Cashflow Analysis'!L85*B50</f>
        <v>6.122819561233813</v>
      </c>
      <c r="F21" s="482" t="str">
        <f>IF(H21&gt;=15,$L$61,$L$60)</f>
        <v>√</v>
      </c>
      <c r="G21" s="324">
        <v>25</v>
      </c>
      <c r="H21" s="483">
        <f>IF((E21+C21)/2&gt;=1.5,G21,IF((E21+C21)/2&gt;=1.3,(70%*G21),IF((E21+C21)/2&gt;1.2,40%*G21,0)))</f>
        <v>25</v>
      </c>
      <c r="I21" s="326" t="s">
        <v>364</v>
      </c>
      <c r="J21" s="326">
        <v>1.5</v>
      </c>
      <c r="K21" s="326" t="s">
        <v>365</v>
      </c>
      <c r="L21" s="290"/>
    </row>
    <row r="22" spans="1:12" ht="12">
      <c r="A22" s="322" t="s">
        <v>366</v>
      </c>
      <c r="B22" s="296"/>
      <c r="C22" s="323">
        <f>'(3)Cashflow Analysis'!J87*B50</f>
        <v>4.5370791363981846</v>
      </c>
      <c r="D22" s="323"/>
      <c r="E22" s="323">
        <f>'(3)Cashflow Analysis'!L87*B50</f>
        <v>4.5370791363981846</v>
      </c>
      <c r="F22" s="482" t="str">
        <f>IF(H22&gt;=20,$L$61,$L$60)</f>
        <v>√</v>
      </c>
      <c r="G22" s="324">
        <v>35</v>
      </c>
      <c r="H22" s="483">
        <f>IF((E22+C22)/2&gt;=1.25,G22,IF((E22+C22)/2&gt;=1.15,(80%*G22),0))</f>
        <v>35</v>
      </c>
      <c r="I22" s="326" t="s">
        <v>367</v>
      </c>
      <c r="J22" s="326">
        <v>1.1499999999999999</v>
      </c>
      <c r="K22" s="326" t="s">
        <v>368</v>
      </c>
      <c r="L22" s="290"/>
    </row>
    <row r="23" spans="1:12" ht="12">
      <c r="A23" s="322" t="s">
        <v>369</v>
      </c>
      <c r="B23" s="296"/>
      <c r="C23" s="323" t="s">
        <v>44</v>
      </c>
      <c r="D23" s="323"/>
      <c r="E23" s="323">
        <f>COUNTIF('(3)Cashflow Analysis'!B146:M146,"&lt;0")</f>
        <v>0</v>
      </c>
      <c r="F23" s="482" t="str">
        <f>IF(H23&gt;=8,$L$61,$L$60)</f>
        <v>√</v>
      </c>
      <c r="G23" s="324">
        <v>15</v>
      </c>
      <c r="H23" s="483">
        <f>IF(E23&lt;=2,G23,IF(E23&lt;=3,(70%*G23),0))</f>
        <v>15</v>
      </c>
      <c r="I23" s="326">
        <v>0</v>
      </c>
      <c r="J23" s="326">
        <v>2</v>
      </c>
      <c r="K23" s="326" t="s">
        <v>370</v>
      </c>
      <c r="L23" s="290"/>
    </row>
    <row r="24" spans="1:12" ht="12">
      <c r="A24" s="322" t="s">
        <v>371</v>
      </c>
      <c r="B24" s="296"/>
      <c r="C24" s="328">
        <f>'(3)Cashflow Analysis'!J84*B50</f>
        <v>0.16149972102311105</v>
      </c>
      <c r="D24" s="328"/>
      <c r="E24" s="328">
        <f>'(3)Cashflow Analysis'!L84*B50</f>
        <v>0.16149972102311105</v>
      </c>
      <c r="F24" s="482" t="str">
        <f>IF(H24&gt;=3,$L$61,$L$60)</f>
        <v>√</v>
      </c>
      <c r="G24" s="324">
        <v>5</v>
      </c>
      <c r="H24" s="483">
        <f>IF((E24+C24)/2&gt;=25%,G24,IF((E24+C24)/2&gt;=20%,(80%*G24),IF((E24+C24)/2&gt;=10%,70%*G24,0)))</f>
        <v>3.5</v>
      </c>
      <c r="I24" s="326" t="s">
        <v>372</v>
      </c>
      <c r="J24" s="329">
        <v>0.2</v>
      </c>
      <c r="K24" s="326" t="s">
        <v>373</v>
      </c>
      <c r="L24" s="290"/>
    </row>
    <row r="25" spans="1:12" s="332" customFormat="1" ht="12.75" thickBot="1">
      <c r="A25" s="330"/>
      <c r="B25" s="331"/>
      <c r="C25" s="581"/>
      <c r="D25" s="582"/>
      <c r="E25" s="583" t="s">
        <v>470</v>
      </c>
      <c r="F25" s="584"/>
      <c r="G25" s="585">
        <f>SUM(G19:G24)</f>
        <v>100</v>
      </c>
      <c r="H25" s="500">
        <f>SUM(H19:H24)</f>
        <v>98.5</v>
      </c>
      <c r="I25" s="331"/>
      <c r="J25" s="331"/>
      <c r="K25" s="331"/>
      <c r="L25" s="331"/>
    </row>
    <row r="26" spans="1:12" ht="12">
      <c r="A26" s="580" t="s">
        <v>374</v>
      </c>
      <c r="B26" s="483"/>
      <c r="C26" s="483"/>
      <c r="D26" s="483"/>
      <c r="E26" s="483" t="s">
        <v>102</v>
      </c>
      <c r="F26" s="296"/>
      <c r="G26" s="320"/>
      <c r="H26" s="333"/>
      <c r="I26" s="290"/>
      <c r="J26" s="290"/>
      <c r="K26" s="290"/>
      <c r="L26" s="290"/>
    </row>
    <row r="27" spans="1:12" ht="12">
      <c r="A27" s="322" t="s">
        <v>375</v>
      </c>
      <c r="B27" s="296"/>
      <c r="C27" s="334" t="str">
        <f>IF(E27&gt;=10, "Credit Worthy", IF(E27&gt;=5, "Moderate", "No/Poor Credit History"))</f>
        <v>Credit Worthy</v>
      </c>
      <c r="D27" s="296">
        <f>IF(E27&gt;=10,3,IF(E28&gt;=5,2,1))</f>
        <v>3</v>
      </c>
      <c r="E27" s="325">
        <f>'(2)Bus. and Character Assess.'!I13</f>
        <v>10</v>
      </c>
      <c r="F27" s="335" t="str">
        <f>IF(E27&lt;0, "REJECT LOAN REQUEST AND DO NOT SPEND ANY MORE TIME IN ANALYSIS","")</f>
        <v/>
      </c>
      <c r="G27" s="290"/>
      <c r="H27" s="290"/>
      <c r="I27" s="290"/>
      <c r="J27" s="290"/>
      <c r="K27" s="290"/>
      <c r="L27" s="290"/>
    </row>
    <row r="28" spans="1:12" ht="12">
      <c r="A28" s="322" t="str">
        <f>'(2)Bus. and Character Assess.'!B18</f>
        <v>Years of business operation (Ref. application form ser.no. 2.5 and loan application date)</v>
      </c>
      <c r="B28" s="296"/>
      <c r="C28" s="336" t="str">
        <f>'(2)Bus. and Character Assess.'!C18</f>
        <v>&gt; 24 months</v>
      </c>
      <c r="D28" s="296">
        <f>IF(E28&gt;5,3,IF(E28=5,2,1))</f>
        <v>3</v>
      </c>
      <c r="E28" s="325">
        <f>'(2)Bus. and Character Assess.'!J18</f>
        <v>10</v>
      </c>
      <c r="F28" s="296"/>
      <c r="G28" s="290"/>
      <c r="H28" s="290"/>
      <c r="I28" s="290"/>
      <c r="J28" s="290"/>
      <c r="K28" s="290"/>
      <c r="L28" s="290"/>
    </row>
    <row r="29" spans="1:12" ht="12">
      <c r="A29" s="322" t="str">
        <f>'(2)Bus. and Character Assess.'!B21</f>
        <v>Management Competence (Ref. application form ser.no. 5)</v>
      </c>
      <c r="B29" s="296"/>
      <c r="C29" s="337" t="str">
        <f>'(2)Bus. and Character Assess.'!C21</f>
        <v>Competent/ well performing</v>
      </c>
      <c r="D29" s="296">
        <f>IF(E29&gt;5,3,IF(E29=5,2,1))</f>
        <v>3</v>
      </c>
      <c r="E29" s="325">
        <f>'(2)Bus. and Character Assess.'!J21</f>
        <v>15</v>
      </c>
      <c r="F29" s="296"/>
      <c r="G29" s="290"/>
      <c r="H29" s="290"/>
      <c r="I29" s="290"/>
      <c r="J29" s="290"/>
      <c r="K29" s="290"/>
      <c r="L29" s="290"/>
    </row>
    <row r="30" spans="1:12" ht="12">
      <c r="A30" s="322" t="str">
        <f>'(2)Bus. and Character Assess.'!B24</f>
        <v>Supplier quality (Ref. application form ser no. 7)</v>
      </c>
      <c r="B30" s="296"/>
      <c r="C30" s="337" t="str">
        <f>'(2)Bus. and Character Assess.'!C24</f>
        <v>Satisfactory/ Adequate supply chain</v>
      </c>
      <c r="D30" s="296">
        <f>IF(E30&gt;5,3,IF(E30=5,2,1))</f>
        <v>3</v>
      </c>
      <c r="E30" s="325">
        <f>'(2)Bus. and Character Assess.'!J24</f>
        <v>9</v>
      </c>
      <c r="F30" s="296"/>
      <c r="G30" s="290"/>
      <c r="H30" s="290"/>
      <c r="I30" s="290"/>
      <c r="J30" s="290"/>
      <c r="K30" s="290"/>
      <c r="L30" s="290"/>
    </row>
    <row r="31" spans="1:12" ht="12">
      <c r="A31" s="322" t="str">
        <f>'(2)Bus. and Character Assess.'!B27</f>
        <v>Sales Prospects/ Market Suitability (Ref. application form ser.no. 8)</v>
      </c>
      <c r="B31" s="296"/>
      <c r="C31" s="337" t="str">
        <f>'(2)Bus. and Character Assess.'!C27</f>
        <v>Very good/ High demand projection</v>
      </c>
      <c r="D31" s="296">
        <f>IF(E31&gt;5,3,IF(E31=5,2,1))</f>
        <v>3</v>
      </c>
      <c r="E31" s="325">
        <f>'(2)Bus. and Character Assess.'!J27</f>
        <v>15</v>
      </c>
      <c r="F31" s="296"/>
      <c r="G31" s="290"/>
      <c r="H31" s="290"/>
      <c r="I31" s="290"/>
      <c r="J31" s="290"/>
      <c r="K31" s="290"/>
      <c r="L31" s="290"/>
    </row>
    <row r="32" spans="1:12" ht="12">
      <c r="A32" s="322" t="str">
        <f>'(2)Bus. and Character Assess.'!B30</f>
        <v>Project plan (Preparation)-Ref. application form ser.no.3.1 to 3.8</v>
      </c>
      <c r="B32" s="296"/>
      <c r="C32" s="337" t="str">
        <f>'(2)Bus. and Character Assess.'!C30</f>
        <v>Well planned</v>
      </c>
      <c r="D32" s="296">
        <f>IF(E32&gt;5,3,IF(E32=5,2,1))</f>
        <v>3</v>
      </c>
      <c r="E32" s="325">
        <f>'(2)Bus. and Character Assess.'!J30</f>
        <v>10</v>
      </c>
      <c r="F32" s="296"/>
      <c r="G32" s="290"/>
      <c r="H32" s="290"/>
      <c r="I32" s="290"/>
      <c r="J32" s="290"/>
      <c r="K32" s="290"/>
      <c r="L32" s="290"/>
    </row>
    <row r="33" spans="1:12" ht="12">
      <c r="A33" s="322" t="str">
        <f>'(2)Bus. and Character Assess.'!B33</f>
        <v>Savings record-( (Ref. application form ser.no. 10 and 9)</v>
      </c>
      <c r="B33" s="296"/>
      <c r="C33" s="337" t="str">
        <f>'(2)Bus. and Character Assess.'!C33</f>
        <v>Some savings habit</v>
      </c>
      <c r="D33" s="296">
        <f>IF(E33&gt;3,3,IF(E33=3,2,1))</f>
        <v>2</v>
      </c>
      <c r="E33" s="325">
        <f>'(2)Bus. and Character Assess.'!J33</f>
        <v>3</v>
      </c>
      <c r="F33" s="296"/>
      <c r="G33" s="290"/>
      <c r="H33" s="290"/>
      <c r="I33" s="290"/>
      <c r="J33" s="290"/>
      <c r="K33" s="290"/>
      <c r="L33" s="290"/>
    </row>
    <row r="34" spans="1:12" ht="12">
      <c r="A34" s="322" t="str">
        <f>'(2)Bus. and Character Assess.'!B39</f>
        <v>Responsiveness</v>
      </c>
      <c r="B34" s="296"/>
      <c r="C34" s="337" t="str">
        <f>'(2)Bus. and Character Assess.'!C39</f>
        <v xml:space="preserve">Cooperative/shared all relevant info/doc </v>
      </c>
      <c r="D34" s="296">
        <f>IF(E34=5,3,IF(E34=3,2,1))</f>
        <v>3</v>
      </c>
      <c r="E34" s="325">
        <f>'(2)Bus. and Character Assess.'!J39</f>
        <v>5</v>
      </c>
      <c r="F34" s="296"/>
      <c r="G34" s="290"/>
      <c r="H34" s="290"/>
      <c r="I34" s="290"/>
      <c r="J34" s="290"/>
      <c r="K34" s="290"/>
      <c r="L34" s="290"/>
    </row>
    <row r="35" spans="1:12" ht="23.45" customHeight="1">
      <c r="A35" s="322" t="str">
        <f>'(2)Bus. and Character Assess.'!B42</f>
        <v>Record Keeping and asset management (Ref. Application Form ser.no.6)</v>
      </c>
      <c r="B35" s="296"/>
      <c r="C35" s="501" t="str">
        <f>'(2)Bus. and Character Assess.'!C42</f>
        <v>Basic record keeping</v>
      </c>
      <c r="D35" s="296">
        <f>IF(E35&gt;5,3,IF(E35=5,2,1))</f>
        <v>2</v>
      </c>
      <c r="E35" s="325">
        <f>'(2)Bus. and Character Assess.'!J42</f>
        <v>5</v>
      </c>
      <c r="F35" s="296"/>
      <c r="G35" s="290"/>
      <c r="H35" s="290"/>
      <c r="I35" s="290"/>
      <c r="J35" s="290"/>
      <c r="K35" s="290"/>
      <c r="L35" s="290"/>
    </row>
    <row r="36" spans="1:12" ht="12">
      <c r="A36" s="322" t="str">
        <f>'(2)Bus. and Character Assess.'!B45</f>
        <v>3rd Party Opinion</v>
      </c>
      <c r="B36" s="296"/>
      <c r="C36" s="337" t="str">
        <f>'(2)Bus. and Character Assess.'!C45</f>
        <v>Positive, Respected</v>
      </c>
      <c r="D36" s="296">
        <f>IF(E36=5,3,IF(E36=3,2,1))</f>
        <v>3</v>
      </c>
      <c r="E36" s="325">
        <f>'(2)Bus. and Character Assess.'!J45</f>
        <v>5</v>
      </c>
      <c r="F36" s="296"/>
      <c r="G36" s="290"/>
      <c r="H36" s="290"/>
      <c r="I36" s="290"/>
      <c r="J36" s="290"/>
      <c r="K36" s="290"/>
      <c r="L36" s="290"/>
    </row>
    <row r="37" spans="1:12" ht="12.75" thickBot="1">
      <c r="A37" s="338"/>
      <c r="B37" s="339"/>
      <c r="C37" s="340" t="s">
        <v>376</v>
      </c>
      <c r="D37" s="321"/>
      <c r="E37" s="262">
        <f>SUM(E27:E36)</f>
        <v>87</v>
      </c>
      <c r="F37" s="663" t="str">
        <f>IF('(2)Bus. and Character Assess.'!J48="invalid","Assessment not well justified","")</f>
        <v/>
      </c>
      <c r="G37" s="320"/>
      <c r="H37" s="290"/>
      <c r="I37" s="341"/>
      <c r="J37" s="290"/>
      <c r="K37" s="290"/>
      <c r="L37" s="290"/>
    </row>
    <row r="38" spans="1:12" ht="12.75" thickBot="1">
      <c r="A38" s="780" t="s">
        <v>377</v>
      </c>
      <c r="B38" s="781"/>
      <c r="C38" s="781"/>
      <c r="D38" s="781"/>
      <c r="E38" s="781"/>
      <c r="F38" s="781"/>
      <c r="G38" s="782"/>
      <c r="H38" s="783"/>
      <c r="I38" s="341"/>
      <c r="J38" s="290"/>
      <c r="K38" s="290"/>
      <c r="L38" s="290"/>
    </row>
    <row r="39" spans="1:12" ht="12.75" thickBot="1">
      <c r="A39" s="240"/>
      <c r="B39" s="342"/>
      <c r="C39" s="240"/>
      <c r="D39" s="240"/>
      <c r="E39" s="240"/>
      <c r="F39" s="240"/>
      <c r="G39" s="240"/>
      <c r="H39" s="240"/>
      <c r="I39" s="341"/>
      <c r="J39" s="290"/>
      <c r="K39" s="290"/>
      <c r="L39" s="290"/>
    </row>
    <row r="40" spans="1:12" ht="12">
      <c r="A40" s="784" t="s">
        <v>378</v>
      </c>
      <c r="B40" s="785"/>
      <c r="C40" s="240"/>
      <c r="D40" s="786"/>
      <c r="E40" s="786"/>
      <c r="F40" s="787"/>
      <c r="G40" s="352" t="s">
        <v>442</v>
      </c>
      <c r="H40" s="472">
        <f>'(7)Repayment Schedule'!C95</f>
        <v>1200000.0000000114</v>
      </c>
      <c r="I40" s="341"/>
      <c r="J40" s="290"/>
      <c r="K40" s="290"/>
      <c r="L40" s="290"/>
    </row>
    <row r="41" spans="1:12" ht="24" customHeight="1">
      <c r="A41" s="240"/>
      <c r="B41" s="342"/>
      <c r="C41" s="240"/>
      <c r="D41" s="775" t="s">
        <v>379</v>
      </c>
      <c r="E41" s="775"/>
      <c r="F41" s="594">
        <f>'(3)Cashflow Analysis'!O139*-1</f>
        <v>-1200000</v>
      </c>
      <c r="G41" s="352" t="s">
        <v>443</v>
      </c>
      <c r="H41" s="475">
        <f>'(7)Repayment Schedule'!C96</f>
        <v>237814.13672185104</v>
      </c>
      <c r="I41" s="341"/>
      <c r="J41" s="290"/>
      <c r="K41" s="290"/>
      <c r="L41" s="290"/>
    </row>
    <row r="42" spans="1:12" ht="15.6" customHeight="1" thickBot="1">
      <c r="A42" s="343" t="s">
        <v>463</v>
      </c>
      <c r="B42" s="344">
        <f>'(3)Cashflow Analysis'!O135*B50</f>
        <v>3261738.260869565</v>
      </c>
      <c r="C42" s="240"/>
      <c r="D42" s="355"/>
      <c r="E42" s="240"/>
      <c r="F42" s="356"/>
      <c r="G42" s="352" t="s">
        <v>444</v>
      </c>
      <c r="H42" s="478">
        <f>SUM(H40:H41)</f>
        <v>1437814.1367218625</v>
      </c>
      <c r="I42" s="341"/>
      <c r="J42" s="290"/>
      <c r="K42" s="290"/>
      <c r="L42" s="290"/>
    </row>
    <row r="43" spans="1:12" ht="19.5" customHeight="1">
      <c r="A43" s="240"/>
      <c r="B43" s="240"/>
      <c r="C43" s="240"/>
      <c r="D43"/>
      <c r="E43"/>
      <c r="F43"/>
      <c r="G43" s="352" t="s">
        <v>472</v>
      </c>
      <c r="H43" s="240">
        <f>'(1)Basic Info and loan request'!C44</f>
        <v>24</v>
      </c>
      <c r="I43" s="341"/>
      <c r="J43" s="290"/>
      <c r="K43" s="290"/>
      <c r="L43" s="290"/>
    </row>
    <row r="44" spans="1:12" ht="15">
      <c r="A44" s="347" t="s">
        <v>448</v>
      </c>
      <c r="B44" s="344">
        <f>'(3)Cashflow Analysis'!O144*B50</f>
        <v>1140000</v>
      </c>
      <c r="C44" s="348"/>
      <c r="D44" s="350"/>
      <c r="E44" s="240"/>
      <c r="F44" s="351"/>
      <c r="G44"/>
      <c r="H44" s="240"/>
      <c r="I44" s="341"/>
      <c r="J44" s="290"/>
      <c r="K44" s="290"/>
      <c r="L44" s="290"/>
    </row>
    <row r="45" spans="1:12" ht="21" customHeight="1">
      <c r="A45" s="240"/>
      <c r="B45" s="349"/>
      <c r="C45" s="240"/>
      <c r="D45" s="776" t="s">
        <v>476</v>
      </c>
      <c r="E45" s="777"/>
      <c r="F45" s="360">
        <f>IF(B46&gt;B42,B42*'(1)Basic Info and loan request'!C44/12*70%,B46*'(1)Basic Info and loan request'!C44/12*70%)</f>
        <v>4566433.5652173907</v>
      </c>
      <c r="G45" s="351"/>
      <c r="H45" s="240"/>
      <c r="I45" s="341"/>
      <c r="J45" s="290"/>
      <c r="K45" s="290"/>
      <c r="L45" s="290"/>
    </row>
    <row r="46" spans="1:12" ht="23.25">
      <c r="A46" s="347" t="s">
        <v>464</v>
      </c>
      <c r="B46" s="344">
        <f>B42+B44</f>
        <v>4401738.2608695645</v>
      </c>
      <c r="C46" s="240"/>
      <c r="D46" s="240"/>
      <c r="E46" s="240"/>
      <c r="F46" s="592">
        <f>IF(F45&gt;=H42,3,1)</f>
        <v>3</v>
      </c>
      <c r="G46" s="353"/>
      <c r="H46" s="354"/>
      <c r="I46" s="341"/>
      <c r="J46" s="290"/>
      <c r="K46" s="290"/>
      <c r="L46" s="290"/>
    </row>
    <row r="47" spans="1:12" ht="12">
      <c r="A47" s="240"/>
      <c r="B47" s="240"/>
      <c r="C47" s="240"/>
      <c r="D47" s="267"/>
      <c r="E47" s="240"/>
      <c r="F47" s="240"/>
      <c r="G47" s="356"/>
      <c r="H47" s="351"/>
      <c r="I47" s="341"/>
      <c r="J47" s="290"/>
      <c r="K47" s="290"/>
      <c r="L47" s="290"/>
    </row>
    <row r="48" spans="1:12" ht="12">
      <c r="A48" s="240"/>
      <c r="B48" s="240"/>
      <c r="C48" s="240"/>
      <c r="D48" s="267"/>
      <c r="E48" s="240"/>
      <c r="F48" s="240"/>
      <c r="G48" s="357"/>
      <c r="H48" s="351"/>
      <c r="I48" s="341"/>
      <c r="J48" s="290"/>
      <c r="K48" s="290"/>
      <c r="L48" s="290"/>
    </row>
    <row r="49" spans="1:12" ht="12">
      <c r="A49" s="240"/>
      <c r="B49" s="240"/>
      <c r="C49" s="240"/>
      <c r="D49" s="267"/>
      <c r="E49" s="240"/>
      <c r="F49" s="240"/>
      <c r="G49" s="351"/>
      <c r="H49" s="351"/>
      <c r="I49" s="341"/>
      <c r="J49" s="290"/>
      <c r="K49" s="290"/>
      <c r="L49" s="290"/>
    </row>
    <row r="50" spans="1:12" ht="12">
      <c r="A50" s="358" t="s">
        <v>380</v>
      </c>
      <c r="B50" s="359">
        <v>0.95</v>
      </c>
      <c r="C50" s="240"/>
      <c r="D50" s="755" t="s">
        <v>520</v>
      </c>
      <c r="E50" s="755"/>
      <c r="F50" s="788" t="s">
        <v>524</v>
      </c>
      <c r="G50" s="788"/>
      <c r="H50" s="351"/>
      <c r="I50" s="341"/>
      <c r="J50" s="290"/>
      <c r="K50" s="290"/>
      <c r="L50" s="290"/>
    </row>
    <row r="51" spans="1:12" ht="14.45" customHeight="1">
      <c r="A51" s="240"/>
      <c r="B51" s="240"/>
      <c r="C51" s="240"/>
      <c r="D51" s="755" t="s">
        <v>482</v>
      </c>
      <c r="E51" s="755"/>
      <c r="F51" s="788" t="s">
        <v>523</v>
      </c>
      <c r="G51" s="788"/>
      <c r="H51" s="240"/>
      <c r="I51" s="341"/>
      <c r="J51" s="290"/>
      <c r="K51" s="290"/>
      <c r="L51" s="290"/>
    </row>
    <row r="52" spans="1:12" ht="12">
      <c r="A52" s="586" t="s">
        <v>381</v>
      </c>
      <c r="B52" s="587"/>
      <c r="C52" s="588"/>
      <c r="D52" s="587"/>
      <c r="E52" s="587"/>
      <c r="F52" s="587"/>
      <c r="G52" s="589"/>
      <c r="H52" s="579"/>
      <c r="I52" s="341"/>
      <c r="J52" s="290"/>
      <c r="K52" s="290"/>
      <c r="L52" s="290"/>
    </row>
    <row r="53" spans="1:12" ht="12">
      <c r="A53" s="361"/>
      <c r="B53" s="361" t="s">
        <v>382</v>
      </c>
      <c r="C53" s="361" t="s">
        <v>383</v>
      </c>
      <c r="D53" s="361" t="s">
        <v>352</v>
      </c>
      <c r="E53" s="240"/>
      <c r="F53" s="361" t="s">
        <v>384</v>
      </c>
      <c r="G53" s="362" t="s">
        <v>385</v>
      </c>
      <c r="H53" s="363"/>
      <c r="I53" s="290"/>
      <c r="J53" s="290"/>
      <c r="K53" s="290"/>
      <c r="L53" s="290"/>
    </row>
    <row r="54" spans="1:12" ht="24">
      <c r="A54" s="364" t="s">
        <v>386</v>
      </c>
      <c r="B54" s="365">
        <v>1</v>
      </c>
      <c r="C54" s="366">
        <f>E37/100*B50</f>
        <v>0.82650000000000001</v>
      </c>
      <c r="D54" s="367" t="str">
        <f>IF(AND(C54&gt;=F54,F37&lt;&gt;"Assessment not well justified"),"√","X")</f>
        <v>√</v>
      </c>
      <c r="E54" s="270" t="str">
        <f>F37</f>
        <v/>
      </c>
      <c r="F54" s="365">
        <v>0.75</v>
      </c>
      <c r="G54" s="240"/>
      <c r="H54" s="240"/>
      <c r="I54" s="290"/>
      <c r="J54" s="290"/>
      <c r="K54" s="290"/>
      <c r="L54" s="290"/>
    </row>
    <row r="55" spans="1:12" ht="24">
      <c r="A55" s="368" t="s">
        <v>387</v>
      </c>
      <c r="B55" s="369">
        <v>1</v>
      </c>
      <c r="C55" s="366">
        <f>H25/100*B50</f>
        <v>0.93574999999999997</v>
      </c>
      <c r="D55" s="367" t="str">
        <f>IF(C55&gt;=F55,"√","X")</f>
        <v>√</v>
      </c>
      <c r="E55" s="240"/>
      <c r="F55" s="370">
        <v>0.75</v>
      </c>
      <c r="G55" s="240"/>
      <c r="H55" s="240"/>
      <c r="I55" s="290"/>
      <c r="J55" s="290"/>
      <c r="K55" s="290"/>
      <c r="L55" s="290"/>
    </row>
    <row r="56" spans="1:12" ht="12">
      <c r="A56" s="345" t="s">
        <v>388</v>
      </c>
      <c r="B56" s="371">
        <v>1</v>
      </c>
      <c r="C56" s="366">
        <f>IF(F50="Loan&gt;200000",(IF('(4) E&amp;S Assessment'!C37&lt;'(4) E&amp;S Assessment'!D37,'(4) E&amp;S Assessment'!C37,'(4) E&amp;S Assessment'!D37)),"Not Required")</f>
        <v>1</v>
      </c>
      <c r="D56" s="367" t="str">
        <f>IF(C56&gt;=F56,"√","X")</f>
        <v>√</v>
      </c>
      <c r="E56" s="240"/>
      <c r="F56" s="372">
        <v>0.6</v>
      </c>
      <c r="G56" s="373" t="str">
        <f>IF(C56="Not Required","",IF('(4) E&amp;S Assessment'!D38="REJECT",'(4) E&amp;S Assessment'!B66,IF('(4) E&amp;S Assessment'!D38="PASS","",'(4) E&amp;S Assessment'!B65)))</f>
        <v/>
      </c>
      <c r="H56" s="240"/>
      <c r="I56" s="290"/>
      <c r="J56" s="290"/>
      <c r="K56" s="290"/>
      <c r="L56" s="290"/>
    </row>
    <row r="57" spans="1:12" ht="12">
      <c r="A57" s="374" t="s">
        <v>389</v>
      </c>
      <c r="B57" s="370">
        <v>1</v>
      </c>
      <c r="C57" s="366">
        <f>IF(F51="With Collateral",'(5)Collateral Worksheet'!C41,"Not Required")</f>
        <v>0</v>
      </c>
      <c r="D57" s="375" t="str">
        <f>IF(C57&gt;=F57,"√","X")</f>
        <v>X</v>
      </c>
      <c r="E57" s="240"/>
      <c r="F57" s="372">
        <f>IF(F51="With Collateral",80%,0)</f>
        <v>0.8</v>
      </c>
      <c r="G57" s="376"/>
      <c r="H57" s="377"/>
      <c r="I57" s="290"/>
      <c r="J57" s="290"/>
      <c r="K57" s="290"/>
      <c r="L57" s="290"/>
    </row>
    <row r="58" spans="1:12" ht="12">
      <c r="A58" s="378"/>
      <c r="B58" s="379"/>
      <c r="C58" s="379"/>
      <c r="D58" s="346"/>
      <c r="E58" s="346"/>
      <c r="F58" s="346"/>
      <c r="G58" s="346"/>
      <c r="H58" s="346"/>
      <c r="I58" s="290"/>
      <c r="J58" s="290"/>
      <c r="K58" s="290"/>
      <c r="L58" s="290"/>
    </row>
    <row r="59" spans="1:12" ht="18">
      <c r="A59" s="590" t="s">
        <v>390</v>
      </c>
      <c r="B59" s="591"/>
      <c r="C59" s="628" t="str">
        <f>IF(AND(D54=L61,D55=L61,D56=L61,D57=L61),"ACCEPT", "REJECT")</f>
        <v>REJECT</v>
      </c>
      <c r="D59" s="585"/>
      <c r="E59" s="380"/>
      <c r="F59" s="346"/>
      <c r="G59" s="346"/>
      <c r="H59" s="346"/>
      <c r="I59" s="290"/>
      <c r="J59" s="290"/>
      <c r="K59" s="290"/>
      <c r="L59" s="290"/>
    </row>
    <row r="60" spans="1:12" ht="12">
      <c r="A60" s="318"/>
      <c r="B60" s="296"/>
      <c r="C60" s="296"/>
      <c r="D60" s="296"/>
      <c r="E60" s="296"/>
      <c r="F60" s="296"/>
      <c r="G60" s="320"/>
      <c r="H60" s="333"/>
      <c r="I60" s="290"/>
      <c r="J60" s="290"/>
      <c r="K60" s="290"/>
      <c r="L60" s="290" t="s">
        <v>391</v>
      </c>
    </row>
    <row r="61" spans="1:12" ht="12">
      <c r="A61" s="318"/>
      <c r="B61" s="296"/>
      <c r="C61" s="296"/>
      <c r="D61" s="296"/>
      <c r="E61" s="296"/>
      <c r="F61" s="296"/>
      <c r="G61" s="320"/>
      <c r="H61" s="333"/>
      <c r="I61" s="290"/>
      <c r="J61" s="290"/>
      <c r="K61" s="290"/>
      <c r="L61" s="290" t="s">
        <v>148</v>
      </c>
    </row>
    <row r="62" spans="1:12" ht="12">
      <c r="A62" s="757" t="s">
        <v>392</v>
      </c>
      <c r="B62" s="758"/>
      <c r="C62" s="758"/>
      <c r="D62" s="758"/>
      <c r="E62" s="758"/>
      <c r="F62" s="758"/>
      <c r="G62" s="758"/>
      <c r="H62" s="758"/>
      <c r="I62" s="758"/>
      <c r="J62" s="758"/>
      <c r="K62" s="758"/>
      <c r="L62" s="758"/>
    </row>
    <row r="63" spans="1:12" s="384" customFormat="1" ht="12">
      <c r="A63" s="381"/>
      <c r="B63" s="381"/>
      <c r="C63" s="381"/>
      <c r="D63" s="381"/>
      <c r="E63" s="382"/>
      <c r="F63" s="382"/>
      <c r="G63" s="381"/>
      <c r="H63" s="383"/>
      <c r="I63" s="381"/>
      <c r="J63" s="381"/>
      <c r="K63" s="381"/>
      <c r="L63" s="381"/>
    </row>
    <row r="64" spans="1:12" s="384" customFormat="1" ht="12">
      <c r="A64" s="385" t="s">
        <v>393</v>
      </c>
      <c r="B64" s="381"/>
      <c r="C64" s="381"/>
      <c r="D64" s="381"/>
      <c r="E64" s="382"/>
      <c r="F64" s="382"/>
      <c r="G64" s="381"/>
      <c r="H64" s="383"/>
      <c r="I64" s="381"/>
      <c r="J64" s="381"/>
      <c r="K64" s="381"/>
      <c r="L64" s="381"/>
    </row>
    <row r="65" spans="1:12" s="384" customFormat="1" ht="45" customHeight="1">
      <c r="A65" s="759" t="s">
        <v>474</v>
      </c>
      <c r="B65" s="760" t="s">
        <v>394</v>
      </c>
      <c r="C65" s="760"/>
      <c r="D65" s="760"/>
      <c r="E65" s="760"/>
      <c r="F65" s="761" t="s">
        <v>395</v>
      </c>
      <c r="G65" s="762"/>
      <c r="H65" s="762"/>
      <c r="I65" s="762"/>
      <c r="J65" s="762"/>
      <c r="K65" s="763"/>
      <c r="L65" s="381"/>
    </row>
    <row r="66" spans="1:12" s="384" customFormat="1" ht="45" customHeight="1">
      <c r="A66" s="759"/>
      <c r="B66" s="764" t="s">
        <v>473</v>
      </c>
      <c r="C66" s="765"/>
      <c r="D66" s="765"/>
      <c r="E66" s="765"/>
      <c r="F66" s="765"/>
      <c r="G66" s="765"/>
      <c r="H66" s="765"/>
      <c r="I66" s="765"/>
      <c r="J66" s="765"/>
      <c r="K66" s="766"/>
      <c r="L66" s="381"/>
    </row>
    <row r="67" spans="1:12" s="384" customFormat="1" ht="12.75" customHeight="1">
      <c r="A67" s="759"/>
      <c r="B67" s="386" t="s">
        <v>396</v>
      </c>
      <c r="C67" s="381"/>
      <c r="D67" s="381"/>
      <c r="E67" s="386" t="s">
        <v>397</v>
      </c>
      <c r="F67" s="381"/>
      <c r="G67" s="381"/>
      <c r="H67" s="381"/>
      <c r="I67" s="381"/>
      <c r="J67" s="381"/>
      <c r="K67" s="381"/>
      <c r="L67" s="381"/>
    </row>
    <row r="68" spans="1:12" s="384" customFormat="1" ht="21" customHeight="1">
      <c r="A68" s="389" t="s">
        <v>475</v>
      </c>
      <c r="B68" s="389"/>
      <c r="C68" s="389"/>
      <c r="D68" s="389"/>
      <c r="E68" s="389" t="s">
        <v>316</v>
      </c>
      <c r="F68" s="389"/>
      <c r="G68" s="381"/>
      <c r="H68" s="383"/>
      <c r="I68" s="388"/>
      <c r="J68" s="381"/>
      <c r="K68" s="381"/>
      <c r="L68" s="381"/>
    </row>
    <row r="69" spans="1:12" s="384" customFormat="1" ht="12">
      <c r="A69" s="390" t="s">
        <v>398</v>
      </c>
      <c r="B69" s="381"/>
      <c r="C69" s="389"/>
      <c r="D69" s="389"/>
      <c r="E69" s="389"/>
      <c r="F69" s="389"/>
      <c r="G69" s="381"/>
      <c r="H69" s="383"/>
      <c r="I69" s="381"/>
      <c r="J69" s="381"/>
      <c r="K69" s="381"/>
      <c r="L69" s="381"/>
    </row>
    <row r="70" spans="1:12" s="384" customFormat="1" ht="53.25" customHeight="1">
      <c r="A70" s="391" t="s">
        <v>399</v>
      </c>
      <c r="B70" s="767"/>
      <c r="C70" s="768"/>
      <c r="D70" s="768"/>
      <c r="E70" s="768"/>
      <c r="F70" s="768"/>
      <c r="G70" s="768"/>
      <c r="H70" s="768"/>
      <c r="I70" s="768"/>
      <c r="J70" s="769"/>
      <c r="K70" s="392"/>
      <c r="L70" s="381"/>
    </row>
    <row r="71" spans="1:12" s="384" customFormat="1" ht="14.25" customHeight="1">
      <c r="A71" s="388"/>
      <c r="B71" s="770"/>
      <c r="C71" s="756"/>
      <c r="D71" s="756"/>
      <c r="E71" s="756"/>
      <c r="F71" s="756"/>
      <c r="G71" s="756"/>
      <c r="H71" s="756"/>
      <c r="I71" s="756"/>
      <c r="J71" s="771"/>
      <c r="K71" s="392"/>
      <c r="L71" s="381"/>
    </row>
    <row r="72" spans="1:12" s="384" customFormat="1" ht="12">
      <c r="A72" s="381"/>
      <c r="B72" s="381"/>
      <c r="C72" s="381"/>
      <c r="D72" s="381"/>
      <c r="E72" s="381"/>
      <c r="F72" s="381"/>
      <c r="G72" s="381"/>
      <c r="H72" s="383"/>
      <c r="I72" s="381"/>
      <c r="J72" s="381"/>
      <c r="K72" s="381"/>
      <c r="L72" s="381"/>
    </row>
    <row r="73" spans="1:12" s="384" customFormat="1" ht="23.25" customHeight="1">
      <c r="A73" s="393" t="s">
        <v>400</v>
      </c>
      <c r="B73" s="772"/>
      <c r="C73" s="773"/>
      <c r="D73" s="381"/>
      <c r="E73" s="393" t="s">
        <v>401</v>
      </c>
      <c r="F73" s="381"/>
      <c r="G73" s="381"/>
      <c r="H73" s="394"/>
      <c r="I73" s="395" t="s">
        <v>402</v>
      </c>
      <c r="J73" s="381"/>
      <c r="K73" s="381"/>
      <c r="L73" s="381"/>
    </row>
    <row r="74" spans="1:12" s="384" customFormat="1" ht="12">
      <c r="A74" s="393"/>
      <c r="B74" s="396"/>
      <c r="C74" s="396"/>
      <c r="D74" s="381"/>
      <c r="E74" s="381"/>
      <c r="F74" s="381"/>
      <c r="G74" s="381"/>
      <c r="H74" s="381"/>
      <c r="I74" s="381"/>
      <c r="J74" s="381"/>
      <c r="K74" s="381"/>
      <c r="L74" s="381"/>
    </row>
    <row r="75" spans="1:12" s="384" customFormat="1" ht="21.75" customHeight="1">
      <c r="A75" s="393" t="s">
        <v>403</v>
      </c>
      <c r="B75" s="397"/>
      <c r="C75" s="396" t="s">
        <v>404</v>
      </c>
      <c r="D75" s="381"/>
      <c r="E75" s="393" t="s">
        <v>405</v>
      </c>
      <c r="F75" s="381"/>
      <c r="G75" s="381"/>
      <c r="H75" s="397"/>
      <c r="I75" s="381"/>
      <c r="J75" s="381"/>
      <c r="K75" s="381"/>
      <c r="L75" s="381"/>
    </row>
    <row r="76" spans="1:12" s="384" customFormat="1" ht="12">
      <c r="A76" s="393"/>
      <c r="B76" s="396"/>
      <c r="C76" s="396"/>
      <c r="D76" s="381"/>
      <c r="E76" s="381"/>
      <c r="F76" s="381"/>
      <c r="G76" s="381"/>
      <c r="H76" s="381"/>
      <c r="I76" s="381"/>
      <c r="J76" s="381"/>
      <c r="K76" s="381"/>
      <c r="L76" s="381"/>
    </row>
    <row r="77" spans="1:12" s="384" customFormat="1" ht="20.25" customHeight="1">
      <c r="A77" s="393" t="s">
        <v>406</v>
      </c>
      <c r="B77" s="398"/>
      <c r="C77" s="396" t="s">
        <v>402</v>
      </c>
      <c r="D77" s="381"/>
      <c r="E77" s="393" t="s">
        <v>407</v>
      </c>
      <c r="F77" s="382"/>
      <c r="G77" s="381"/>
      <c r="H77" s="397"/>
      <c r="I77" s="381"/>
      <c r="J77" s="381"/>
      <c r="K77" s="381"/>
      <c r="L77" s="381"/>
    </row>
    <row r="78" spans="1:12" s="384" customFormat="1" ht="12">
      <c r="A78" s="381"/>
      <c r="B78" s="381"/>
      <c r="C78" s="381"/>
      <c r="D78" s="381"/>
      <c r="E78" s="381"/>
      <c r="F78" s="381"/>
      <c r="G78" s="381"/>
      <c r="H78" s="381"/>
      <c r="I78" s="381"/>
      <c r="J78" s="381"/>
      <c r="K78" s="381"/>
      <c r="L78" s="381"/>
    </row>
    <row r="79" spans="1:12" s="384" customFormat="1" ht="12">
      <c r="A79" s="388" t="s">
        <v>408</v>
      </c>
      <c r="B79" s="381"/>
      <c r="C79" s="381"/>
      <c r="D79" s="381"/>
      <c r="E79" s="381"/>
      <c r="F79" s="381"/>
      <c r="G79" s="381"/>
      <c r="H79" s="381"/>
      <c r="I79" s="381"/>
      <c r="J79" s="381"/>
      <c r="K79" s="381"/>
      <c r="L79" s="381"/>
    </row>
    <row r="80" spans="1:12" s="384" customFormat="1" ht="12">
      <c r="A80" s="399"/>
      <c r="B80" s="381"/>
      <c r="C80" s="381"/>
      <c r="D80" s="756"/>
      <c r="E80" s="756"/>
      <c r="F80" s="756"/>
      <c r="G80" s="756"/>
      <c r="H80" s="381"/>
      <c r="I80" s="756"/>
      <c r="J80" s="756"/>
      <c r="K80" s="756"/>
      <c r="L80" s="381"/>
    </row>
    <row r="81" spans="1:12" s="384" customFormat="1" ht="12">
      <c r="A81" s="387"/>
      <c r="B81" s="381"/>
      <c r="C81" s="381"/>
      <c r="D81" s="387"/>
      <c r="E81" s="387"/>
      <c r="F81" s="387"/>
      <c r="G81" s="387"/>
      <c r="H81" s="381"/>
      <c r="I81" s="387"/>
      <c r="J81" s="387"/>
      <c r="K81" s="387"/>
      <c r="L81" s="381"/>
    </row>
    <row r="82" spans="1:12" s="384" customFormat="1" ht="12">
      <c r="A82" s="387"/>
      <c r="B82" s="381"/>
      <c r="C82" s="381"/>
      <c r="D82" s="387"/>
      <c r="E82" s="387"/>
      <c r="F82" s="387"/>
      <c r="G82" s="387"/>
      <c r="H82" s="381"/>
      <c r="I82" s="387"/>
      <c r="J82" s="387"/>
      <c r="K82" s="387"/>
      <c r="L82" s="381"/>
    </row>
    <row r="83" spans="1:12" s="384" customFormat="1" ht="12">
      <c r="A83" s="399"/>
      <c r="B83" s="381"/>
      <c r="C83" s="381"/>
      <c r="D83" s="756"/>
      <c r="E83" s="756"/>
      <c r="F83" s="756"/>
      <c r="G83" s="756"/>
      <c r="H83" s="381"/>
      <c r="I83" s="756"/>
      <c r="J83" s="756"/>
      <c r="K83" s="756"/>
      <c r="L83" s="381"/>
    </row>
    <row r="84" spans="1:12" s="384" customFormat="1" ht="12">
      <c r="A84" s="381"/>
      <c r="B84" s="381"/>
      <c r="C84" s="381"/>
      <c r="D84" s="381"/>
      <c r="E84" s="381"/>
      <c r="F84" s="381"/>
      <c r="G84" s="381"/>
      <c r="H84" s="381"/>
      <c r="I84" s="381"/>
      <c r="J84" s="381"/>
      <c r="K84" s="381"/>
      <c r="L84" s="381"/>
    </row>
    <row r="85" spans="1:12" s="384" customFormat="1" ht="12" hidden="1">
      <c r="A85" s="381"/>
      <c r="B85" s="381"/>
      <c r="C85" s="381"/>
      <c r="D85" s="381"/>
      <c r="E85" s="381"/>
      <c r="F85" s="381"/>
      <c r="G85" s="381"/>
      <c r="H85" s="381"/>
      <c r="I85" s="381"/>
      <c r="J85" s="381"/>
      <c r="K85" s="381"/>
      <c r="L85" s="381"/>
    </row>
    <row r="86" spans="1:12" s="384" customFormat="1" ht="12" hidden="1">
      <c r="A86" s="381"/>
      <c r="B86" s="381"/>
      <c r="C86" s="381"/>
      <c r="D86" s="381"/>
      <c r="E86" s="381"/>
      <c r="F86" s="381"/>
      <c r="G86" s="381"/>
      <c r="H86" s="381"/>
      <c r="I86" s="381"/>
      <c r="J86" s="381"/>
      <c r="K86" s="381"/>
      <c r="L86" s="381"/>
    </row>
    <row r="87" spans="1:12" s="384" customFormat="1" ht="12" hidden="1">
      <c r="A87" s="381"/>
      <c r="B87" s="381"/>
      <c r="C87" s="381"/>
      <c r="D87" s="381"/>
      <c r="E87" s="381"/>
      <c r="F87" s="381"/>
      <c r="G87" s="381"/>
      <c r="H87" s="381"/>
      <c r="I87" s="381"/>
      <c r="J87" s="381"/>
      <c r="K87" s="381"/>
      <c r="L87" s="381"/>
    </row>
    <row r="88" spans="1:12" s="384" customFormat="1" ht="12" hidden="1">
      <c r="A88" s="381"/>
      <c r="B88" s="381"/>
      <c r="C88" s="381"/>
      <c r="D88" s="381"/>
      <c r="E88" s="381"/>
      <c r="F88" s="381"/>
      <c r="G88" s="381"/>
      <c r="H88" s="381"/>
      <c r="I88" s="381"/>
      <c r="J88" s="381"/>
      <c r="K88" s="381"/>
      <c r="L88" s="381"/>
    </row>
    <row r="89" spans="1:12" s="384" customFormat="1" ht="12" hidden="1">
      <c r="A89" s="381"/>
      <c r="B89" s="381"/>
      <c r="C89" s="381"/>
      <c r="D89" s="381"/>
      <c r="E89" s="381"/>
      <c r="F89" s="381"/>
      <c r="G89" s="381"/>
      <c r="H89" s="381"/>
      <c r="I89" s="381"/>
      <c r="J89" s="381"/>
      <c r="K89" s="381"/>
      <c r="L89" s="381"/>
    </row>
    <row r="90" spans="1:12" s="384" customFormat="1" ht="12" hidden="1">
      <c r="A90" s="381"/>
      <c r="B90" s="381"/>
      <c r="C90" s="381"/>
      <c r="D90" s="381"/>
      <c r="E90" s="381"/>
      <c r="F90" s="381"/>
      <c r="G90" s="381"/>
      <c r="H90" s="381"/>
      <c r="I90" s="381"/>
      <c r="J90" s="381"/>
      <c r="K90" s="381"/>
      <c r="L90" s="381"/>
    </row>
    <row r="91" spans="1:12" s="384" customFormat="1" ht="12" hidden="1">
      <c r="A91" s="381"/>
      <c r="B91" s="381"/>
      <c r="C91" s="381"/>
      <c r="D91" s="381"/>
      <c r="E91" s="381"/>
      <c r="F91" s="381"/>
      <c r="G91" s="381"/>
      <c r="H91" s="381"/>
      <c r="I91" s="381"/>
      <c r="J91" s="381"/>
      <c r="K91" s="381"/>
      <c r="L91" s="381"/>
    </row>
    <row r="92" spans="1:12" s="384" customFormat="1" ht="12" hidden="1">
      <c r="A92" s="381"/>
      <c r="B92" s="381"/>
      <c r="C92" s="381"/>
      <c r="D92" s="381"/>
      <c r="E92" s="381"/>
      <c r="F92" s="381"/>
      <c r="G92" s="381"/>
      <c r="H92" s="381"/>
      <c r="I92" s="381"/>
      <c r="J92" s="381"/>
      <c r="K92" s="381"/>
      <c r="L92" s="381"/>
    </row>
    <row r="93" spans="1:12" s="384" customFormat="1" ht="12" hidden="1">
      <c r="A93" s="381"/>
      <c r="B93" s="381"/>
      <c r="C93" s="381"/>
      <c r="D93" s="381"/>
      <c r="E93" s="381"/>
      <c r="F93" s="381"/>
      <c r="G93" s="381"/>
      <c r="H93" s="381"/>
      <c r="I93" s="381"/>
      <c r="J93" s="381"/>
      <c r="K93" s="381"/>
      <c r="L93" s="381"/>
    </row>
    <row r="94" spans="1:12" s="384" customFormat="1" ht="12" hidden="1">
      <c r="A94" s="381"/>
      <c r="B94" s="381"/>
      <c r="C94" s="381"/>
      <c r="D94" s="381"/>
      <c r="E94" s="381"/>
      <c r="F94" s="381"/>
      <c r="G94" s="381"/>
      <c r="H94" s="381"/>
      <c r="I94" s="381"/>
      <c r="J94" s="381"/>
      <c r="K94" s="381"/>
      <c r="L94" s="381"/>
    </row>
    <row r="95" spans="1:12" s="384" customFormat="1" ht="12" hidden="1">
      <c r="A95" s="381"/>
      <c r="B95" s="381"/>
      <c r="C95" s="381"/>
      <c r="D95" s="381"/>
      <c r="E95" s="381"/>
      <c r="F95" s="381"/>
      <c r="G95" s="381"/>
      <c r="H95" s="381"/>
      <c r="I95" s="381"/>
      <c r="J95" s="381"/>
      <c r="K95" s="381"/>
      <c r="L95" s="381"/>
    </row>
    <row r="96" spans="1:12" s="384" customFormat="1" ht="12" hidden="1">
      <c r="A96" s="381"/>
      <c r="B96" s="381"/>
      <c r="C96" s="381"/>
      <c r="D96" s="381"/>
      <c r="E96" s="381"/>
      <c r="F96" s="381"/>
      <c r="G96" s="381"/>
      <c r="H96" s="381"/>
      <c r="I96" s="381"/>
      <c r="J96" s="381"/>
      <c r="K96" s="381"/>
      <c r="L96" s="381"/>
    </row>
    <row r="97" spans="1:12" s="384" customFormat="1" ht="12" hidden="1">
      <c r="A97" s="381"/>
      <c r="B97" s="381"/>
      <c r="C97" s="381"/>
      <c r="D97" s="381"/>
      <c r="E97" s="381"/>
      <c r="F97" s="381"/>
      <c r="G97" s="381"/>
      <c r="H97" s="381"/>
      <c r="I97" s="381"/>
      <c r="J97" s="381"/>
      <c r="K97" s="381"/>
      <c r="L97" s="381"/>
    </row>
    <row r="98" spans="1:12" s="384" customFormat="1" ht="12" hidden="1">
      <c r="A98" s="381"/>
      <c r="B98" s="381"/>
      <c r="C98" s="381"/>
      <c r="D98" s="381"/>
      <c r="E98" s="381"/>
      <c r="F98" s="381"/>
      <c r="G98" s="381"/>
      <c r="H98" s="381"/>
      <c r="I98" s="381"/>
      <c r="J98" s="381"/>
      <c r="K98" s="381"/>
      <c r="L98" s="381"/>
    </row>
    <row r="99" spans="1:12" s="384" customFormat="1" ht="12" hidden="1">
      <c r="A99" s="381"/>
      <c r="B99" s="381"/>
      <c r="C99" s="381"/>
      <c r="D99" s="381"/>
      <c r="E99" s="381"/>
      <c r="F99" s="381"/>
      <c r="G99" s="381"/>
      <c r="H99" s="381"/>
      <c r="I99" s="381"/>
      <c r="J99" s="381"/>
      <c r="K99" s="381"/>
      <c r="L99" s="381"/>
    </row>
    <row r="100" spans="1:12" s="384" customFormat="1" ht="12" hidden="1">
      <c r="A100" s="381"/>
      <c r="B100" s="381"/>
      <c r="C100" s="381"/>
      <c r="D100" s="381"/>
      <c r="E100" s="381"/>
      <c r="F100" s="381"/>
      <c r="G100" s="381"/>
      <c r="H100" s="381"/>
      <c r="I100" s="381"/>
      <c r="J100" s="381"/>
      <c r="K100" s="381"/>
      <c r="L100" s="381"/>
    </row>
    <row r="101" spans="1:12" s="384" customFormat="1" ht="12" hidden="1">
      <c r="A101" s="381"/>
      <c r="B101" s="381"/>
      <c r="C101" s="381"/>
      <c r="D101" s="381"/>
      <c r="E101" s="381"/>
      <c r="F101" s="381"/>
      <c r="G101" s="381"/>
      <c r="H101" s="381"/>
      <c r="I101" s="381"/>
      <c r="J101" s="381"/>
      <c r="K101" s="381"/>
      <c r="L101" s="381"/>
    </row>
    <row r="102" spans="1:12" s="384" customFormat="1" ht="12" hidden="1">
      <c r="A102" s="381"/>
      <c r="B102" s="381"/>
      <c r="C102" s="381"/>
      <c r="D102" s="381"/>
      <c r="E102" s="381"/>
      <c r="F102" s="381"/>
      <c r="G102" s="381"/>
      <c r="H102" s="381"/>
      <c r="I102" s="381"/>
      <c r="J102" s="381"/>
      <c r="K102" s="381"/>
      <c r="L102" s="381"/>
    </row>
    <row r="103" spans="1:12" s="384" customFormat="1" ht="12" hidden="1">
      <c r="A103" s="381"/>
      <c r="B103" s="381"/>
      <c r="C103" s="381"/>
      <c r="D103" s="381"/>
      <c r="E103" s="381"/>
      <c r="F103" s="381"/>
      <c r="G103" s="381"/>
      <c r="H103" s="381"/>
      <c r="I103" s="381"/>
      <c r="J103" s="381"/>
      <c r="K103" s="381"/>
      <c r="L103" s="381"/>
    </row>
    <row r="104" spans="1:12" s="384" customFormat="1" ht="12" hidden="1">
      <c r="A104" s="381"/>
      <c r="B104" s="381"/>
      <c r="C104" s="381"/>
      <c r="D104" s="381"/>
      <c r="E104" s="381"/>
      <c r="F104" s="381"/>
      <c r="G104" s="381"/>
      <c r="H104" s="381"/>
      <c r="I104" s="381"/>
      <c r="J104" s="381"/>
      <c r="K104" s="381"/>
      <c r="L104" s="381"/>
    </row>
    <row r="105" spans="1:12" s="384" customFormat="1" ht="12" hidden="1">
      <c r="A105" s="381"/>
      <c r="B105" s="381"/>
      <c r="C105" s="381"/>
      <c r="D105" s="381"/>
      <c r="E105" s="381"/>
      <c r="F105" s="381"/>
      <c r="G105" s="381"/>
      <c r="H105" s="381"/>
      <c r="I105" s="381"/>
      <c r="J105" s="381"/>
      <c r="K105" s="381"/>
      <c r="L105" s="381"/>
    </row>
    <row r="106" spans="1:12" s="384" customFormat="1" ht="12" hidden="1">
      <c r="A106" s="381"/>
      <c r="B106" s="381"/>
      <c r="C106" s="381"/>
      <c r="D106" s="381"/>
      <c r="E106" s="381"/>
      <c r="F106" s="381"/>
      <c r="G106" s="381"/>
      <c r="H106" s="381"/>
      <c r="I106" s="381"/>
      <c r="J106" s="381"/>
      <c r="K106" s="381"/>
      <c r="L106" s="381"/>
    </row>
    <row r="107" spans="1:12" s="384" customFormat="1" ht="12" hidden="1">
      <c r="A107" s="381"/>
      <c r="B107" s="381"/>
      <c r="C107" s="381"/>
      <c r="D107" s="381"/>
      <c r="E107" s="381"/>
      <c r="F107" s="381"/>
      <c r="G107" s="381"/>
      <c r="H107" s="381"/>
      <c r="I107" s="381"/>
      <c r="J107" s="381"/>
      <c r="K107" s="381"/>
      <c r="L107" s="381"/>
    </row>
    <row r="108" spans="1:12" s="384" customFormat="1" ht="12" hidden="1">
      <c r="A108" s="381"/>
      <c r="B108" s="381"/>
      <c r="C108" s="381"/>
      <c r="D108" s="381"/>
      <c r="E108" s="381"/>
      <c r="F108" s="381"/>
      <c r="G108" s="381"/>
      <c r="H108" s="381"/>
      <c r="I108" s="381"/>
      <c r="J108" s="381"/>
      <c r="K108" s="381"/>
      <c r="L108" s="381"/>
    </row>
    <row r="109" spans="1:12" s="384" customFormat="1" ht="12" hidden="1">
      <c r="A109" s="381"/>
      <c r="B109" s="381"/>
      <c r="C109" s="381"/>
      <c r="D109" s="381"/>
      <c r="E109" s="381"/>
      <c r="F109" s="381"/>
      <c r="G109" s="381"/>
      <c r="H109" s="381"/>
      <c r="I109" s="381"/>
      <c r="J109" s="381"/>
      <c r="K109" s="381"/>
      <c r="L109" s="381"/>
    </row>
    <row r="110" spans="1:12" s="384" customFormat="1" ht="12" hidden="1">
      <c r="A110" s="381"/>
      <c r="B110" s="381"/>
      <c r="C110" s="381"/>
      <c r="D110" s="381"/>
      <c r="E110" s="381"/>
      <c r="F110" s="381"/>
      <c r="G110" s="381"/>
      <c r="H110" s="381"/>
      <c r="I110" s="381"/>
      <c r="J110" s="381"/>
      <c r="K110" s="381"/>
      <c r="L110" s="381"/>
    </row>
    <row r="111" spans="1:12" s="384" customFormat="1" ht="12" hidden="1">
      <c r="A111" s="381"/>
      <c r="B111" s="381"/>
      <c r="C111" s="381"/>
      <c r="D111" s="381"/>
      <c r="E111" s="381"/>
      <c r="F111" s="381"/>
      <c r="G111" s="381"/>
      <c r="H111" s="381"/>
      <c r="I111" s="381"/>
      <c r="J111" s="381"/>
      <c r="K111" s="381"/>
      <c r="L111" s="381"/>
    </row>
    <row r="112" spans="1:12" s="384" customFormat="1" ht="12" hidden="1">
      <c r="A112" s="381"/>
      <c r="B112" s="381"/>
      <c r="C112" s="381"/>
      <c r="D112" s="381"/>
      <c r="E112" s="381"/>
      <c r="F112" s="381"/>
      <c r="G112" s="381"/>
      <c r="H112" s="381"/>
      <c r="I112" s="381"/>
      <c r="J112" s="381"/>
      <c r="K112" s="381"/>
      <c r="L112" s="381"/>
    </row>
    <row r="113" spans="1:256" s="384" customFormat="1" ht="12" hidden="1">
      <c r="A113" s="381"/>
      <c r="B113" s="381"/>
      <c r="C113" s="381"/>
      <c r="D113" s="381"/>
      <c r="E113" s="381"/>
      <c r="F113" s="381"/>
      <c r="G113" s="381"/>
      <c r="H113" s="381"/>
      <c r="I113" s="381"/>
      <c r="J113" s="381"/>
      <c r="K113" s="381"/>
      <c r="L113" s="381"/>
    </row>
    <row r="114" spans="1:256" s="384" customFormat="1" ht="12" hidden="1">
      <c r="A114" s="381"/>
      <c r="B114" s="381"/>
      <c r="C114" s="381"/>
      <c r="D114" s="381"/>
      <c r="E114" s="381"/>
      <c r="F114" s="381"/>
      <c r="G114" s="381"/>
      <c r="H114" s="381"/>
      <c r="I114" s="381"/>
      <c r="J114" s="381"/>
      <c r="K114" s="381"/>
      <c r="L114" s="381"/>
    </row>
    <row r="115" spans="1:256" s="384" customFormat="1" ht="12" hidden="1">
      <c r="A115" s="381"/>
      <c r="B115" s="381"/>
      <c r="C115" s="381"/>
      <c r="D115" s="381"/>
      <c r="E115" s="381"/>
      <c r="F115" s="381"/>
      <c r="G115" s="381"/>
      <c r="H115" s="381"/>
      <c r="I115" s="381"/>
      <c r="J115" s="381"/>
      <c r="K115" s="381"/>
      <c r="L115" s="381"/>
    </row>
    <row r="116" spans="1:256" s="384" customFormat="1" ht="12" hidden="1">
      <c r="A116" s="381"/>
      <c r="B116" s="381"/>
      <c r="C116" s="381"/>
      <c r="D116" s="381"/>
      <c r="E116" s="381"/>
      <c r="F116" s="381"/>
      <c r="G116" s="381"/>
      <c r="H116" s="381"/>
      <c r="I116" s="381"/>
      <c r="J116" s="381"/>
      <c r="K116" s="381"/>
      <c r="L116" s="381"/>
    </row>
    <row r="117" spans="1:256" s="384" customFormat="1" ht="12" hidden="1">
      <c r="A117" s="381"/>
      <c r="B117" s="381"/>
      <c r="C117" s="381"/>
      <c r="D117" s="381"/>
      <c r="E117" s="381"/>
      <c r="F117" s="381"/>
      <c r="G117" s="381"/>
      <c r="H117" s="381"/>
      <c r="I117" s="381"/>
      <c r="J117" s="381"/>
      <c r="K117" s="381"/>
      <c r="L117" s="381"/>
    </row>
    <row r="118" spans="1:256" s="384" customFormat="1" ht="12" hidden="1">
      <c r="A118" s="381"/>
      <c r="B118" s="381"/>
      <c r="C118" s="381"/>
      <c r="D118" s="381"/>
      <c r="E118" s="381"/>
      <c r="F118" s="381"/>
      <c r="G118" s="381"/>
      <c r="H118" s="381"/>
      <c r="I118" s="381"/>
      <c r="J118" s="381"/>
      <c r="K118" s="381"/>
      <c r="L118" s="381"/>
    </row>
    <row r="119" spans="1:256" s="384" customFormat="1" ht="12.75" customHeight="1">
      <c r="A119" s="381"/>
      <c r="B119" s="381"/>
      <c r="C119" s="381"/>
      <c r="D119" s="381"/>
      <c r="E119" s="381"/>
      <c r="F119" s="381"/>
      <c r="G119" s="381"/>
      <c r="H119" s="381"/>
      <c r="I119" s="381"/>
      <c r="J119" s="381"/>
      <c r="K119" s="381"/>
      <c r="L119" s="381"/>
    </row>
    <row r="120" spans="1:256" s="384" customFormat="1" ht="12.75" customHeight="1">
      <c r="A120" s="381"/>
      <c r="B120" s="381"/>
      <c r="C120" s="381"/>
      <c r="D120" s="381"/>
      <c r="E120" s="381"/>
      <c r="F120" s="381"/>
      <c r="G120" s="381"/>
      <c r="H120" s="381"/>
      <c r="I120" s="381"/>
      <c r="J120" s="381"/>
      <c r="K120" s="381"/>
      <c r="L120" s="381"/>
    </row>
    <row r="121" spans="1:256" s="384" customFormat="1" ht="12.75" customHeight="1">
      <c r="A121" s="381"/>
      <c r="B121" s="381"/>
      <c r="C121" s="381"/>
      <c r="D121" s="381"/>
      <c r="E121" s="381"/>
      <c r="F121" s="381"/>
      <c r="G121" s="381"/>
      <c r="H121" s="381"/>
      <c r="I121" s="381"/>
      <c r="J121" s="381"/>
      <c r="K121" s="381"/>
      <c r="L121" s="381"/>
    </row>
    <row r="122" spans="1:256" ht="12.75" hidden="1" customHeight="1"/>
    <row r="123" spans="1:256" ht="12.75" hidden="1" customHeight="1"/>
    <row r="124" spans="1:256" ht="12.75" hidden="1" customHeight="1"/>
    <row r="125" spans="1:256" ht="12.75" hidden="1" customHeight="1"/>
    <row r="126" spans="1:256" ht="12.75" hidden="1" customHeight="1"/>
    <row r="127" spans="1:256" s="381" customFormat="1" ht="12.75" hidden="1" customHeight="1">
      <c r="M127" s="240"/>
      <c r="N127" s="240"/>
      <c r="O127" s="240"/>
      <c r="P127" s="240"/>
      <c r="Q127" s="240"/>
      <c r="R127" s="240"/>
      <c r="S127" s="240"/>
      <c r="T127" s="240"/>
      <c r="U127" s="240"/>
      <c r="V127" s="240"/>
      <c r="W127" s="240"/>
      <c r="X127" s="240"/>
      <c r="Y127" s="240"/>
      <c r="Z127" s="240"/>
      <c r="AA127" s="240"/>
      <c r="AB127" s="240"/>
      <c r="AC127" s="240"/>
      <c r="AD127" s="240"/>
      <c r="AE127" s="240"/>
      <c r="AF127" s="240"/>
      <c r="AG127" s="240"/>
      <c r="AH127" s="240"/>
      <c r="AI127" s="240"/>
      <c r="AJ127" s="240"/>
      <c r="AK127" s="240"/>
      <c r="AL127" s="240"/>
      <c r="AM127" s="240"/>
      <c r="AN127" s="240"/>
      <c r="AO127" s="240"/>
      <c r="AP127" s="240"/>
      <c r="AQ127" s="240"/>
      <c r="AR127" s="240"/>
      <c r="AS127" s="240"/>
      <c r="AT127" s="240"/>
      <c r="AU127" s="240"/>
      <c r="AV127" s="240"/>
      <c r="AW127" s="240"/>
      <c r="AX127" s="240"/>
      <c r="AY127" s="240"/>
      <c r="AZ127" s="240"/>
      <c r="BA127" s="240"/>
      <c r="BB127" s="240"/>
      <c r="BC127" s="240"/>
      <c r="BD127" s="240"/>
      <c r="BE127" s="240"/>
      <c r="BF127" s="240"/>
      <c r="BG127" s="240"/>
      <c r="BH127" s="240"/>
      <c r="BI127" s="240"/>
      <c r="BJ127" s="240"/>
      <c r="BK127" s="240"/>
      <c r="BL127" s="240"/>
      <c r="BM127" s="240"/>
      <c r="BN127" s="240"/>
      <c r="BO127" s="240"/>
      <c r="BP127" s="240"/>
      <c r="BQ127" s="240"/>
      <c r="BR127" s="240"/>
      <c r="BS127" s="240"/>
      <c r="BT127" s="240"/>
      <c r="BU127" s="240"/>
      <c r="BV127" s="240"/>
      <c r="BW127" s="240"/>
      <c r="BX127" s="240"/>
      <c r="BY127" s="240"/>
      <c r="BZ127" s="240"/>
      <c r="CA127" s="240"/>
      <c r="CB127" s="240"/>
      <c r="CC127" s="240"/>
      <c r="CD127" s="240"/>
      <c r="CE127" s="240"/>
      <c r="CF127" s="240"/>
      <c r="CG127" s="240"/>
      <c r="CH127" s="240"/>
      <c r="CI127" s="240"/>
      <c r="CJ127" s="240"/>
      <c r="CK127" s="240"/>
      <c r="CL127" s="240"/>
      <c r="CM127" s="240"/>
      <c r="CN127" s="240"/>
      <c r="CO127" s="240"/>
      <c r="CP127" s="240"/>
      <c r="CQ127" s="240"/>
      <c r="CR127" s="240"/>
      <c r="CS127" s="240"/>
      <c r="CT127" s="240"/>
      <c r="CU127" s="240"/>
      <c r="CV127" s="240"/>
      <c r="CW127" s="240"/>
      <c r="CX127" s="240"/>
      <c r="CY127" s="240"/>
      <c r="CZ127" s="240"/>
      <c r="DA127" s="240"/>
      <c r="DB127" s="240"/>
      <c r="DC127" s="240"/>
      <c r="DD127" s="240"/>
      <c r="DE127" s="240"/>
      <c r="DF127" s="240"/>
      <c r="DG127" s="240"/>
      <c r="DH127" s="240"/>
      <c r="DI127" s="240"/>
      <c r="DJ127" s="240"/>
      <c r="DK127" s="240"/>
      <c r="DL127" s="240"/>
      <c r="DM127" s="240"/>
      <c r="DN127" s="240"/>
      <c r="DO127" s="240"/>
      <c r="DP127" s="240"/>
      <c r="DQ127" s="240"/>
      <c r="DR127" s="240"/>
      <c r="DS127" s="240"/>
      <c r="DT127" s="240"/>
      <c r="DU127" s="240"/>
      <c r="DV127" s="240"/>
      <c r="DW127" s="240"/>
      <c r="DX127" s="240"/>
      <c r="DY127" s="240"/>
      <c r="DZ127" s="240"/>
      <c r="EA127" s="240"/>
      <c r="EB127" s="240"/>
      <c r="EC127" s="240"/>
      <c r="ED127" s="240"/>
      <c r="EE127" s="240"/>
      <c r="EF127" s="240"/>
      <c r="EG127" s="240"/>
      <c r="EH127" s="240"/>
      <c r="EI127" s="240"/>
      <c r="EJ127" s="240"/>
      <c r="EK127" s="240"/>
      <c r="EL127" s="240"/>
      <c r="EM127" s="240"/>
      <c r="EN127" s="240"/>
      <c r="EO127" s="240"/>
      <c r="EP127" s="240"/>
      <c r="EQ127" s="240"/>
      <c r="ER127" s="240"/>
      <c r="ES127" s="240"/>
      <c r="ET127" s="240"/>
      <c r="EU127" s="240"/>
      <c r="EV127" s="240"/>
      <c r="EW127" s="240"/>
      <c r="EX127" s="240"/>
      <c r="EY127" s="240"/>
      <c r="EZ127" s="240"/>
      <c r="FA127" s="240"/>
      <c r="FB127" s="240"/>
      <c r="FC127" s="240"/>
      <c r="FD127" s="240"/>
      <c r="FE127" s="240"/>
      <c r="FF127" s="240"/>
      <c r="FG127" s="240"/>
      <c r="FH127" s="240"/>
      <c r="FI127" s="240"/>
      <c r="FJ127" s="240"/>
      <c r="FK127" s="240"/>
      <c r="FL127" s="240"/>
      <c r="FM127" s="240"/>
      <c r="FN127" s="240"/>
      <c r="FO127" s="240"/>
      <c r="FP127" s="240"/>
      <c r="FQ127" s="240"/>
      <c r="FR127" s="240"/>
      <c r="FS127" s="240"/>
      <c r="FT127" s="240"/>
      <c r="FU127" s="240"/>
      <c r="FV127" s="240"/>
      <c r="FW127" s="240"/>
      <c r="FX127" s="240"/>
      <c r="FY127" s="240"/>
      <c r="FZ127" s="240"/>
      <c r="GA127" s="240"/>
      <c r="GB127" s="240"/>
      <c r="GC127" s="240"/>
      <c r="GD127" s="240"/>
      <c r="GE127" s="240"/>
      <c r="GF127" s="240"/>
      <c r="GG127" s="240"/>
      <c r="GH127" s="240"/>
      <c r="GI127" s="240"/>
      <c r="GJ127" s="240"/>
      <c r="GK127" s="240"/>
      <c r="GL127" s="240"/>
      <c r="GM127" s="240"/>
      <c r="GN127" s="240"/>
      <c r="GO127" s="240"/>
      <c r="GP127" s="240"/>
      <c r="GQ127" s="240"/>
      <c r="GR127" s="240"/>
      <c r="GS127" s="240"/>
      <c r="GT127" s="240"/>
      <c r="GU127" s="240"/>
      <c r="GV127" s="240"/>
      <c r="GW127" s="240"/>
      <c r="GX127" s="240"/>
      <c r="GY127" s="240"/>
      <c r="GZ127" s="240"/>
      <c r="HA127" s="240"/>
      <c r="HB127" s="240"/>
      <c r="HC127" s="240"/>
      <c r="HD127" s="240"/>
      <c r="HE127" s="240"/>
      <c r="HF127" s="240"/>
      <c r="HG127" s="240"/>
      <c r="HH127" s="240"/>
      <c r="HI127" s="240"/>
      <c r="HJ127" s="240"/>
      <c r="HK127" s="240"/>
      <c r="HL127" s="240"/>
      <c r="HM127" s="240"/>
      <c r="HN127" s="240"/>
      <c r="HO127" s="240"/>
      <c r="HP127" s="240"/>
      <c r="HQ127" s="240"/>
      <c r="HR127" s="240"/>
      <c r="HS127" s="240"/>
      <c r="HT127" s="240"/>
      <c r="HU127" s="240"/>
      <c r="HV127" s="240"/>
      <c r="HW127" s="240"/>
      <c r="HX127" s="240"/>
      <c r="HY127" s="240"/>
      <c r="HZ127" s="240"/>
      <c r="IA127" s="240"/>
      <c r="IB127" s="240"/>
      <c r="IC127" s="240"/>
      <c r="ID127" s="240"/>
      <c r="IE127" s="240"/>
      <c r="IF127" s="240"/>
      <c r="IG127" s="240"/>
      <c r="IH127" s="240"/>
      <c r="II127" s="240"/>
      <c r="IJ127" s="240"/>
      <c r="IK127" s="240"/>
      <c r="IL127" s="240"/>
      <c r="IM127" s="240"/>
      <c r="IN127" s="240"/>
      <c r="IO127" s="240"/>
      <c r="IP127" s="240"/>
      <c r="IQ127" s="240"/>
      <c r="IR127" s="240"/>
      <c r="IS127" s="240"/>
      <c r="IT127" s="240"/>
      <c r="IU127" s="240"/>
      <c r="IV127" s="240"/>
    </row>
    <row r="128" spans="1:256" s="381" customFormat="1" ht="12.75" hidden="1" customHeight="1">
      <c r="M128" s="240"/>
      <c r="N128" s="240"/>
      <c r="O128" s="240"/>
      <c r="P128" s="240"/>
      <c r="Q128" s="240"/>
      <c r="R128" s="240"/>
      <c r="S128" s="240"/>
      <c r="T128" s="240"/>
      <c r="U128" s="240"/>
      <c r="V128" s="240"/>
      <c r="W128" s="240"/>
      <c r="X128" s="240"/>
      <c r="Y128" s="240"/>
      <c r="Z128" s="240"/>
      <c r="AA128" s="240"/>
      <c r="AB128" s="240"/>
      <c r="AC128" s="240"/>
      <c r="AD128" s="240"/>
      <c r="AE128" s="240"/>
      <c r="AF128" s="240"/>
      <c r="AG128" s="240"/>
      <c r="AH128" s="240"/>
      <c r="AI128" s="240"/>
      <c r="AJ128" s="240"/>
      <c r="AK128" s="240"/>
      <c r="AL128" s="240"/>
      <c r="AM128" s="240"/>
      <c r="AN128" s="240"/>
      <c r="AO128" s="240"/>
      <c r="AP128" s="240"/>
      <c r="AQ128" s="240"/>
      <c r="AR128" s="240"/>
      <c r="AS128" s="240"/>
      <c r="AT128" s="240"/>
      <c r="AU128" s="240"/>
      <c r="AV128" s="240"/>
      <c r="AW128" s="240"/>
      <c r="AX128" s="240"/>
      <c r="AY128" s="240"/>
      <c r="AZ128" s="240"/>
      <c r="BA128" s="240"/>
      <c r="BB128" s="240"/>
      <c r="BC128" s="240"/>
      <c r="BD128" s="240"/>
      <c r="BE128" s="240"/>
      <c r="BF128" s="240"/>
      <c r="BG128" s="240"/>
      <c r="BH128" s="240"/>
      <c r="BI128" s="240"/>
      <c r="BJ128" s="240"/>
      <c r="BK128" s="240"/>
      <c r="BL128" s="240"/>
      <c r="BM128" s="240"/>
      <c r="BN128" s="240"/>
      <c r="BO128" s="240"/>
      <c r="BP128" s="240"/>
      <c r="BQ128" s="240"/>
      <c r="BR128" s="240"/>
      <c r="BS128" s="240"/>
      <c r="BT128" s="240"/>
      <c r="BU128" s="240"/>
      <c r="BV128" s="240"/>
      <c r="BW128" s="240"/>
      <c r="BX128" s="240"/>
      <c r="BY128" s="240"/>
      <c r="BZ128" s="240"/>
      <c r="CA128" s="240"/>
      <c r="CB128" s="240"/>
      <c r="CC128" s="240"/>
      <c r="CD128" s="240"/>
      <c r="CE128" s="240"/>
      <c r="CF128" s="240"/>
      <c r="CG128" s="240"/>
      <c r="CH128" s="240"/>
      <c r="CI128" s="240"/>
      <c r="CJ128" s="240"/>
      <c r="CK128" s="240"/>
      <c r="CL128" s="240"/>
      <c r="CM128" s="240"/>
      <c r="CN128" s="240"/>
      <c r="CO128" s="240"/>
      <c r="CP128" s="240"/>
      <c r="CQ128" s="240"/>
      <c r="CR128" s="240"/>
      <c r="CS128" s="240"/>
      <c r="CT128" s="240"/>
      <c r="CU128" s="240"/>
      <c r="CV128" s="240"/>
      <c r="CW128" s="240"/>
      <c r="CX128" s="240"/>
      <c r="CY128" s="240"/>
      <c r="CZ128" s="240"/>
      <c r="DA128" s="240"/>
      <c r="DB128" s="240"/>
      <c r="DC128" s="240"/>
      <c r="DD128" s="240"/>
      <c r="DE128" s="240"/>
      <c r="DF128" s="240"/>
      <c r="DG128" s="240"/>
      <c r="DH128" s="240"/>
      <c r="DI128" s="240"/>
      <c r="DJ128" s="240"/>
      <c r="DK128" s="240"/>
      <c r="DL128" s="240"/>
      <c r="DM128" s="240"/>
      <c r="DN128" s="240"/>
      <c r="DO128" s="240"/>
      <c r="DP128" s="240"/>
      <c r="DQ128" s="240"/>
      <c r="DR128" s="240"/>
      <c r="DS128" s="240"/>
      <c r="DT128" s="240"/>
      <c r="DU128" s="240"/>
      <c r="DV128" s="240"/>
      <c r="DW128" s="240"/>
      <c r="DX128" s="240"/>
      <c r="DY128" s="240"/>
      <c r="DZ128" s="240"/>
      <c r="EA128" s="240"/>
      <c r="EB128" s="240"/>
      <c r="EC128" s="240"/>
      <c r="ED128" s="240"/>
      <c r="EE128" s="240"/>
      <c r="EF128" s="240"/>
      <c r="EG128" s="240"/>
      <c r="EH128" s="240"/>
      <c r="EI128" s="240"/>
      <c r="EJ128" s="240"/>
      <c r="EK128" s="240"/>
      <c r="EL128" s="240"/>
      <c r="EM128" s="240"/>
      <c r="EN128" s="240"/>
      <c r="EO128" s="240"/>
      <c r="EP128" s="240"/>
      <c r="EQ128" s="240"/>
      <c r="ER128" s="240"/>
      <c r="ES128" s="240"/>
      <c r="ET128" s="240"/>
      <c r="EU128" s="240"/>
      <c r="EV128" s="240"/>
      <c r="EW128" s="240"/>
      <c r="EX128" s="240"/>
      <c r="EY128" s="240"/>
      <c r="EZ128" s="240"/>
      <c r="FA128" s="240"/>
      <c r="FB128" s="240"/>
      <c r="FC128" s="240"/>
      <c r="FD128" s="240"/>
      <c r="FE128" s="240"/>
      <c r="FF128" s="240"/>
      <c r="FG128" s="240"/>
      <c r="FH128" s="240"/>
      <c r="FI128" s="240"/>
      <c r="FJ128" s="240"/>
      <c r="FK128" s="240"/>
      <c r="FL128" s="240"/>
      <c r="FM128" s="240"/>
      <c r="FN128" s="240"/>
      <c r="FO128" s="240"/>
      <c r="FP128" s="240"/>
      <c r="FQ128" s="240"/>
      <c r="FR128" s="240"/>
      <c r="FS128" s="240"/>
      <c r="FT128" s="240"/>
      <c r="FU128" s="240"/>
      <c r="FV128" s="240"/>
      <c r="FW128" s="240"/>
      <c r="FX128" s="240"/>
      <c r="FY128" s="240"/>
      <c r="FZ128" s="240"/>
      <c r="GA128" s="240"/>
      <c r="GB128" s="240"/>
      <c r="GC128" s="240"/>
      <c r="GD128" s="240"/>
      <c r="GE128" s="240"/>
      <c r="GF128" s="240"/>
      <c r="GG128" s="240"/>
      <c r="GH128" s="240"/>
      <c r="GI128" s="240"/>
      <c r="GJ128" s="240"/>
      <c r="GK128" s="240"/>
      <c r="GL128" s="240"/>
      <c r="GM128" s="240"/>
      <c r="GN128" s="240"/>
      <c r="GO128" s="240"/>
      <c r="GP128" s="240"/>
      <c r="GQ128" s="240"/>
      <c r="GR128" s="240"/>
      <c r="GS128" s="240"/>
      <c r="GT128" s="240"/>
      <c r="GU128" s="240"/>
      <c r="GV128" s="240"/>
      <c r="GW128" s="240"/>
      <c r="GX128" s="240"/>
      <c r="GY128" s="240"/>
      <c r="GZ128" s="240"/>
      <c r="HA128" s="240"/>
      <c r="HB128" s="240"/>
      <c r="HC128" s="240"/>
      <c r="HD128" s="240"/>
      <c r="HE128" s="240"/>
      <c r="HF128" s="240"/>
      <c r="HG128" s="240"/>
      <c r="HH128" s="240"/>
      <c r="HI128" s="240"/>
      <c r="HJ128" s="240"/>
      <c r="HK128" s="240"/>
      <c r="HL128" s="240"/>
      <c r="HM128" s="240"/>
      <c r="HN128" s="240"/>
      <c r="HO128" s="240"/>
      <c r="HP128" s="240"/>
      <c r="HQ128" s="240"/>
      <c r="HR128" s="240"/>
      <c r="HS128" s="240"/>
      <c r="HT128" s="240"/>
      <c r="HU128" s="240"/>
      <c r="HV128" s="240"/>
      <c r="HW128" s="240"/>
      <c r="HX128" s="240"/>
      <c r="HY128" s="240"/>
      <c r="HZ128" s="240"/>
      <c r="IA128" s="240"/>
      <c r="IB128" s="240"/>
      <c r="IC128" s="240"/>
      <c r="ID128" s="240"/>
      <c r="IE128" s="240"/>
      <c r="IF128" s="240"/>
      <c r="IG128" s="240"/>
      <c r="IH128" s="240"/>
      <c r="II128" s="240"/>
      <c r="IJ128" s="240"/>
      <c r="IK128" s="240"/>
      <c r="IL128" s="240"/>
      <c r="IM128" s="240"/>
      <c r="IN128" s="240"/>
      <c r="IO128" s="240"/>
      <c r="IP128" s="240"/>
      <c r="IQ128" s="240"/>
      <c r="IR128" s="240"/>
      <c r="IS128" s="240"/>
      <c r="IT128" s="240"/>
      <c r="IU128" s="240"/>
      <c r="IV128" s="240"/>
    </row>
    <row r="129" spans="13:256" s="381" customFormat="1" ht="12.75" hidden="1" customHeight="1">
      <c r="M129" s="240"/>
      <c r="N129" s="240"/>
      <c r="O129" s="240"/>
      <c r="P129" s="240"/>
      <c r="Q129" s="240"/>
      <c r="R129" s="240"/>
      <c r="S129" s="240"/>
      <c r="T129" s="240"/>
      <c r="U129" s="240"/>
      <c r="V129" s="240"/>
      <c r="W129" s="240"/>
      <c r="X129" s="240"/>
      <c r="Y129" s="240"/>
      <c r="Z129" s="240"/>
      <c r="AA129" s="240"/>
      <c r="AB129" s="240"/>
      <c r="AC129" s="240"/>
      <c r="AD129" s="240"/>
      <c r="AE129" s="240"/>
      <c r="AF129" s="240"/>
      <c r="AG129" s="240"/>
      <c r="AH129" s="240"/>
      <c r="AI129" s="240"/>
      <c r="AJ129" s="240"/>
      <c r="AK129" s="240"/>
      <c r="AL129" s="240"/>
      <c r="AM129" s="240"/>
      <c r="AN129" s="240"/>
      <c r="AO129" s="240"/>
      <c r="AP129" s="240"/>
      <c r="AQ129" s="240"/>
      <c r="AR129" s="240"/>
      <c r="AS129" s="240"/>
      <c r="AT129" s="240"/>
      <c r="AU129" s="240"/>
      <c r="AV129" s="240"/>
      <c r="AW129" s="240"/>
      <c r="AX129" s="240"/>
      <c r="AY129" s="240"/>
      <c r="AZ129" s="240"/>
      <c r="BA129" s="240"/>
      <c r="BB129" s="240"/>
      <c r="BC129" s="240"/>
      <c r="BD129" s="240"/>
      <c r="BE129" s="240"/>
      <c r="BF129" s="240"/>
      <c r="BG129" s="240"/>
      <c r="BH129" s="240"/>
      <c r="BI129" s="240"/>
      <c r="BJ129" s="240"/>
      <c r="BK129" s="240"/>
      <c r="BL129" s="240"/>
      <c r="BM129" s="240"/>
      <c r="BN129" s="240"/>
      <c r="BO129" s="240"/>
      <c r="BP129" s="240"/>
      <c r="BQ129" s="240"/>
      <c r="BR129" s="240"/>
      <c r="BS129" s="240"/>
      <c r="BT129" s="240"/>
      <c r="BU129" s="240"/>
      <c r="BV129" s="240"/>
      <c r="BW129" s="240"/>
      <c r="BX129" s="240"/>
      <c r="BY129" s="240"/>
      <c r="BZ129" s="240"/>
      <c r="CA129" s="240"/>
      <c r="CB129" s="240"/>
      <c r="CC129" s="240"/>
      <c r="CD129" s="240"/>
      <c r="CE129" s="240"/>
      <c r="CF129" s="240"/>
      <c r="CG129" s="240"/>
      <c r="CH129" s="240"/>
      <c r="CI129" s="240"/>
      <c r="CJ129" s="240"/>
      <c r="CK129" s="240"/>
      <c r="CL129" s="240"/>
      <c r="CM129" s="240"/>
      <c r="CN129" s="240"/>
      <c r="CO129" s="240"/>
      <c r="CP129" s="240"/>
      <c r="CQ129" s="240"/>
      <c r="CR129" s="240"/>
      <c r="CS129" s="240"/>
      <c r="CT129" s="240"/>
      <c r="CU129" s="240"/>
      <c r="CV129" s="240"/>
      <c r="CW129" s="240"/>
      <c r="CX129" s="240"/>
      <c r="CY129" s="240"/>
      <c r="CZ129" s="240"/>
      <c r="DA129" s="240"/>
      <c r="DB129" s="240"/>
      <c r="DC129" s="240"/>
      <c r="DD129" s="240"/>
      <c r="DE129" s="240"/>
      <c r="DF129" s="240"/>
      <c r="DG129" s="240"/>
      <c r="DH129" s="240"/>
      <c r="DI129" s="240"/>
      <c r="DJ129" s="240"/>
      <c r="DK129" s="240"/>
      <c r="DL129" s="240"/>
      <c r="DM129" s="240"/>
      <c r="DN129" s="240"/>
      <c r="DO129" s="240"/>
      <c r="DP129" s="240"/>
      <c r="DQ129" s="240"/>
      <c r="DR129" s="240"/>
      <c r="DS129" s="240"/>
      <c r="DT129" s="240"/>
      <c r="DU129" s="240"/>
      <c r="DV129" s="240"/>
      <c r="DW129" s="240"/>
      <c r="DX129" s="240"/>
      <c r="DY129" s="240"/>
      <c r="DZ129" s="240"/>
      <c r="EA129" s="240"/>
      <c r="EB129" s="240"/>
      <c r="EC129" s="240"/>
      <c r="ED129" s="240"/>
      <c r="EE129" s="240"/>
      <c r="EF129" s="240"/>
      <c r="EG129" s="240"/>
      <c r="EH129" s="240"/>
      <c r="EI129" s="240"/>
      <c r="EJ129" s="240"/>
      <c r="EK129" s="240"/>
      <c r="EL129" s="240"/>
      <c r="EM129" s="240"/>
      <c r="EN129" s="240"/>
      <c r="EO129" s="240"/>
      <c r="EP129" s="240"/>
      <c r="EQ129" s="240"/>
      <c r="ER129" s="240"/>
      <c r="ES129" s="240"/>
      <c r="ET129" s="240"/>
      <c r="EU129" s="240"/>
      <c r="EV129" s="240"/>
      <c r="EW129" s="240"/>
      <c r="EX129" s="240"/>
      <c r="EY129" s="240"/>
      <c r="EZ129" s="240"/>
      <c r="FA129" s="240"/>
      <c r="FB129" s="240"/>
      <c r="FC129" s="240"/>
      <c r="FD129" s="240"/>
      <c r="FE129" s="240"/>
      <c r="FF129" s="240"/>
      <c r="FG129" s="240"/>
      <c r="FH129" s="240"/>
      <c r="FI129" s="240"/>
      <c r="FJ129" s="240"/>
      <c r="FK129" s="240"/>
      <c r="FL129" s="240"/>
      <c r="FM129" s="240"/>
      <c r="FN129" s="240"/>
      <c r="FO129" s="240"/>
      <c r="FP129" s="240"/>
      <c r="FQ129" s="240"/>
      <c r="FR129" s="240"/>
      <c r="FS129" s="240"/>
      <c r="FT129" s="240"/>
      <c r="FU129" s="240"/>
      <c r="FV129" s="240"/>
      <c r="FW129" s="240"/>
      <c r="FX129" s="240"/>
      <c r="FY129" s="240"/>
      <c r="FZ129" s="240"/>
      <c r="GA129" s="240"/>
      <c r="GB129" s="240"/>
      <c r="GC129" s="240"/>
      <c r="GD129" s="240"/>
      <c r="GE129" s="240"/>
      <c r="GF129" s="240"/>
      <c r="GG129" s="240"/>
      <c r="GH129" s="240"/>
      <c r="GI129" s="240"/>
      <c r="GJ129" s="240"/>
      <c r="GK129" s="240"/>
      <c r="GL129" s="240"/>
      <c r="GM129" s="240"/>
      <c r="GN129" s="240"/>
      <c r="GO129" s="240"/>
      <c r="GP129" s="240"/>
      <c r="GQ129" s="240"/>
      <c r="GR129" s="240"/>
      <c r="GS129" s="240"/>
      <c r="GT129" s="240"/>
      <c r="GU129" s="240"/>
      <c r="GV129" s="240"/>
      <c r="GW129" s="240"/>
      <c r="GX129" s="240"/>
      <c r="GY129" s="240"/>
      <c r="GZ129" s="240"/>
      <c r="HA129" s="240"/>
      <c r="HB129" s="240"/>
      <c r="HC129" s="240"/>
      <c r="HD129" s="240"/>
      <c r="HE129" s="240"/>
      <c r="HF129" s="240"/>
      <c r="HG129" s="240"/>
      <c r="HH129" s="240"/>
      <c r="HI129" s="240"/>
      <c r="HJ129" s="240"/>
      <c r="HK129" s="240"/>
      <c r="HL129" s="240"/>
      <c r="HM129" s="240"/>
      <c r="HN129" s="240"/>
      <c r="HO129" s="240"/>
      <c r="HP129" s="240"/>
      <c r="HQ129" s="240"/>
      <c r="HR129" s="240"/>
      <c r="HS129" s="240"/>
      <c r="HT129" s="240"/>
      <c r="HU129" s="240"/>
      <c r="HV129" s="240"/>
      <c r="HW129" s="240"/>
      <c r="HX129" s="240"/>
      <c r="HY129" s="240"/>
      <c r="HZ129" s="240"/>
      <c r="IA129" s="240"/>
      <c r="IB129" s="240"/>
      <c r="IC129" s="240"/>
      <c r="ID129" s="240"/>
      <c r="IE129" s="240"/>
      <c r="IF129" s="240"/>
      <c r="IG129" s="240"/>
      <c r="IH129" s="240"/>
      <c r="II129" s="240"/>
      <c r="IJ129" s="240"/>
      <c r="IK129" s="240"/>
      <c r="IL129" s="240"/>
      <c r="IM129" s="240"/>
      <c r="IN129" s="240"/>
      <c r="IO129" s="240"/>
      <c r="IP129" s="240"/>
      <c r="IQ129" s="240"/>
      <c r="IR129" s="240"/>
      <c r="IS129" s="240"/>
      <c r="IT129" s="240"/>
      <c r="IU129" s="240"/>
      <c r="IV129" s="240"/>
    </row>
    <row r="130" spans="13:256" s="381" customFormat="1" ht="12.75" hidden="1" customHeight="1">
      <c r="M130" s="240"/>
      <c r="N130" s="240"/>
      <c r="O130" s="240"/>
      <c r="P130" s="240"/>
      <c r="Q130" s="240"/>
      <c r="R130" s="240"/>
      <c r="S130" s="240"/>
      <c r="T130" s="240"/>
      <c r="U130" s="240"/>
      <c r="V130" s="240"/>
      <c r="W130" s="240"/>
      <c r="X130" s="240"/>
      <c r="Y130" s="240"/>
      <c r="Z130" s="240"/>
      <c r="AA130" s="240"/>
      <c r="AB130" s="240"/>
      <c r="AC130" s="240"/>
      <c r="AD130" s="240"/>
      <c r="AE130" s="240"/>
      <c r="AF130" s="240"/>
      <c r="AG130" s="240"/>
      <c r="AH130" s="240"/>
      <c r="AI130" s="240"/>
      <c r="AJ130" s="240"/>
      <c r="AK130" s="240"/>
      <c r="AL130" s="240"/>
      <c r="AM130" s="240"/>
      <c r="AN130" s="240"/>
      <c r="AO130" s="240"/>
      <c r="AP130" s="240"/>
      <c r="AQ130" s="240"/>
      <c r="AR130" s="240"/>
      <c r="AS130" s="240"/>
      <c r="AT130" s="240"/>
      <c r="AU130" s="240"/>
      <c r="AV130" s="240"/>
      <c r="AW130" s="240"/>
      <c r="AX130" s="240"/>
      <c r="AY130" s="240"/>
      <c r="AZ130" s="240"/>
      <c r="BA130" s="240"/>
      <c r="BB130" s="240"/>
      <c r="BC130" s="240"/>
      <c r="BD130" s="240"/>
      <c r="BE130" s="240"/>
      <c r="BF130" s="240"/>
      <c r="BG130" s="240"/>
      <c r="BH130" s="240"/>
      <c r="BI130" s="240"/>
      <c r="BJ130" s="240"/>
      <c r="BK130" s="240"/>
      <c r="BL130" s="240"/>
      <c r="BM130" s="240"/>
      <c r="BN130" s="240"/>
      <c r="BO130" s="240"/>
      <c r="BP130" s="240"/>
      <c r="BQ130" s="240"/>
      <c r="BR130" s="240"/>
      <c r="BS130" s="240"/>
      <c r="BT130" s="240"/>
      <c r="BU130" s="240"/>
      <c r="BV130" s="240"/>
      <c r="BW130" s="240"/>
      <c r="BX130" s="240"/>
      <c r="BY130" s="240"/>
      <c r="BZ130" s="240"/>
      <c r="CA130" s="240"/>
      <c r="CB130" s="240"/>
      <c r="CC130" s="240"/>
      <c r="CD130" s="240"/>
      <c r="CE130" s="240"/>
      <c r="CF130" s="240"/>
      <c r="CG130" s="240"/>
      <c r="CH130" s="240"/>
      <c r="CI130" s="240"/>
      <c r="CJ130" s="240"/>
      <c r="CK130" s="240"/>
      <c r="CL130" s="240"/>
      <c r="CM130" s="240"/>
      <c r="CN130" s="240"/>
      <c r="CO130" s="240"/>
      <c r="CP130" s="240"/>
      <c r="CQ130" s="240"/>
      <c r="CR130" s="240"/>
      <c r="CS130" s="240"/>
      <c r="CT130" s="240"/>
      <c r="CU130" s="240"/>
      <c r="CV130" s="240"/>
      <c r="CW130" s="240"/>
      <c r="CX130" s="240"/>
      <c r="CY130" s="240"/>
      <c r="CZ130" s="240"/>
      <c r="DA130" s="240"/>
      <c r="DB130" s="240"/>
      <c r="DC130" s="240"/>
      <c r="DD130" s="240"/>
      <c r="DE130" s="240"/>
      <c r="DF130" s="240"/>
      <c r="DG130" s="240"/>
      <c r="DH130" s="240"/>
      <c r="DI130" s="240"/>
      <c r="DJ130" s="240"/>
      <c r="DK130" s="240"/>
      <c r="DL130" s="240"/>
      <c r="DM130" s="240"/>
      <c r="DN130" s="240"/>
      <c r="DO130" s="240"/>
      <c r="DP130" s="240"/>
      <c r="DQ130" s="240"/>
      <c r="DR130" s="240"/>
      <c r="DS130" s="240"/>
      <c r="DT130" s="240"/>
      <c r="DU130" s="240"/>
      <c r="DV130" s="240"/>
      <c r="DW130" s="240"/>
      <c r="DX130" s="240"/>
      <c r="DY130" s="240"/>
      <c r="DZ130" s="240"/>
      <c r="EA130" s="240"/>
      <c r="EB130" s="240"/>
      <c r="EC130" s="240"/>
      <c r="ED130" s="240"/>
      <c r="EE130" s="240"/>
      <c r="EF130" s="240"/>
      <c r="EG130" s="240"/>
      <c r="EH130" s="240"/>
      <c r="EI130" s="240"/>
      <c r="EJ130" s="240"/>
      <c r="EK130" s="240"/>
      <c r="EL130" s="240"/>
      <c r="EM130" s="240"/>
      <c r="EN130" s="240"/>
      <c r="EO130" s="240"/>
      <c r="EP130" s="240"/>
      <c r="EQ130" s="240"/>
      <c r="ER130" s="240"/>
      <c r="ES130" s="240"/>
      <c r="ET130" s="240"/>
      <c r="EU130" s="240"/>
      <c r="EV130" s="240"/>
      <c r="EW130" s="240"/>
      <c r="EX130" s="240"/>
      <c r="EY130" s="240"/>
      <c r="EZ130" s="240"/>
      <c r="FA130" s="240"/>
      <c r="FB130" s="240"/>
      <c r="FC130" s="240"/>
      <c r="FD130" s="240"/>
      <c r="FE130" s="240"/>
      <c r="FF130" s="240"/>
      <c r="FG130" s="240"/>
      <c r="FH130" s="240"/>
      <c r="FI130" s="240"/>
      <c r="FJ130" s="240"/>
      <c r="FK130" s="240"/>
      <c r="FL130" s="240"/>
      <c r="FM130" s="240"/>
      <c r="FN130" s="240"/>
      <c r="FO130" s="240"/>
      <c r="FP130" s="240"/>
      <c r="FQ130" s="240"/>
      <c r="FR130" s="240"/>
      <c r="FS130" s="240"/>
      <c r="FT130" s="240"/>
      <c r="FU130" s="240"/>
      <c r="FV130" s="240"/>
      <c r="FW130" s="240"/>
      <c r="FX130" s="240"/>
      <c r="FY130" s="240"/>
      <c r="FZ130" s="240"/>
      <c r="GA130" s="240"/>
      <c r="GB130" s="240"/>
      <c r="GC130" s="240"/>
      <c r="GD130" s="240"/>
      <c r="GE130" s="240"/>
      <c r="GF130" s="240"/>
      <c r="GG130" s="240"/>
      <c r="GH130" s="240"/>
      <c r="GI130" s="240"/>
      <c r="GJ130" s="240"/>
      <c r="GK130" s="240"/>
      <c r="GL130" s="240"/>
      <c r="GM130" s="240"/>
      <c r="GN130" s="240"/>
      <c r="GO130" s="240"/>
      <c r="GP130" s="240"/>
      <c r="GQ130" s="240"/>
      <c r="GR130" s="240"/>
      <c r="GS130" s="240"/>
      <c r="GT130" s="240"/>
      <c r="GU130" s="240"/>
      <c r="GV130" s="240"/>
      <c r="GW130" s="240"/>
      <c r="GX130" s="240"/>
      <c r="GY130" s="240"/>
      <c r="GZ130" s="240"/>
      <c r="HA130" s="240"/>
      <c r="HB130" s="240"/>
      <c r="HC130" s="240"/>
      <c r="HD130" s="240"/>
      <c r="HE130" s="240"/>
      <c r="HF130" s="240"/>
      <c r="HG130" s="240"/>
      <c r="HH130" s="240"/>
      <c r="HI130" s="240"/>
      <c r="HJ130" s="240"/>
      <c r="HK130" s="240"/>
      <c r="HL130" s="240"/>
      <c r="HM130" s="240"/>
      <c r="HN130" s="240"/>
      <c r="HO130" s="240"/>
      <c r="HP130" s="240"/>
      <c r="HQ130" s="240"/>
      <c r="HR130" s="240"/>
      <c r="HS130" s="240"/>
      <c r="HT130" s="240"/>
      <c r="HU130" s="240"/>
      <c r="HV130" s="240"/>
      <c r="HW130" s="240"/>
      <c r="HX130" s="240"/>
      <c r="HY130" s="240"/>
      <c r="HZ130" s="240"/>
      <c r="IA130" s="240"/>
      <c r="IB130" s="240"/>
      <c r="IC130" s="240"/>
      <c r="ID130" s="240"/>
      <c r="IE130" s="240"/>
      <c r="IF130" s="240"/>
      <c r="IG130" s="240"/>
      <c r="IH130" s="240"/>
      <c r="II130" s="240"/>
      <c r="IJ130" s="240"/>
      <c r="IK130" s="240"/>
      <c r="IL130" s="240"/>
      <c r="IM130" s="240"/>
      <c r="IN130" s="240"/>
      <c r="IO130" s="240"/>
      <c r="IP130" s="240"/>
      <c r="IQ130" s="240"/>
      <c r="IR130" s="240"/>
      <c r="IS130" s="240"/>
      <c r="IT130" s="240"/>
      <c r="IU130" s="240"/>
      <c r="IV130" s="240"/>
    </row>
    <row r="131" spans="13:256" s="381" customFormat="1" ht="12.75" hidden="1" customHeight="1">
      <c r="M131" s="240"/>
      <c r="N131" s="240"/>
      <c r="O131" s="240"/>
      <c r="P131" s="240"/>
      <c r="Q131" s="240"/>
      <c r="R131" s="240"/>
      <c r="S131" s="240"/>
      <c r="T131" s="240"/>
      <c r="U131" s="240"/>
      <c r="V131" s="240"/>
      <c r="W131" s="240"/>
      <c r="X131" s="240"/>
      <c r="Y131" s="240"/>
      <c r="Z131" s="240"/>
      <c r="AA131" s="240"/>
      <c r="AB131" s="240"/>
      <c r="AC131" s="240"/>
      <c r="AD131" s="240"/>
      <c r="AE131" s="240"/>
      <c r="AF131" s="240"/>
      <c r="AG131" s="240"/>
      <c r="AH131" s="240"/>
      <c r="AI131" s="240"/>
      <c r="AJ131" s="240"/>
      <c r="AK131" s="240"/>
      <c r="AL131" s="240"/>
      <c r="AM131" s="240"/>
      <c r="AN131" s="240"/>
      <c r="AO131" s="240"/>
      <c r="AP131" s="240"/>
      <c r="AQ131" s="240"/>
      <c r="AR131" s="240"/>
      <c r="AS131" s="240"/>
      <c r="AT131" s="240"/>
      <c r="AU131" s="240"/>
      <c r="AV131" s="240"/>
      <c r="AW131" s="240"/>
      <c r="AX131" s="240"/>
      <c r="AY131" s="240"/>
      <c r="AZ131" s="240"/>
      <c r="BA131" s="240"/>
      <c r="BB131" s="240"/>
      <c r="BC131" s="240"/>
      <c r="BD131" s="240"/>
      <c r="BE131" s="240"/>
      <c r="BF131" s="240"/>
      <c r="BG131" s="240"/>
      <c r="BH131" s="240"/>
      <c r="BI131" s="240"/>
      <c r="BJ131" s="240"/>
      <c r="BK131" s="240"/>
      <c r="BL131" s="240"/>
      <c r="BM131" s="240"/>
      <c r="BN131" s="240"/>
      <c r="BO131" s="240"/>
      <c r="BP131" s="240"/>
      <c r="BQ131" s="240"/>
      <c r="BR131" s="240"/>
      <c r="BS131" s="240"/>
      <c r="BT131" s="240"/>
      <c r="BU131" s="240"/>
      <c r="BV131" s="240"/>
      <c r="BW131" s="240"/>
      <c r="BX131" s="240"/>
      <c r="BY131" s="240"/>
      <c r="BZ131" s="240"/>
      <c r="CA131" s="240"/>
      <c r="CB131" s="240"/>
      <c r="CC131" s="240"/>
      <c r="CD131" s="240"/>
      <c r="CE131" s="240"/>
      <c r="CF131" s="240"/>
      <c r="CG131" s="240"/>
      <c r="CH131" s="240"/>
      <c r="CI131" s="240"/>
      <c r="CJ131" s="240"/>
      <c r="CK131" s="240"/>
      <c r="CL131" s="240"/>
      <c r="CM131" s="240"/>
      <c r="CN131" s="240"/>
      <c r="CO131" s="240"/>
      <c r="CP131" s="240"/>
      <c r="CQ131" s="240"/>
      <c r="CR131" s="240"/>
      <c r="CS131" s="240"/>
      <c r="CT131" s="240"/>
      <c r="CU131" s="240"/>
      <c r="CV131" s="240"/>
      <c r="CW131" s="240"/>
      <c r="CX131" s="240"/>
      <c r="CY131" s="240"/>
      <c r="CZ131" s="240"/>
      <c r="DA131" s="240"/>
      <c r="DB131" s="240"/>
      <c r="DC131" s="240"/>
      <c r="DD131" s="240"/>
      <c r="DE131" s="240"/>
      <c r="DF131" s="240"/>
      <c r="DG131" s="240"/>
      <c r="DH131" s="240"/>
      <c r="DI131" s="240"/>
      <c r="DJ131" s="240"/>
      <c r="DK131" s="240"/>
      <c r="DL131" s="240"/>
      <c r="DM131" s="240"/>
      <c r="DN131" s="240"/>
      <c r="DO131" s="240"/>
      <c r="DP131" s="240"/>
      <c r="DQ131" s="240"/>
      <c r="DR131" s="240"/>
      <c r="DS131" s="240"/>
      <c r="DT131" s="240"/>
      <c r="DU131" s="240"/>
      <c r="DV131" s="240"/>
      <c r="DW131" s="240"/>
      <c r="DX131" s="240"/>
      <c r="DY131" s="240"/>
      <c r="DZ131" s="240"/>
      <c r="EA131" s="240"/>
      <c r="EB131" s="240"/>
      <c r="EC131" s="240"/>
      <c r="ED131" s="240"/>
      <c r="EE131" s="240"/>
      <c r="EF131" s="240"/>
      <c r="EG131" s="240"/>
      <c r="EH131" s="240"/>
      <c r="EI131" s="240"/>
      <c r="EJ131" s="240"/>
      <c r="EK131" s="240"/>
      <c r="EL131" s="240"/>
      <c r="EM131" s="240"/>
      <c r="EN131" s="240"/>
      <c r="EO131" s="240"/>
      <c r="EP131" s="240"/>
      <c r="EQ131" s="240"/>
      <c r="ER131" s="240"/>
      <c r="ES131" s="240"/>
      <c r="ET131" s="240"/>
      <c r="EU131" s="240"/>
      <c r="EV131" s="240"/>
      <c r="EW131" s="240"/>
      <c r="EX131" s="240"/>
      <c r="EY131" s="240"/>
      <c r="EZ131" s="240"/>
      <c r="FA131" s="240"/>
      <c r="FB131" s="240"/>
      <c r="FC131" s="240"/>
      <c r="FD131" s="240"/>
      <c r="FE131" s="240"/>
      <c r="FF131" s="240"/>
      <c r="FG131" s="240"/>
      <c r="FH131" s="240"/>
      <c r="FI131" s="240"/>
      <c r="FJ131" s="240"/>
      <c r="FK131" s="240"/>
      <c r="FL131" s="240"/>
      <c r="FM131" s="240"/>
      <c r="FN131" s="240"/>
      <c r="FO131" s="240"/>
      <c r="FP131" s="240"/>
      <c r="FQ131" s="240"/>
      <c r="FR131" s="240"/>
      <c r="FS131" s="240"/>
      <c r="FT131" s="240"/>
      <c r="FU131" s="240"/>
      <c r="FV131" s="240"/>
      <c r="FW131" s="240"/>
      <c r="FX131" s="240"/>
      <c r="FY131" s="240"/>
      <c r="FZ131" s="240"/>
      <c r="GA131" s="240"/>
      <c r="GB131" s="240"/>
      <c r="GC131" s="240"/>
      <c r="GD131" s="240"/>
      <c r="GE131" s="240"/>
      <c r="GF131" s="240"/>
      <c r="GG131" s="240"/>
      <c r="GH131" s="240"/>
      <c r="GI131" s="240"/>
      <c r="GJ131" s="240"/>
      <c r="GK131" s="240"/>
      <c r="GL131" s="240"/>
      <c r="GM131" s="240"/>
      <c r="GN131" s="240"/>
      <c r="GO131" s="240"/>
      <c r="GP131" s="240"/>
      <c r="GQ131" s="240"/>
      <c r="GR131" s="240"/>
      <c r="GS131" s="240"/>
      <c r="GT131" s="240"/>
      <c r="GU131" s="240"/>
      <c r="GV131" s="240"/>
      <c r="GW131" s="240"/>
      <c r="GX131" s="240"/>
      <c r="GY131" s="240"/>
      <c r="GZ131" s="240"/>
      <c r="HA131" s="240"/>
      <c r="HB131" s="240"/>
      <c r="HC131" s="240"/>
      <c r="HD131" s="240"/>
      <c r="HE131" s="240"/>
      <c r="HF131" s="240"/>
      <c r="HG131" s="240"/>
      <c r="HH131" s="240"/>
      <c r="HI131" s="240"/>
      <c r="HJ131" s="240"/>
      <c r="HK131" s="240"/>
      <c r="HL131" s="240"/>
      <c r="HM131" s="240"/>
      <c r="HN131" s="240"/>
      <c r="HO131" s="240"/>
      <c r="HP131" s="240"/>
      <c r="HQ131" s="240"/>
      <c r="HR131" s="240"/>
      <c r="HS131" s="240"/>
      <c r="HT131" s="240"/>
      <c r="HU131" s="240"/>
      <c r="HV131" s="240"/>
      <c r="HW131" s="240"/>
      <c r="HX131" s="240"/>
      <c r="HY131" s="240"/>
      <c r="HZ131" s="240"/>
      <c r="IA131" s="240"/>
      <c r="IB131" s="240"/>
      <c r="IC131" s="240"/>
      <c r="ID131" s="240"/>
      <c r="IE131" s="240"/>
      <c r="IF131" s="240"/>
      <c r="IG131" s="240"/>
      <c r="IH131" s="240"/>
      <c r="II131" s="240"/>
      <c r="IJ131" s="240"/>
      <c r="IK131" s="240"/>
      <c r="IL131" s="240"/>
      <c r="IM131" s="240"/>
      <c r="IN131" s="240"/>
      <c r="IO131" s="240"/>
      <c r="IP131" s="240"/>
      <c r="IQ131" s="240"/>
      <c r="IR131" s="240"/>
      <c r="IS131" s="240"/>
      <c r="IT131" s="240"/>
      <c r="IU131" s="240"/>
      <c r="IV131" s="240"/>
    </row>
    <row r="132" spans="13:256" s="381" customFormat="1" ht="12.75" hidden="1" customHeight="1">
      <c r="M132" s="240"/>
      <c r="N132" s="240"/>
      <c r="O132" s="240"/>
      <c r="P132" s="240"/>
      <c r="Q132" s="240"/>
      <c r="R132" s="240"/>
      <c r="S132" s="240"/>
      <c r="T132" s="240"/>
      <c r="U132" s="240"/>
      <c r="V132" s="240"/>
      <c r="W132" s="240"/>
      <c r="X132" s="240"/>
      <c r="Y132" s="240"/>
      <c r="Z132" s="240"/>
      <c r="AA132" s="240"/>
      <c r="AB132" s="240"/>
      <c r="AC132" s="240"/>
      <c r="AD132" s="240"/>
      <c r="AE132" s="240"/>
      <c r="AF132" s="240"/>
      <c r="AG132" s="240"/>
      <c r="AH132" s="240"/>
      <c r="AI132" s="240"/>
      <c r="AJ132" s="240"/>
      <c r="AK132" s="240"/>
      <c r="AL132" s="240"/>
      <c r="AM132" s="240"/>
      <c r="AN132" s="240"/>
      <c r="AO132" s="240"/>
      <c r="AP132" s="240"/>
      <c r="AQ132" s="240"/>
      <c r="AR132" s="240"/>
      <c r="AS132" s="240"/>
      <c r="AT132" s="240"/>
      <c r="AU132" s="240"/>
      <c r="AV132" s="240"/>
      <c r="AW132" s="240"/>
      <c r="AX132" s="240"/>
      <c r="AY132" s="240"/>
      <c r="AZ132" s="240"/>
      <c r="BA132" s="240"/>
      <c r="BB132" s="240"/>
      <c r="BC132" s="240"/>
      <c r="BD132" s="240"/>
      <c r="BE132" s="240"/>
      <c r="BF132" s="240"/>
      <c r="BG132" s="240"/>
      <c r="BH132" s="240"/>
      <c r="BI132" s="240"/>
      <c r="BJ132" s="240"/>
      <c r="BK132" s="240"/>
      <c r="BL132" s="240"/>
      <c r="BM132" s="240"/>
      <c r="BN132" s="240"/>
      <c r="BO132" s="240"/>
      <c r="BP132" s="240"/>
      <c r="BQ132" s="240"/>
      <c r="BR132" s="240"/>
      <c r="BS132" s="240"/>
      <c r="BT132" s="240"/>
      <c r="BU132" s="240"/>
      <c r="BV132" s="240"/>
      <c r="BW132" s="240"/>
      <c r="BX132" s="240"/>
      <c r="BY132" s="240"/>
      <c r="BZ132" s="240"/>
      <c r="CA132" s="240"/>
      <c r="CB132" s="240"/>
      <c r="CC132" s="240"/>
      <c r="CD132" s="240"/>
      <c r="CE132" s="240"/>
      <c r="CF132" s="240"/>
      <c r="CG132" s="240"/>
      <c r="CH132" s="240"/>
      <c r="CI132" s="240"/>
      <c r="CJ132" s="240"/>
      <c r="CK132" s="240"/>
      <c r="CL132" s="240"/>
      <c r="CM132" s="240"/>
      <c r="CN132" s="240"/>
      <c r="CO132" s="240"/>
      <c r="CP132" s="240"/>
      <c r="CQ132" s="240"/>
      <c r="CR132" s="240"/>
      <c r="CS132" s="240"/>
      <c r="CT132" s="240"/>
      <c r="CU132" s="240"/>
      <c r="CV132" s="240"/>
      <c r="CW132" s="240"/>
      <c r="CX132" s="240"/>
      <c r="CY132" s="240"/>
      <c r="CZ132" s="240"/>
      <c r="DA132" s="240"/>
      <c r="DB132" s="240"/>
      <c r="DC132" s="240"/>
      <c r="DD132" s="240"/>
      <c r="DE132" s="240"/>
      <c r="DF132" s="240"/>
      <c r="DG132" s="240"/>
      <c r="DH132" s="240"/>
      <c r="DI132" s="240"/>
      <c r="DJ132" s="240"/>
      <c r="DK132" s="240"/>
      <c r="DL132" s="240"/>
      <c r="DM132" s="240"/>
      <c r="DN132" s="240"/>
      <c r="DO132" s="240"/>
      <c r="DP132" s="240"/>
      <c r="DQ132" s="240"/>
      <c r="DR132" s="240"/>
      <c r="DS132" s="240"/>
      <c r="DT132" s="240"/>
      <c r="DU132" s="240"/>
      <c r="DV132" s="240"/>
      <c r="DW132" s="240"/>
      <c r="DX132" s="240"/>
      <c r="DY132" s="240"/>
      <c r="DZ132" s="240"/>
      <c r="EA132" s="240"/>
      <c r="EB132" s="240"/>
      <c r="EC132" s="240"/>
      <c r="ED132" s="240"/>
      <c r="EE132" s="240"/>
      <c r="EF132" s="240"/>
      <c r="EG132" s="240"/>
      <c r="EH132" s="240"/>
      <c r="EI132" s="240"/>
      <c r="EJ132" s="240"/>
      <c r="EK132" s="240"/>
      <c r="EL132" s="240"/>
      <c r="EM132" s="240"/>
      <c r="EN132" s="240"/>
      <c r="EO132" s="240"/>
      <c r="EP132" s="240"/>
      <c r="EQ132" s="240"/>
      <c r="ER132" s="240"/>
      <c r="ES132" s="240"/>
      <c r="ET132" s="240"/>
      <c r="EU132" s="240"/>
      <c r="EV132" s="240"/>
      <c r="EW132" s="240"/>
      <c r="EX132" s="240"/>
      <c r="EY132" s="240"/>
      <c r="EZ132" s="240"/>
      <c r="FA132" s="240"/>
      <c r="FB132" s="240"/>
      <c r="FC132" s="240"/>
      <c r="FD132" s="240"/>
      <c r="FE132" s="240"/>
      <c r="FF132" s="240"/>
      <c r="FG132" s="240"/>
      <c r="FH132" s="240"/>
      <c r="FI132" s="240"/>
      <c r="FJ132" s="240"/>
      <c r="FK132" s="240"/>
      <c r="FL132" s="240"/>
      <c r="FM132" s="240"/>
      <c r="FN132" s="240"/>
      <c r="FO132" s="240"/>
      <c r="FP132" s="240"/>
      <c r="FQ132" s="240"/>
      <c r="FR132" s="240"/>
      <c r="FS132" s="240"/>
      <c r="FT132" s="240"/>
      <c r="FU132" s="240"/>
      <c r="FV132" s="240"/>
      <c r="FW132" s="240"/>
      <c r="FX132" s="240"/>
      <c r="FY132" s="240"/>
      <c r="FZ132" s="240"/>
      <c r="GA132" s="240"/>
      <c r="GB132" s="240"/>
      <c r="GC132" s="240"/>
      <c r="GD132" s="240"/>
      <c r="GE132" s="240"/>
      <c r="GF132" s="240"/>
      <c r="GG132" s="240"/>
      <c r="GH132" s="240"/>
      <c r="GI132" s="240"/>
      <c r="GJ132" s="240"/>
      <c r="GK132" s="240"/>
      <c r="GL132" s="240"/>
      <c r="GM132" s="240"/>
      <c r="GN132" s="240"/>
      <c r="GO132" s="240"/>
      <c r="GP132" s="240"/>
      <c r="GQ132" s="240"/>
      <c r="GR132" s="240"/>
      <c r="GS132" s="240"/>
      <c r="GT132" s="240"/>
      <c r="GU132" s="240"/>
      <c r="GV132" s="240"/>
      <c r="GW132" s="240"/>
      <c r="GX132" s="240"/>
      <c r="GY132" s="240"/>
      <c r="GZ132" s="240"/>
      <c r="HA132" s="240"/>
      <c r="HB132" s="240"/>
      <c r="HC132" s="240"/>
      <c r="HD132" s="240"/>
      <c r="HE132" s="240"/>
      <c r="HF132" s="240"/>
      <c r="HG132" s="240"/>
      <c r="HH132" s="240"/>
      <c r="HI132" s="240"/>
      <c r="HJ132" s="240"/>
      <c r="HK132" s="240"/>
      <c r="HL132" s="240"/>
      <c r="HM132" s="240"/>
      <c r="HN132" s="240"/>
      <c r="HO132" s="240"/>
      <c r="HP132" s="240"/>
      <c r="HQ132" s="240"/>
      <c r="HR132" s="240"/>
      <c r="HS132" s="240"/>
      <c r="HT132" s="240"/>
      <c r="HU132" s="240"/>
      <c r="HV132" s="240"/>
      <c r="HW132" s="240"/>
      <c r="HX132" s="240"/>
      <c r="HY132" s="240"/>
      <c r="HZ132" s="240"/>
      <c r="IA132" s="240"/>
      <c r="IB132" s="240"/>
      <c r="IC132" s="240"/>
      <c r="ID132" s="240"/>
      <c r="IE132" s="240"/>
      <c r="IF132" s="240"/>
      <c r="IG132" s="240"/>
      <c r="IH132" s="240"/>
      <c r="II132" s="240"/>
      <c r="IJ132" s="240"/>
      <c r="IK132" s="240"/>
      <c r="IL132" s="240"/>
      <c r="IM132" s="240"/>
      <c r="IN132" s="240"/>
      <c r="IO132" s="240"/>
      <c r="IP132" s="240"/>
      <c r="IQ132" s="240"/>
      <c r="IR132" s="240"/>
      <c r="IS132" s="240"/>
      <c r="IT132" s="240"/>
      <c r="IU132" s="240"/>
      <c r="IV132" s="240"/>
    </row>
  </sheetData>
  <sheetProtection password="CA61" sheet="1" objects="1" scenarios="1"/>
  <protectedRanges>
    <protectedRange sqref="B50 F50:G51" name="Range1"/>
  </protectedRanges>
  <mergeCells count="24">
    <mergeCell ref="D83:G83"/>
    <mergeCell ref="I83:K83"/>
    <mergeCell ref="B70:J71"/>
    <mergeCell ref="B73:C73"/>
    <mergeCell ref="A1:H1"/>
    <mergeCell ref="I1:L1"/>
    <mergeCell ref="I17:K17"/>
    <mergeCell ref="D41:E41"/>
    <mergeCell ref="D45:E45"/>
    <mergeCell ref="A6:L6"/>
    <mergeCell ref="A38:H38"/>
    <mergeCell ref="A40:B40"/>
    <mergeCell ref="D40:F40"/>
    <mergeCell ref="D50:E50"/>
    <mergeCell ref="F50:G50"/>
    <mergeCell ref="F51:G51"/>
    <mergeCell ref="D51:E51"/>
    <mergeCell ref="D80:G80"/>
    <mergeCell ref="A62:L62"/>
    <mergeCell ref="A65:A67"/>
    <mergeCell ref="B65:E65"/>
    <mergeCell ref="F65:K65"/>
    <mergeCell ref="B66:K66"/>
    <mergeCell ref="I80:K80"/>
  </mergeCells>
  <conditionalFormatting sqref="D47:D49 D37:D39 D52">
    <cfRule type="iconSet" priority="5">
      <iconSet iconSet="3Symbols2" showValue="0" reverse="1">
        <cfvo type="percent" val="0"/>
        <cfvo type="num" val="1" gte="0"/>
        <cfvo type="num" val="3"/>
      </iconSet>
    </cfRule>
  </conditionalFormatting>
  <conditionalFormatting sqref="D26">
    <cfRule type="iconSet" priority="4">
      <iconSet iconSet="3Symbols">
        <cfvo type="percent" val="0"/>
        <cfvo type="percent" val="33"/>
        <cfvo type="percent" val="67"/>
      </iconSet>
    </cfRule>
  </conditionalFormatting>
  <conditionalFormatting sqref="E25">
    <cfRule type="iconSet" priority="6">
      <iconSet iconSet="3Symbols2" showValue="0" reverse="1">
        <cfvo type="percent" val="0"/>
        <cfvo type="num" val="1" gte="0"/>
        <cfvo type="num" val="3"/>
      </iconSet>
    </cfRule>
  </conditionalFormatting>
  <conditionalFormatting sqref="D27:D36">
    <cfRule type="iconSet" priority="2">
      <iconSet iconSet="3Symbols" showValue="0">
        <cfvo type="percent" val="0"/>
        <cfvo type="num" val="2"/>
        <cfvo type="num" val="3"/>
      </iconSet>
    </cfRule>
  </conditionalFormatting>
  <conditionalFormatting sqref="F46">
    <cfRule type="iconSet" priority="1">
      <iconSet iconSet="3Symbols" showValue="0">
        <cfvo type="percent" val="0"/>
        <cfvo type="num" val="3"/>
        <cfvo type="num" val="3"/>
      </iconSet>
    </cfRule>
  </conditionalFormatting>
  <dataValidations count="2">
    <dataValidation type="list" allowBlank="1" showInputMessage="1" showErrorMessage="1" sqref="F51">
      <formula1>"Without collateral, With Collateral"</formula1>
    </dataValidation>
    <dataValidation type="list" allowBlank="1" showInputMessage="1" showErrorMessage="1" sqref="F50:G50">
      <formula1>"Loan&gt;200000, Loan&lt;200000"</formula1>
    </dataValidation>
  </dataValidations>
  <printOptions horizontalCentered="1"/>
  <pageMargins left="0.23622047244094499" right="0.23622047244094499" top="0.26" bottom="0.26" header="0.18" footer="0.17"/>
  <pageSetup paperSize="9" scale="75" orientation="landscape" r:id="rId1"/>
  <rowBreaks count="1" manualBreakCount="1">
    <brk id="59" max="11" man="1"/>
  </rowBreaks>
  <drawing r:id="rId2"/>
</worksheet>
</file>

<file path=xl/worksheets/sheet8.xml><?xml version="1.0" encoding="utf-8"?>
<worksheet xmlns="http://schemas.openxmlformats.org/spreadsheetml/2006/main" xmlns:r="http://schemas.openxmlformats.org/officeDocument/2006/relationships">
  <sheetPr published="0"/>
  <dimension ref="A1:AL141"/>
  <sheetViews>
    <sheetView showGridLines="0" tabSelected="1" topLeftCell="A124" zoomScale="130" zoomScaleNormal="130" workbookViewId="0">
      <selection activeCell="H141" sqref="H141"/>
    </sheetView>
  </sheetViews>
  <sheetFormatPr defaultColWidth="9.140625" defaultRowHeight="12.75"/>
  <cols>
    <col min="1" max="1" width="9.5703125" style="92" bestFit="1" customWidth="1"/>
    <col min="2" max="2" width="23.85546875" style="92" customWidth="1"/>
    <col min="3" max="3" width="16" style="92" customWidth="1"/>
    <col min="4" max="4" width="15.85546875" style="92" customWidth="1"/>
    <col min="5" max="5" width="10.5703125" style="92" customWidth="1"/>
    <col min="6" max="6" width="3" style="92" customWidth="1"/>
    <col min="7" max="7" width="13.140625" style="92" customWidth="1"/>
    <col min="8" max="8" width="14.85546875" style="92" customWidth="1"/>
    <col min="9" max="9" width="13.42578125" style="92" customWidth="1"/>
    <col min="10" max="10" width="13.85546875" style="92" customWidth="1"/>
    <col min="11" max="11" width="15.28515625" style="92" customWidth="1"/>
    <col min="12" max="12" width="3.5703125" style="92" customWidth="1"/>
    <col min="13" max="13" width="4.42578125" style="92" customWidth="1"/>
    <col min="14" max="14" width="7.140625" style="92" customWidth="1"/>
    <col min="15" max="18" width="15.28515625" style="92" customWidth="1"/>
    <col min="19" max="19" width="12.7109375" style="92" customWidth="1"/>
    <col min="20" max="26" width="9.140625" style="92"/>
    <col min="27" max="27" width="11.7109375" style="92" bestFit="1" customWidth="1"/>
    <col min="28" max="32" width="9.140625" style="92"/>
    <col min="33" max="33" width="11.7109375" style="92" bestFit="1" customWidth="1"/>
    <col min="34" max="256" width="9.140625" style="92"/>
    <col min="257" max="257" width="9.5703125" style="92" bestFit="1" customWidth="1"/>
    <col min="258" max="258" width="23.85546875" style="92" customWidth="1"/>
    <col min="259" max="259" width="16" style="92" customWidth="1"/>
    <col min="260" max="260" width="15.85546875" style="92" customWidth="1"/>
    <col min="261" max="261" width="10.5703125" style="92" customWidth="1"/>
    <col min="262" max="262" width="3" style="92" customWidth="1"/>
    <col min="263" max="263" width="13.140625" style="92" customWidth="1"/>
    <col min="264" max="264" width="14.85546875" style="92" customWidth="1"/>
    <col min="265" max="265" width="13.42578125" style="92" customWidth="1"/>
    <col min="266" max="266" width="13.85546875" style="92" customWidth="1"/>
    <col min="267" max="267" width="15.28515625" style="92" customWidth="1"/>
    <col min="268" max="268" width="3.5703125" style="92" customWidth="1"/>
    <col min="269" max="269" width="4.42578125" style="92" customWidth="1"/>
    <col min="270" max="270" width="7.140625" style="92" customWidth="1"/>
    <col min="271" max="274" width="15.28515625" style="92" customWidth="1"/>
    <col min="275" max="275" width="12.7109375" style="92" customWidth="1"/>
    <col min="276" max="282" width="9.140625" style="92"/>
    <col min="283" max="283" width="11.7109375" style="92" bestFit="1" customWidth="1"/>
    <col min="284" max="288" width="9.140625" style="92"/>
    <col min="289" max="289" width="11.7109375" style="92" bestFit="1" customWidth="1"/>
    <col min="290" max="512" width="9.140625" style="92"/>
    <col min="513" max="513" width="9.5703125" style="92" bestFit="1" customWidth="1"/>
    <col min="514" max="514" width="23.85546875" style="92" customWidth="1"/>
    <col min="515" max="515" width="16" style="92" customWidth="1"/>
    <col min="516" max="516" width="15.85546875" style="92" customWidth="1"/>
    <col min="517" max="517" width="10.5703125" style="92" customWidth="1"/>
    <col min="518" max="518" width="3" style="92" customWidth="1"/>
    <col min="519" max="519" width="13.140625" style="92" customWidth="1"/>
    <col min="520" max="520" width="14.85546875" style="92" customWidth="1"/>
    <col min="521" max="521" width="13.42578125" style="92" customWidth="1"/>
    <col min="522" max="522" width="13.85546875" style="92" customWidth="1"/>
    <col min="523" max="523" width="15.28515625" style="92" customWidth="1"/>
    <col min="524" max="524" width="3.5703125" style="92" customWidth="1"/>
    <col min="525" max="525" width="4.42578125" style="92" customWidth="1"/>
    <col min="526" max="526" width="7.140625" style="92" customWidth="1"/>
    <col min="527" max="530" width="15.28515625" style="92" customWidth="1"/>
    <col min="531" max="531" width="12.7109375" style="92" customWidth="1"/>
    <col min="532" max="538" width="9.140625" style="92"/>
    <col min="539" max="539" width="11.7109375" style="92" bestFit="1" customWidth="1"/>
    <col min="540" max="544" width="9.140625" style="92"/>
    <col min="545" max="545" width="11.7109375" style="92" bestFit="1" customWidth="1"/>
    <col min="546" max="768" width="9.140625" style="92"/>
    <col min="769" max="769" width="9.5703125" style="92" bestFit="1" customWidth="1"/>
    <col min="770" max="770" width="23.85546875" style="92" customWidth="1"/>
    <col min="771" max="771" width="16" style="92" customWidth="1"/>
    <col min="772" max="772" width="15.85546875" style="92" customWidth="1"/>
    <col min="773" max="773" width="10.5703125" style="92" customWidth="1"/>
    <col min="774" max="774" width="3" style="92" customWidth="1"/>
    <col min="775" max="775" width="13.140625" style="92" customWidth="1"/>
    <col min="776" max="776" width="14.85546875" style="92" customWidth="1"/>
    <col min="777" max="777" width="13.42578125" style="92" customWidth="1"/>
    <col min="778" max="778" width="13.85546875" style="92" customWidth="1"/>
    <col min="779" max="779" width="15.28515625" style="92" customWidth="1"/>
    <col min="780" max="780" width="3.5703125" style="92" customWidth="1"/>
    <col min="781" max="781" width="4.42578125" style="92" customWidth="1"/>
    <col min="782" max="782" width="7.140625" style="92" customWidth="1"/>
    <col min="783" max="786" width="15.28515625" style="92" customWidth="1"/>
    <col min="787" max="787" width="12.7109375" style="92" customWidth="1"/>
    <col min="788" max="794" width="9.140625" style="92"/>
    <col min="795" max="795" width="11.7109375" style="92" bestFit="1" customWidth="1"/>
    <col min="796" max="800" width="9.140625" style="92"/>
    <col min="801" max="801" width="11.7109375" style="92" bestFit="1" customWidth="1"/>
    <col min="802" max="1024" width="9.140625" style="92"/>
    <col min="1025" max="1025" width="9.5703125" style="92" bestFit="1" customWidth="1"/>
    <col min="1026" max="1026" width="23.85546875" style="92" customWidth="1"/>
    <col min="1027" max="1027" width="16" style="92" customWidth="1"/>
    <col min="1028" max="1028" width="15.85546875" style="92" customWidth="1"/>
    <col min="1029" max="1029" width="10.5703125" style="92" customWidth="1"/>
    <col min="1030" max="1030" width="3" style="92" customWidth="1"/>
    <col min="1031" max="1031" width="13.140625" style="92" customWidth="1"/>
    <col min="1032" max="1032" width="14.85546875" style="92" customWidth="1"/>
    <col min="1033" max="1033" width="13.42578125" style="92" customWidth="1"/>
    <col min="1034" max="1034" width="13.85546875" style="92" customWidth="1"/>
    <col min="1035" max="1035" width="15.28515625" style="92" customWidth="1"/>
    <col min="1036" max="1036" width="3.5703125" style="92" customWidth="1"/>
    <col min="1037" max="1037" width="4.42578125" style="92" customWidth="1"/>
    <col min="1038" max="1038" width="7.140625" style="92" customWidth="1"/>
    <col min="1039" max="1042" width="15.28515625" style="92" customWidth="1"/>
    <col min="1043" max="1043" width="12.7109375" style="92" customWidth="1"/>
    <col min="1044" max="1050" width="9.140625" style="92"/>
    <col min="1051" max="1051" width="11.7109375" style="92" bestFit="1" customWidth="1"/>
    <col min="1052" max="1056" width="9.140625" style="92"/>
    <col min="1057" max="1057" width="11.7109375" style="92" bestFit="1" customWidth="1"/>
    <col min="1058" max="1280" width="9.140625" style="92"/>
    <col min="1281" max="1281" width="9.5703125" style="92" bestFit="1" customWidth="1"/>
    <col min="1282" max="1282" width="23.85546875" style="92" customWidth="1"/>
    <col min="1283" max="1283" width="16" style="92" customWidth="1"/>
    <col min="1284" max="1284" width="15.85546875" style="92" customWidth="1"/>
    <col min="1285" max="1285" width="10.5703125" style="92" customWidth="1"/>
    <col min="1286" max="1286" width="3" style="92" customWidth="1"/>
    <col min="1287" max="1287" width="13.140625" style="92" customWidth="1"/>
    <col min="1288" max="1288" width="14.85546875" style="92" customWidth="1"/>
    <col min="1289" max="1289" width="13.42578125" style="92" customWidth="1"/>
    <col min="1290" max="1290" width="13.85546875" style="92" customWidth="1"/>
    <col min="1291" max="1291" width="15.28515625" style="92" customWidth="1"/>
    <col min="1292" max="1292" width="3.5703125" style="92" customWidth="1"/>
    <col min="1293" max="1293" width="4.42578125" style="92" customWidth="1"/>
    <col min="1294" max="1294" width="7.140625" style="92" customWidth="1"/>
    <col min="1295" max="1298" width="15.28515625" style="92" customWidth="1"/>
    <col min="1299" max="1299" width="12.7109375" style="92" customWidth="1"/>
    <col min="1300" max="1306" width="9.140625" style="92"/>
    <col min="1307" max="1307" width="11.7109375" style="92" bestFit="1" customWidth="1"/>
    <col min="1308" max="1312" width="9.140625" style="92"/>
    <col min="1313" max="1313" width="11.7109375" style="92" bestFit="1" customWidth="1"/>
    <col min="1314" max="1536" width="9.140625" style="92"/>
    <col min="1537" max="1537" width="9.5703125" style="92" bestFit="1" customWidth="1"/>
    <col min="1538" max="1538" width="23.85546875" style="92" customWidth="1"/>
    <col min="1539" max="1539" width="16" style="92" customWidth="1"/>
    <col min="1540" max="1540" width="15.85546875" style="92" customWidth="1"/>
    <col min="1541" max="1541" width="10.5703125" style="92" customWidth="1"/>
    <col min="1542" max="1542" width="3" style="92" customWidth="1"/>
    <col min="1543" max="1543" width="13.140625" style="92" customWidth="1"/>
    <col min="1544" max="1544" width="14.85546875" style="92" customWidth="1"/>
    <col min="1545" max="1545" width="13.42578125" style="92" customWidth="1"/>
    <col min="1546" max="1546" width="13.85546875" style="92" customWidth="1"/>
    <col min="1547" max="1547" width="15.28515625" style="92" customWidth="1"/>
    <col min="1548" max="1548" width="3.5703125" style="92" customWidth="1"/>
    <col min="1549" max="1549" width="4.42578125" style="92" customWidth="1"/>
    <col min="1550" max="1550" width="7.140625" style="92" customWidth="1"/>
    <col min="1551" max="1554" width="15.28515625" style="92" customWidth="1"/>
    <col min="1555" max="1555" width="12.7109375" style="92" customWidth="1"/>
    <col min="1556" max="1562" width="9.140625" style="92"/>
    <col min="1563" max="1563" width="11.7109375" style="92" bestFit="1" customWidth="1"/>
    <col min="1564" max="1568" width="9.140625" style="92"/>
    <col min="1569" max="1569" width="11.7109375" style="92" bestFit="1" customWidth="1"/>
    <col min="1570" max="1792" width="9.140625" style="92"/>
    <col min="1793" max="1793" width="9.5703125" style="92" bestFit="1" customWidth="1"/>
    <col min="1794" max="1794" width="23.85546875" style="92" customWidth="1"/>
    <col min="1795" max="1795" width="16" style="92" customWidth="1"/>
    <col min="1796" max="1796" width="15.85546875" style="92" customWidth="1"/>
    <col min="1797" max="1797" width="10.5703125" style="92" customWidth="1"/>
    <col min="1798" max="1798" width="3" style="92" customWidth="1"/>
    <col min="1799" max="1799" width="13.140625" style="92" customWidth="1"/>
    <col min="1800" max="1800" width="14.85546875" style="92" customWidth="1"/>
    <col min="1801" max="1801" width="13.42578125" style="92" customWidth="1"/>
    <col min="1802" max="1802" width="13.85546875" style="92" customWidth="1"/>
    <col min="1803" max="1803" width="15.28515625" style="92" customWidth="1"/>
    <col min="1804" max="1804" width="3.5703125" style="92" customWidth="1"/>
    <col min="1805" max="1805" width="4.42578125" style="92" customWidth="1"/>
    <col min="1806" max="1806" width="7.140625" style="92" customWidth="1"/>
    <col min="1807" max="1810" width="15.28515625" style="92" customWidth="1"/>
    <col min="1811" max="1811" width="12.7109375" style="92" customWidth="1"/>
    <col min="1812" max="1818" width="9.140625" style="92"/>
    <col min="1819" max="1819" width="11.7109375" style="92" bestFit="1" customWidth="1"/>
    <col min="1820" max="1824" width="9.140625" style="92"/>
    <col min="1825" max="1825" width="11.7109375" style="92" bestFit="1" customWidth="1"/>
    <col min="1826" max="2048" width="9.140625" style="92"/>
    <col min="2049" max="2049" width="9.5703125" style="92" bestFit="1" customWidth="1"/>
    <col min="2050" max="2050" width="23.85546875" style="92" customWidth="1"/>
    <col min="2051" max="2051" width="16" style="92" customWidth="1"/>
    <col min="2052" max="2052" width="15.85546875" style="92" customWidth="1"/>
    <col min="2053" max="2053" width="10.5703125" style="92" customWidth="1"/>
    <col min="2054" max="2054" width="3" style="92" customWidth="1"/>
    <col min="2055" max="2055" width="13.140625" style="92" customWidth="1"/>
    <col min="2056" max="2056" width="14.85546875" style="92" customWidth="1"/>
    <col min="2057" max="2057" width="13.42578125" style="92" customWidth="1"/>
    <col min="2058" max="2058" width="13.85546875" style="92" customWidth="1"/>
    <col min="2059" max="2059" width="15.28515625" style="92" customWidth="1"/>
    <col min="2060" max="2060" width="3.5703125" style="92" customWidth="1"/>
    <col min="2061" max="2061" width="4.42578125" style="92" customWidth="1"/>
    <col min="2062" max="2062" width="7.140625" style="92" customWidth="1"/>
    <col min="2063" max="2066" width="15.28515625" style="92" customWidth="1"/>
    <col min="2067" max="2067" width="12.7109375" style="92" customWidth="1"/>
    <col min="2068" max="2074" width="9.140625" style="92"/>
    <col min="2075" max="2075" width="11.7109375" style="92" bestFit="1" customWidth="1"/>
    <col min="2076" max="2080" width="9.140625" style="92"/>
    <col min="2081" max="2081" width="11.7109375" style="92" bestFit="1" customWidth="1"/>
    <col min="2082" max="2304" width="9.140625" style="92"/>
    <col min="2305" max="2305" width="9.5703125" style="92" bestFit="1" customWidth="1"/>
    <col min="2306" max="2306" width="23.85546875" style="92" customWidth="1"/>
    <col min="2307" max="2307" width="16" style="92" customWidth="1"/>
    <col min="2308" max="2308" width="15.85546875" style="92" customWidth="1"/>
    <col min="2309" max="2309" width="10.5703125" style="92" customWidth="1"/>
    <col min="2310" max="2310" width="3" style="92" customWidth="1"/>
    <col min="2311" max="2311" width="13.140625" style="92" customWidth="1"/>
    <col min="2312" max="2312" width="14.85546875" style="92" customWidth="1"/>
    <col min="2313" max="2313" width="13.42578125" style="92" customWidth="1"/>
    <col min="2314" max="2314" width="13.85546875" style="92" customWidth="1"/>
    <col min="2315" max="2315" width="15.28515625" style="92" customWidth="1"/>
    <col min="2316" max="2316" width="3.5703125" style="92" customWidth="1"/>
    <col min="2317" max="2317" width="4.42578125" style="92" customWidth="1"/>
    <col min="2318" max="2318" width="7.140625" style="92" customWidth="1"/>
    <col min="2319" max="2322" width="15.28515625" style="92" customWidth="1"/>
    <col min="2323" max="2323" width="12.7109375" style="92" customWidth="1"/>
    <col min="2324" max="2330" width="9.140625" style="92"/>
    <col min="2331" max="2331" width="11.7109375" style="92" bestFit="1" customWidth="1"/>
    <col min="2332" max="2336" width="9.140625" style="92"/>
    <col min="2337" max="2337" width="11.7109375" style="92" bestFit="1" customWidth="1"/>
    <col min="2338" max="2560" width="9.140625" style="92"/>
    <col min="2561" max="2561" width="9.5703125" style="92" bestFit="1" customWidth="1"/>
    <col min="2562" max="2562" width="23.85546875" style="92" customWidth="1"/>
    <col min="2563" max="2563" width="16" style="92" customWidth="1"/>
    <col min="2564" max="2564" width="15.85546875" style="92" customWidth="1"/>
    <col min="2565" max="2565" width="10.5703125" style="92" customWidth="1"/>
    <col min="2566" max="2566" width="3" style="92" customWidth="1"/>
    <col min="2567" max="2567" width="13.140625" style="92" customWidth="1"/>
    <col min="2568" max="2568" width="14.85546875" style="92" customWidth="1"/>
    <col min="2569" max="2569" width="13.42578125" style="92" customWidth="1"/>
    <col min="2570" max="2570" width="13.85546875" style="92" customWidth="1"/>
    <col min="2571" max="2571" width="15.28515625" style="92" customWidth="1"/>
    <col min="2572" max="2572" width="3.5703125" style="92" customWidth="1"/>
    <col min="2573" max="2573" width="4.42578125" style="92" customWidth="1"/>
    <col min="2574" max="2574" width="7.140625" style="92" customWidth="1"/>
    <col min="2575" max="2578" width="15.28515625" style="92" customWidth="1"/>
    <col min="2579" max="2579" width="12.7109375" style="92" customWidth="1"/>
    <col min="2580" max="2586" width="9.140625" style="92"/>
    <col min="2587" max="2587" width="11.7109375" style="92" bestFit="1" customWidth="1"/>
    <col min="2588" max="2592" width="9.140625" style="92"/>
    <col min="2593" max="2593" width="11.7109375" style="92" bestFit="1" customWidth="1"/>
    <col min="2594" max="2816" width="9.140625" style="92"/>
    <col min="2817" max="2817" width="9.5703125" style="92" bestFit="1" customWidth="1"/>
    <col min="2818" max="2818" width="23.85546875" style="92" customWidth="1"/>
    <col min="2819" max="2819" width="16" style="92" customWidth="1"/>
    <col min="2820" max="2820" width="15.85546875" style="92" customWidth="1"/>
    <col min="2821" max="2821" width="10.5703125" style="92" customWidth="1"/>
    <col min="2822" max="2822" width="3" style="92" customWidth="1"/>
    <col min="2823" max="2823" width="13.140625" style="92" customWidth="1"/>
    <col min="2824" max="2824" width="14.85546875" style="92" customWidth="1"/>
    <col min="2825" max="2825" width="13.42578125" style="92" customWidth="1"/>
    <col min="2826" max="2826" width="13.85546875" style="92" customWidth="1"/>
    <col min="2827" max="2827" width="15.28515625" style="92" customWidth="1"/>
    <col min="2828" max="2828" width="3.5703125" style="92" customWidth="1"/>
    <col min="2829" max="2829" width="4.42578125" style="92" customWidth="1"/>
    <col min="2830" max="2830" width="7.140625" style="92" customWidth="1"/>
    <col min="2831" max="2834" width="15.28515625" style="92" customWidth="1"/>
    <col min="2835" max="2835" width="12.7109375" style="92" customWidth="1"/>
    <col min="2836" max="2842" width="9.140625" style="92"/>
    <col min="2843" max="2843" width="11.7109375" style="92" bestFit="1" customWidth="1"/>
    <col min="2844" max="2848" width="9.140625" style="92"/>
    <col min="2849" max="2849" width="11.7109375" style="92" bestFit="1" customWidth="1"/>
    <col min="2850" max="3072" width="9.140625" style="92"/>
    <col min="3073" max="3073" width="9.5703125" style="92" bestFit="1" customWidth="1"/>
    <col min="3074" max="3074" width="23.85546875" style="92" customWidth="1"/>
    <col min="3075" max="3075" width="16" style="92" customWidth="1"/>
    <col min="3076" max="3076" width="15.85546875" style="92" customWidth="1"/>
    <col min="3077" max="3077" width="10.5703125" style="92" customWidth="1"/>
    <col min="3078" max="3078" width="3" style="92" customWidth="1"/>
    <col min="3079" max="3079" width="13.140625" style="92" customWidth="1"/>
    <col min="3080" max="3080" width="14.85546875" style="92" customWidth="1"/>
    <col min="3081" max="3081" width="13.42578125" style="92" customWidth="1"/>
    <col min="3082" max="3082" width="13.85546875" style="92" customWidth="1"/>
    <col min="3083" max="3083" width="15.28515625" style="92" customWidth="1"/>
    <col min="3084" max="3084" width="3.5703125" style="92" customWidth="1"/>
    <col min="3085" max="3085" width="4.42578125" style="92" customWidth="1"/>
    <col min="3086" max="3086" width="7.140625" style="92" customWidth="1"/>
    <col min="3087" max="3090" width="15.28515625" style="92" customWidth="1"/>
    <col min="3091" max="3091" width="12.7109375" style="92" customWidth="1"/>
    <col min="3092" max="3098" width="9.140625" style="92"/>
    <col min="3099" max="3099" width="11.7109375" style="92" bestFit="1" customWidth="1"/>
    <col min="3100" max="3104" width="9.140625" style="92"/>
    <col min="3105" max="3105" width="11.7109375" style="92" bestFit="1" customWidth="1"/>
    <col min="3106" max="3328" width="9.140625" style="92"/>
    <col min="3329" max="3329" width="9.5703125" style="92" bestFit="1" customWidth="1"/>
    <col min="3330" max="3330" width="23.85546875" style="92" customWidth="1"/>
    <col min="3331" max="3331" width="16" style="92" customWidth="1"/>
    <col min="3332" max="3332" width="15.85546875" style="92" customWidth="1"/>
    <col min="3333" max="3333" width="10.5703125" style="92" customWidth="1"/>
    <col min="3334" max="3334" width="3" style="92" customWidth="1"/>
    <col min="3335" max="3335" width="13.140625" style="92" customWidth="1"/>
    <col min="3336" max="3336" width="14.85546875" style="92" customWidth="1"/>
    <col min="3337" max="3337" width="13.42578125" style="92" customWidth="1"/>
    <col min="3338" max="3338" width="13.85546875" style="92" customWidth="1"/>
    <col min="3339" max="3339" width="15.28515625" style="92" customWidth="1"/>
    <col min="3340" max="3340" width="3.5703125" style="92" customWidth="1"/>
    <col min="3341" max="3341" width="4.42578125" style="92" customWidth="1"/>
    <col min="3342" max="3342" width="7.140625" style="92" customWidth="1"/>
    <col min="3343" max="3346" width="15.28515625" style="92" customWidth="1"/>
    <col min="3347" max="3347" width="12.7109375" style="92" customWidth="1"/>
    <col min="3348" max="3354" width="9.140625" style="92"/>
    <col min="3355" max="3355" width="11.7109375" style="92" bestFit="1" customWidth="1"/>
    <col min="3356" max="3360" width="9.140625" style="92"/>
    <col min="3361" max="3361" width="11.7109375" style="92" bestFit="1" customWidth="1"/>
    <col min="3362" max="3584" width="9.140625" style="92"/>
    <col min="3585" max="3585" width="9.5703125" style="92" bestFit="1" customWidth="1"/>
    <col min="3586" max="3586" width="23.85546875" style="92" customWidth="1"/>
    <col min="3587" max="3587" width="16" style="92" customWidth="1"/>
    <col min="3588" max="3588" width="15.85546875" style="92" customWidth="1"/>
    <col min="3589" max="3589" width="10.5703125" style="92" customWidth="1"/>
    <col min="3590" max="3590" width="3" style="92" customWidth="1"/>
    <col min="3591" max="3591" width="13.140625" style="92" customWidth="1"/>
    <col min="3592" max="3592" width="14.85546875" style="92" customWidth="1"/>
    <col min="3593" max="3593" width="13.42578125" style="92" customWidth="1"/>
    <col min="3594" max="3594" width="13.85546875" style="92" customWidth="1"/>
    <col min="3595" max="3595" width="15.28515625" style="92" customWidth="1"/>
    <col min="3596" max="3596" width="3.5703125" style="92" customWidth="1"/>
    <col min="3597" max="3597" width="4.42578125" style="92" customWidth="1"/>
    <col min="3598" max="3598" width="7.140625" style="92" customWidth="1"/>
    <col min="3599" max="3602" width="15.28515625" style="92" customWidth="1"/>
    <col min="3603" max="3603" width="12.7109375" style="92" customWidth="1"/>
    <col min="3604" max="3610" width="9.140625" style="92"/>
    <col min="3611" max="3611" width="11.7109375" style="92" bestFit="1" customWidth="1"/>
    <col min="3612" max="3616" width="9.140625" style="92"/>
    <col min="3617" max="3617" width="11.7109375" style="92" bestFit="1" customWidth="1"/>
    <col min="3618" max="3840" width="9.140625" style="92"/>
    <col min="3841" max="3841" width="9.5703125" style="92" bestFit="1" customWidth="1"/>
    <col min="3842" max="3842" width="23.85546875" style="92" customWidth="1"/>
    <col min="3843" max="3843" width="16" style="92" customWidth="1"/>
    <col min="3844" max="3844" width="15.85546875" style="92" customWidth="1"/>
    <col min="3845" max="3845" width="10.5703125" style="92" customWidth="1"/>
    <col min="3846" max="3846" width="3" style="92" customWidth="1"/>
    <col min="3847" max="3847" width="13.140625" style="92" customWidth="1"/>
    <col min="3848" max="3848" width="14.85546875" style="92" customWidth="1"/>
    <col min="3849" max="3849" width="13.42578125" style="92" customWidth="1"/>
    <col min="3850" max="3850" width="13.85546875" style="92" customWidth="1"/>
    <col min="3851" max="3851" width="15.28515625" style="92" customWidth="1"/>
    <col min="3852" max="3852" width="3.5703125" style="92" customWidth="1"/>
    <col min="3853" max="3853" width="4.42578125" style="92" customWidth="1"/>
    <col min="3854" max="3854" width="7.140625" style="92" customWidth="1"/>
    <col min="3855" max="3858" width="15.28515625" style="92" customWidth="1"/>
    <col min="3859" max="3859" width="12.7109375" style="92" customWidth="1"/>
    <col min="3860" max="3866" width="9.140625" style="92"/>
    <col min="3867" max="3867" width="11.7109375" style="92" bestFit="1" customWidth="1"/>
    <col min="3868" max="3872" width="9.140625" style="92"/>
    <col min="3873" max="3873" width="11.7109375" style="92" bestFit="1" customWidth="1"/>
    <col min="3874" max="4096" width="9.140625" style="92"/>
    <col min="4097" max="4097" width="9.5703125" style="92" bestFit="1" customWidth="1"/>
    <col min="4098" max="4098" width="23.85546875" style="92" customWidth="1"/>
    <col min="4099" max="4099" width="16" style="92" customWidth="1"/>
    <col min="4100" max="4100" width="15.85546875" style="92" customWidth="1"/>
    <col min="4101" max="4101" width="10.5703125" style="92" customWidth="1"/>
    <col min="4102" max="4102" width="3" style="92" customWidth="1"/>
    <col min="4103" max="4103" width="13.140625" style="92" customWidth="1"/>
    <col min="4104" max="4104" width="14.85546875" style="92" customWidth="1"/>
    <col min="4105" max="4105" width="13.42578125" style="92" customWidth="1"/>
    <col min="4106" max="4106" width="13.85546875" style="92" customWidth="1"/>
    <col min="4107" max="4107" width="15.28515625" style="92" customWidth="1"/>
    <col min="4108" max="4108" width="3.5703125" style="92" customWidth="1"/>
    <col min="4109" max="4109" width="4.42578125" style="92" customWidth="1"/>
    <col min="4110" max="4110" width="7.140625" style="92" customWidth="1"/>
    <col min="4111" max="4114" width="15.28515625" style="92" customWidth="1"/>
    <col min="4115" max="4115" width="12.7109375" style="92" customWidth="1"/>
    <col min="4116" max="4122" width="9.140625" style="92"/>
    <col min="4123" max="4123" width="11.7109375" style="92" bestFit="1" customWidth="1"/>
    <col min="4124" max="4128" width="9.140625" style="92"/>
    <col min="4129" max="4129" width="11.7109375" style="92" bestFit="1" customWidth="1"/>
    <col min="4130" max="4352" width="9.140625" style="92"/>
    <col min="4353" max="4353" width="9.5703125" style="92" bestFit="1" customWidth="1"/>
    <col min="4354" max="4354" width="23.85546875" style="92" customWidth="1"/>
    <col min="4355" max="4355" width="16" style="92" customWidth="1"/>
    <col min="4356" max="4356" width="15.85546875" style="92" customWidth="1"/>
    <col min="4357" max="4357" width="10.5703125" style="92" customWidth="1"/>
    <col min="4358" max="4358" width="3" style="92" customWidth="1"/>
    <col min="4359" max="4359" width="13.140625" style="92" customWidth="1"/>
    <col min="4360" max="4360" width="14.85546875" style="92" customWidth="1"/>
    <col min="4361" max="4361" width="13.42578125" style="92" customWidth="1"/>
    <col min="4362" max="4362" width="13.85546875" style="92" customWidth="1"/>
    <col min="4363" max="4363" width="15.28515625" style="92" customWidth="1"/>
    <col min="4364" max="4364" width="3.5703125" style="92" customWidth="1"/>
    <col min="4365" max="4365" width="4.42578125" style="92" customWidth="1"/>
    <col min="4366" max="4366" width="7.140625" style="92" customWidth="1"/>
    <col min="4367" max="4370" width="15.28515625" style="92" customWidth="1"/>
    <col min="4371" max="4371" width="12.7109375" style="92" customWidth="1"/>
    <col min="4372" max="4378" width="9.140625" style="92"/>
    <col min="4379" max="4379" width="11.7109375" style="92" bestFit="1" customWidth="1"/>
    <col min="4380" max="4384" width="9.140625" style="92"/>
    <col min="4385" max="4385" width="11.7109375" style="92" bestFit="1" customWidth="1"/>
    <col min="4386" max="4608" width="9.140625" style="92"/>
    <col min="4609" max="4609" width="9.5703125" style="92" bestFit="1" customWidth="1"/>
    <col min="4610" max="4610" width="23.85546875" style="92" customWidth="1"/>
    <col min="4611" max="4611" width="16" style="92" customWidth="1"/>
    <col min="4612" max="4612" width="15.85546875" style="92" customWidth="1"/>
    <col min="4613" max="4613" width="10.5703125" style="92" customWidth="1"/>
    <col min="4614" max="4614" width="3" style="92" customWidth="1"/>
    <col min="4615" max="4615" width="13.140625" style="92" customWidth="1"/>
    <col min="4616" max="4616" width="14.85546875" style="92" customWidth="1"/>
    <col min="4617" max="4617" width="13.42578125" style="92" customWidth="1"/>
    <col min="4618" max="4618" width="13.85546875" style="92" customWidth="1"/>
    <col min="4619" max="4619" width="15.28515625" style="92" customWidth="1"/>
    <col min="4620" max="4620" width="3.5703125" style="92" customWidth="1"/>
    <col min="4621" max="4621" width="4.42578125" style="92" customWidth="1"/>
    <col min="4622" max="4622" width="7.140625" style="92" customWidth="1"/>
    <col min="4623" max="4626" width="15.28515625" style="92" customWidth="1"/>
    <col min="4627" max="4627" width="12.7109375" style="92" customWidth="1"/>
    <col min="4628" max="4634" width="9.140625" style="92"/>
    <col min="4635" max="4635" width="11.7109375" style="92" bestFit="1" customWidth="1"/>
    <col min="4636" max="4640" width="9.140625" style="92"/>
    <col min="4641" max="4641" width="11.7109375" style="92" bestFit="1" customWidth="1"/>
    <col min="4642" max="4864" width="9.140625" style="92"/>
    <col min="4865" max="4865" width="9.5703125" style="92" bestFit="1" customWidth="1"/>
    <col min="4866" max="4866" width="23.85546875" style="92" customWidth="1"/>
    <col min="4867" max="4867" width="16" style="92" customWidth="1"/>
    <col min="4868" max="4868" width="15.85546875" style="92" customWidth="1"/>
    <col min="4869" max="4869" width="10.5703125" style="92" customWidth="1"/>
    <col min="4870" max="4870" width="3" style="92" customWidth="1"/>
    <col min="4871" max="4871" width="13.140625" style="92" customWidth="1"/>
    <col min="4872" max="4872" width="14.85546875" style="92" customWidth="1"/>
    <col min="4873" max="4873" width="13.42578125" style="92" customWidth="1"/>
    <col min="4874" max="4874" width="13.85546875" style="92" customWidth="1"/>
    <col min="4875" max="4875" width="15.28515625" style="92" customWidth="1"/>
    <col min="4876" max="4876" width="3.5703125" style="92" customWidth="1"/>
    <col min="4877" max="4877" width="4.42578125" style="92" customWidth="1"/>
    <col min="4878" max="4878" width="7.140625" style="92" customWidth="1"/>
    <col min="4879" max="4882" width="15.28515625" style="92" customWidth="1"/>
    <col min="4883" max="4883" width="12.7109375" style="92" customWidth="1"/>
    <col min="4884" max="4890" width="9.140625" style="92"/>
    <col min="4891" max="4891" width="11.7109375" style="92" bestFit="1" customWidth="1"/>
    <col min="4892" max="4896" width="9.140625" style="92"/>
    <col min="4897" max="4897" width="11.7109375" style="92" bestFit="1" customWidth="1"/>
    <col min="4898" max="5120" width="9.140625" style="92"/>
    <col min="5121" max="5121" width="9.5703125" style="92" bestFit="1" customWidth="1"/>
    <col min="5122" max="5122" width="23.85546875" style="92" customWidth="1"/>
    <col min="5123" max="5123" width="16" style="92" customWidth="1"/>
    <col min="5124" max="5124" width="15.85546875" style="92" customWidth="1"/>
    <col min="5125" max="5125" width="10.5703125" style="92" customWidth="1"/>
    <col min="5126" max="5126" width="3" style="92" customWidth="1"/>
    <col min="5127" max="5127" width="13.140625" style="92" customWidth="1"/>
    <col min="5128" max="5128" width="14.85546875" style="92" customWidth="1"/>
    <col min="5129" max="5129" width="13.42578125" style="92" customWidth="1"/>
    <col min="5130" max="5130" width="13.85546875" style="92" customWidth="1"/>
    <col min="5131" max="5131" width="15.28515625" style="92" customWidth="1"/>
    <col min="5132" max="5132" width="3.5703125" style="92" customWidth="1"/>
    <col min="5133" max="5133" width="4.42578125" style="92" customWidth="1"/>
    <col min="5134" max="5134" width="7.140625" style="92" customWidth="1"/>
    <col min="5135" max="5138" width="15.28515625" style="92" customWidth="1"/>
    <col min="5139" max="5139" width="12.7109375" style="92" customWidth="1"/>
    <col min="5140" max="5146" width="9.140625" style="92"/>
    <col min="5147" max="5147" width="11.7109375" style="92" bestFit="1" customWidth="1"/>
    <col min="5148" max="5152" width="9.140625" style="92"/>
    <col min="5153" max="5153" width="11.7109375" style="92" bestFit="1" customWidth="1"/>
    <col min="5154" max="5376" width="9.140625" style="92"/>
    <col min="5377" max="5377" width="9.5703125" style="92" bestFit="1" customWidth="1"/>
    <col min="5378" max="5378" width="23.85546875" style="92" customWidth="1"/>
    <col min="5379" max="5379" width="16" style="92" customWidth="1"/>
    <col min="5380" max="5380" width="15.85546875" style="92" customWidth="1"/>
    <col min="5381" max="5381" width="10.5703125" style="92" customWidth="1"/>
    <col min="5382" max="5382" width="3" style="92" customWidth="1"/>
    <col min="5383" max="5383" width="13.140625" style="92" customWidth="1"/>
    <col min="5384" max="5384" width="14.85546875" style="92" customWidth="1"/>
    <col min="5385" max="5385" width="13.42578125" style="92" customWidth="1"/>
    <col min="5386" max="5386" width="13.85546875" style="92" customWidth="1"/>
    <col min="5387" max="5387" width="15.28515625" style="92" customWidth="1"/>
    <col min="5388" max="5388" width="3.5703125" style="92" customWidth="1"/>
    <col min="5389" max="5389" width="4.42578125" style="92" customWidth="1"/>
    <col min="5390" max="5390" width="7.140625" style="92" customWidth="1"/>
    <col min="5391" max="5394" width="15.28515625" style="92" customWidth="1"/>
    <col min="5395" max="5395" width="12.7109375" style="92" customWidth="1"/>
    <col min="5396" max="5402" width="9.140625" style="92"/>
    <col min="5403" max="5403" width="11.7109375" style="92" bestFit="1" customWidth="1"/>
    <col min="5404" max="5408" width="9.140625" style="92"/>
    <col min="5409" max="5409" width="11.7109375" style="92" bestFit="1" customWidth="1"/>
    <col min="5410" max="5632" width="9.140625" style="92"/>
    <col min="5633" max="5633" width="9.5703125" style="92" bestFit="1" customWidth="1"/>
    <col min="5634" max="5634" width="23.85546875" style="92" customWidth="1"/>
    <col min="5635" max="5635" width="16" style="92" customWidth="1"/>
    <col min="5636" max="5636" width="15.85546875" style="92" customWidth="1"/>
    <col min="5637" max="5637" width="10.5703125" style="92" customWidth="1"/>
    <col min="5638" max="5638" width="3" style="92" customWidth="1"/>
    <col min="5639" max="5639" width="13.140625" style="92" customWidth="1"/>
    <col min="5640" max="5640" width="14.85546875" style="92" customWidth="1"/>
    <col min="5641" max="5641" width="13.42578125" style="92" customWidth="1"/>
    <col min="5642" max="5642" width="13.85546875" style="92" customWidth="1"/>
    <col min="5643" max="5643" width="15.28515625" style="92" customWidth="1"/>
    <col min="5644" max="5644" width="3.5703125" style="92" customWidth="1"/>
    <col min="5645" max="5645" width="4.42578125" style="92" customWidth="1"/>
    <col min="5646" max="5646" width="7.140625" style="92" customWidth="1"/>
    <col min="5647" max="5650" width="15.28515625" style="92" customWidth="1"/>
    <col min="5651" max="5651" width="12.7109375" style="92" customWidth="1"/>
    <col min="5652" max="5658" width="9.140625" style="92"/>
    <col min="5659" max="5659" width="11.7109375" style="92" bestFit="1" customWidth="1"/>
    <col min="5660" max="5664" width="9.140625" style="92"/>
    <col min="5665" max="5665" width="11.7109375" style="92" bestFit="1" customWidth="1"/>
    <col min="5666" max="5888" width="9.140625" style="92"/>
    <col min="5889" max="5889" width="9.5703125" style="92" bestFit="1" customWidth="1"/>
    <col min="5890" max="5890" width="23.85546875" style="92" customWidth="1"/>
    <col min="5891" max="5891" width="16" style="92" customWidth="1"/>
    <col min="5892" max="5892" width="15.85546875" style="92" customWidth="1"/>
    <col min="5893" max="5893" width="10.5703125" style="92" customWidth="1"/>
    <col min="5894" max="5894" width="3" style="92" customWidth="1"/>
    <col min="5895" max="5895" width="13.140625" style="92" customWidth="1"/>
    <col min="5896" max="5896" width="14.85546875" style="92" customWidth="1"/>
    <col min="5897" max="5897" width="13.42578125" style="92" customWidth="1"/>
    <col min="5898" max="5898" width="13.85546875" style="92" customWidth="1"/>
    <col min="5899" max="5899" width="15.28515625" style="92" customWidth="1"/>
    <col min="5900" max="5900" width="3.5703125" style="92" customWidth="1"/>
    <col min="5901" max="5901" width="4.42578125" style="92" customWidth="1"/>
    <col min="5902" max="5902" width="7.140625" style="92" customWidth="1"/>
    <col min="5903" max="5906" width="15.28515625" style="92" customWidth="1"/>
    <col min="5907" max="5907" width="12.7109375" style="92" customWidth="1"/>
    <col min="5908" max="5914" width="9.140625" style="92"/>
    <col min="5915" max="5915" width="11.7109375" style="92" bestFit="1" customWidth="1"/>
    <col min="5916" max="5920" width="9.140625" style="92"/>
    <col min="5921" max="5921" width="11.7109375" style="92" bestFit="1" customWidth="1"/>
    <col min="5922" max="6144" width="9.140625" style="92"/>
    <col min="6145" max="6145" width="9.5703125" style="92" bestFit="1" customWidth="1"/>
    <col min="6146" max="6146" width="23.85546875" style="92" customWidth="1"/>
    <col min="6147" max="6147" width="16" style="92" customWidth="1"/>
    <col min="6148" max="6148" width="15.85546875" style="92" customWidth="1"/>
    <col min="6149" max="6149" width="10.5703125" style="92" customWidth="1"/>
    <col min="6150" max="6150" width="3" style="92" customWidth="1"/>
    <col min="6151" max="6151" width="13.140625" style="92" customWidth="1"/>
    <col min="6152" max="6152" width="14.85546875" style="92" customWidth="1"/>
    <col min="6153" max="6153" width="13.42578125" style="92" customWidth="1"/>
    <col min="6154" max="6154" width="13.85546875" style="92" customWidth="1"/>
    <col min="6155" max="6155" width="15.28515625" style="92" customWidth="1"/>
    <col min="6156" max="6156" width="3.5703125" style="92" customWidth="1"/>
    <col min="6157" max="6157" width="4.42578125" style="92" customWidth="1"/>
    <col min="6158" max="6158" width="7.140625" style="92" customWidth="1"/>
    <col min="6159" max="6162" width="15.28515625" style="92" customWidth="1"/>
    <col min="6163" max="6163" width="12.7109375" style="92" customWidth="1"/>
    <col min="6164" max="6170" width="9.140625" style="92"/>
    <col min="6171" max="6171" width="11.7109375" style="92" bestFit="1" customWidth="1"/>
    <col min="6172" max="6176" width="9.140625" style="92"/>
    <col min="6177" max="6177" width="11.7109375" style="92" bestFit="1" customWidth="1"/>
    <col min="6178" max="6400" width="9.140625" style="92"/>
    <col min="6401" max="6401" width="9.5703125" style="92" bestFit="1" customWidth="1"/>
    <col min="6402" max="6402" width="23.85546875" style="92" customWidth="1"/>
    <col min="6403" max="6403" width="16" style="92" customWidth="1"/>
    <col min="6404" max="6404" width="15.85546875" style="92" customWidth="1"/>
    <col min="6405" max="6405" width="10.5703125" style="92" customWidth="1"/>
    <col min="6406" max="6406" width="3" style="92" customWidth="1"/>
    <col min="6407" max="6407" width="13.140625" style="92" customWidth="1"/>
    <col min="6408" max="6408" width="14.85546875" style="92" customWidth="1"/>
    <col min="6409" max="6409" width="13.42578125" style="92" customWidth="1"/>
    <col min="6410" max="6410" width="13.85546875" style="92" customWidth="1"/>
    <col min="6411" max="6411" width="15.28515625" style="92" customWidth="1"/>
    <col min="6412" max="6412" width="3.5703125" style="92" customWidth="1"/>
    <col min="6413" max="6413" width="4.42578125" style="92" customWidth="1"/>
    <col min="6414" max="6414" width="7.140625" style="92" customWidth="1"/>
    <col min="6415" max="6418" width="15.28515625" style="92" customWidth="1"/>
    <col min="6419" max="6419" width="12.7109375" style="92" customWidth="1"/>
    <col min="6420" max="6426" width="9.140625" style="92"/>
    <col min="6427" max="6427" width="11.7109375" style="92" bestFit="1" customWidth="1"/>
    <col min="6428" max="6432" width="9.140625" style="92"/>
    <col min="6433" max="6433" width="11.7109375" style="92" bestFit="1" customWidth="1"/>
    <col min="6434" max="6656" width="9.140625" style="92"/>
    <col min="6657" max="6657" width="9.5703125" style="92" bestFit="1" customWidth="1"/>
    <col min="6658" max="6658" width="23.85546875" style="92" customWidth="1"/>
    <col min="6659" max="6659" width="16" style="92" customWidth="1"/>
    <col min="6660" max="6660" width="15.85546875" style="92" customWidth="1"/>
    <col min="6661" max="6661" width="10.5703125" style="92" customWidth="1"/>
    <col min="6662" max="6662" width="3" style="92" customWidth="1"/>
    <col min="6663" max="6663" width="13.140625" style="92" customWidth="1"/>
    <col min="6664" max="6664" width="14.85546875" style="92" customWidth="1"/>
    <col min="6665" max="6665" width="13.42578125" style="92" customWidth="1"/>
    <col min="6666" max="6666" width="13.85546875" style="92" customWidth="1"/>
    <col min="6667" max="6667" width="15.28515625" style="92" customWidth="1"/>
    <col min="6668" max="6668" width="3.5703125" style="92" customWidth="1"/>
    <col min="6669" max="6669" width="4.42578125" style="92" customWidth="1"/>
    <col min="6670" max="6670" width="7.140625" style="92" customWidth="1"/>
    <col min="6671" max="6674" width="15.28515625" style="92" customWidth="1"/>
    <col min="6675" max="6675" width="12.7109375" style="92" customWidth="1"/>
    <col min="6676" max="6682" width="9.140625" style="92"/>
    <col min="6683" max="6683" width="11.7109375" style="92" bestFit="1" customWidth="1"/>
    <col min="6684" max="6688" width="9.140625" style="92"/>
    <col min="6689" max="6689" width="11.7109375" style="92" bestFit="1" customWidth="1"/>
    <col min="6690" max="6912" width="9.140625" style="92"/>
    <col min="6913" max="6913" width="9.5703125" style="92" bestFit="1" customWidth="1"/>
    <col min="6914" max="6914" width="23.85546875" style="92" customWidth="1"/>
    <col min="6915" max="6915" width="16" style="92" customWidth="1"/>
    <col min="6916" max="6916" width="15.85546875" style="92" customWidth="1"/>
    <col min="6917" max="6917" width="10.5703125" style="92" customWidth="1"/>
    <col min="6918" max="6918" width="3" style="92" customWidth="1"/>
    <col min="6919" max="6919" width="13.140625" style="92" customWidth="1"/>
    <col min="6920" max="6920" width="14.85546875" style="92" customWidth="1"/>
    <col min="6921" max="6921" width="13.42578125" style="92" customWidth="1"/>
    <col min="6922" max="6922" width="13.85546875" style="92" customWidth="1"/>
    <col min="6923" max="6923" width="15.28515625" style="92" customWidth="1"/>
    <col min="6924" max="6924" width="3.5703125" style="92" customWidth="1"/>
    <col min="6925" max="6925" width="4.42578125" style="92" customWidth="1"/>
    <col min="6926" max="6926" width="7.140625" style="92" customWidth="1"/>
    <col min="6927" max="6930" width="15.28515625" style="92" customWidth="1"/>
    <col min="6931" max="6931" width="12.7109375" style="92" customWidth="1"/>
    <col min="6932" max="6938" width="9.140625" style="92"/>
    <col min="6939" max="6939" width="11.7109375" style="92" bestFit="1" customWidth="1"/>
    <col min="6940" max="6944" width="9.140625" style="92"/>
    <col min="6945" max="6945" width="11.7109375" style="92" bestFit="1" customWidth="1"/>
    <col min="6946" max="7168" width="9.140625" style="92"/>
    <col min="7169" max="7169" width="9.5703125" style="92" bestFit="1" customWidth="1"/>
    <col min="7170" max="7170" width="23.85546875" style="92" customWidth="1"/>
    <col min="7171" max="7171" width="16" style="92" customWidth="1"/>
    <col min="7172" max="7172" width="15.85546875" style="92" customWidth="1"/>
    <col min="7173" max="7173" width="10.5703125" style="92" customWidth="1"/>
    <col min="7174" max="7174" width="3" style="92" customWidth="1"/>
    <col min="7175" max="7175" width="13.140625" style="92" customWidth="1"/>
    <col min="7176" max="7176" width="14.85546875" style="92" customWidth="1"/>
    <col min="7177" max="7177" width="13.42578125" style="92" customWidth="1"/>
    <col min="7178" max="7178" width="13.85546875" style="92" customWidth="1"/>
    <col min="7179" max="7179" width="15.28515625" style="92" customWidth="1"/>
    <col min="7180" max="7180" width="3.5703125" style="92" customWidth="1"/>
    <col min="7181" max="7181" width="4.42578125" style="92" customWidth="1"/>
    <col min="7182" max="7182" width="7.140625" style="92" customWidth="1"/>
    <col min="7183" max="7186" width="15.28515625" style="92" customWidth="1"/>
    <col min="7187" max="7187" width="12.7109375" style="92" customWidth="1"/>
    <col min="7188" max="7194" width="9.140625" style="92"/>
    <col min="7195" max="7195" width="11.7109375" style="92" bestFit="1" customWidth="1"/>
    <col min="7196" max="7200" width="9.140625" style="92"/>
    <col min="7201" max="7201" width="11.7109375" style="92" bestFit="1" customWidth="1"/>
    <col min="7202" max="7424" width="9.140625" style="92"/>
    <col min="7425" max="7425" width="9.5703125" style="92" bestFit="1" customWidth="1"/>
    <col min="7426" max="7426" width="23.85546875" style="92" customWidth="1"/>
    <col min="7427" max="7427" width="16" style="92" customWidth="1"/>
    <col min="7428" max="7428" width="15.85546875" style="92" customWidth="1"/>
    <col min="7429" max="7429" width="10.5703125" style="92" customWidth="1"/>
    <col min="7430" max="7430" width="3" style="92" customWidth="1"/>
    <col min="7431" max="7431" width="13.140625" style="92" customWidth="1"/>
    <col min="7432" max="7432" width="14.85546875" style="92" customWidth="1"/>
    <col min="7433" max="7433" width="13.42578125" style="92" customWidth="1"/>
    <col min="7434" max="7434" width="13.85546875" style="92" customWidth="1"/>
    <col min="7435" max="7435" width="15.28515625" style="92" customWidth="1"/>
    <col min="7436" max="7436" width="3.5703125" style="92" customWidth="1"/>
    <col min="7437" max="7437" width="4.42578125" style="92" customWidth="1"/>
    <col min="7438" max="7438" width="7.140625" style="92" customWidth="1"/>
    <col min="7439" max="7442" width="15.28515625" style="92" customWidth="1"/>
    <col min="7443" max="7443" width="12.7109375" style="92" customWidth="1"/>
    <col min="7444" max="7450" width="9.140625" style="92"/>
    <col min="7451" max="7451" width="11.7109375" style="92" bestFit="1" customWidth="1"/>
    <col min="7452" max="7456" width="9.140625" style="92"/>
    <col min="7457" max="7457" width="11.7109375" style="92" bestFit="1" customWidth="1"/>
    <col min="7458" max="7680" width="9.140625" style="92"/>
    <col min="7681" max="7681" width="9.5703125" style="92" bestFit="1" customWidth="1"/>
    <col min="7682" max="7682" width="23.85546875" style="92" customWidth="1"/>
    <col min="7683" max="7683" width="16" style="92" customWidth="1"/>
    <col min="7684" max="7684" width="15.85546875" style="92" customWidth="1"/>
    <col min="7685" max="7685" width="10.5703125" style="92" customWidth="1"/>
    <col min="7686" max="7686" width="3" style="92" customWidth="1"/>
    <col min="7687" max="7687" width="13.140625" style="92" customWidth="1"/>
    <col min="7688" max="7688" width="14.85546875" style="92" customWidth="1"/>
    <col min="7689" max="7689" width="13.42578125" style="92" customWidth="1"/>
    <col min="7690" max="7690" width="13.85546875" style="92" customWidth="1"/>
    <col min="7691" max="7691" width="15.28515625" style="92" customWidth="1"/>
    <col min="7692" max="7692" width="3.5703125" style="92" customWidth="1"/>
    <col min="7693" max="7693" width="4.42578125" style="92" customWidth="1"/>
    <col min="7694" max="7694" width="7.140625" style="92" customWidth="1"/>
    <col min="7695" max="7698" width="15.28515625" style="92" customWidth="1"/>
    <col min="7699" max="7699" width="12.7109375" style="92" customWidth="1"/>
    <col min="7700" max="7706" width="9.140625" style="92"/>
    <col min="7707" max="7707" width="11.7109375" style="92" bestFit="1" customWidth="1"/>
    <col min="7708" max="7712" width="9.140625" style="92"/>
    <col min="7713" max="7713" width="11.7109375" style="92" bestFit="1" customWidth="1"/>
    <col min="7714" max="7936" width="9.140625" style="92"/>
    <col min="7937" max="7937" width="9.5703125" style="92" bestFit="1" customWidth="1"/>
    <col min="7938" max="7938" width="23.85546875" style="92" customWidth="1"/>
    <col min="7939" max="7939" width="16" style="92" customWidth="1"/>
    <col min="7940" max="7940" width="15.85546875" style="92" customWidth="1"/>
    <col min="7941" max="7941" width="10.5703125" style="92" customWidth="1"/>
    <col min="7942" max="7942" width="3" style="92" customWidth="1"/>
    <col min="7943" max="7943" width="13.140625" style="92" customWidth="1"/>
    <col min="7944" max="7944" width="14.85546875" style="92" customWidth="1"/>
    <col min="7945" max="7945" width="13.42578125" style="92" customWidth="1"/>
    <col min="7946" max="7946" width="13.85546875" style="92" customWidth="1"/>
    <col min="7947" max="7947" width="15.28515625" style="92" customWidth="1"/>
    <col min="7948" max="7948" width="3.5703125" style="92" customWidth="1"/>
    <col min="7949" max="7949" width="4.42578125" style="92" customWidth="1"/>
    <col min="7950" max="7950" width="7.140625" style="92" customWidth="1"/>
    <col min="7951" max="7954" width="15.28515625" style="92" customWidth="1"/>
    <col min="7955" max="7955" width="12.7109375" style="92" customWidth="1"/>
    <col min="7956" max="7962" width="9.140625" style="92"/>
    <col min="7963" max="7963" width="11.7109375" style="92" bestFit="1" customWidth="1"/>
    <col min="7964" max="7968" width="9.140625" style="92"/>
    <col min="7969" max="7969" width="11.7109375" style="92" bestFit="1" customWidth="1"/>
    <col min="7970" max="8192" width="9.140625" style="92"/>
    <col min="8193" max="8193" width="9.5703125" style="92" bestFit="1" customWidth="1"/>
    <col min="8194" max="8194" width="23.85546875" style="92" customWidth="1"/>
    <col min="8195" max="8195" width="16" style="92" customWidth="1"/>
    <col min="8196" max="8196" width="15.85546875" style="92" customWidth="1"/>
    <col min="8197" max="8197" width="10.5703125" style="92" customWidth="1"/>
    <col min="8198" max="8198" width="3" style="92" customWidth="1"/>
    <col min="8199" max="8199" width="13.140625" style="92" customWidth="1"/>
    <col min="8200" max="8200" width="14.85546875" style="92" customWidth="1"/>
    <col min="8201" max="8201" width="13.42578125" style="92" customWidth="1"/>
    <col min="8202" max="8202" width="13.85546875" style="92" customWidth="1"/>
    <col min="8203" max="8203" width="15.28515625" style="92" customWidth="1"/>
    <col min="8204" max="8204" width="3.5703125" style="92" customWidth="1"/>
    <col min="8205" max="8205" width="4.42578125" style="92" customWidth="1"/>
    <col min="8206" max="8206" width="7.140625" style="92" customWidth="1"/>
    <col min="8207" max="8210" width="15.28515625" style="92" customWidth="1"/>
    <col min="8211" max="8211" width="12.7109375" style="92" customWidth="1"/>
    <col min="8212" max="8218" width="9.140625" style="92"/>
    <col min="8219" max="8219" width="11.7109375" style="92" bestFit="1" customWidth="1"/>
    <col min="8220" max="8224" width="9.140625" style="92"/>
    <col min="8225" max="8225" width="11.7109375" style="92" bestFit="1" customWidth="1"/>
    <col min="8226" max="8448" width="9.140625" style="92"/>
    <col min="8449" max="8449" width="9.5703125" style="92" bestFit="1" customWidth="1"/>
    <col min="8450" max="8450" width="23.85546875" style="92" customWidth="1"/>
    <col min="8451" max="8451" width="16" style="92" customWidth="1"/>
    <col min="8452" max="8452" width="15.85546875" style="92" customWidth="1"/>
    <col min="8453" max="8453" width="10.5703125" style="92" customWidth="1"/>
    <col min="8454" max="8454" width="3" style="92" customWidth="1"/>
    <col min="8455" max="8455" width="13.140625" style="92" customWidth="1"/>
    <col min="8456" max="8456" width="14.85546875" style="92" customWidth="1"/>
    <col min="8457" max="8457" width="13.42578125" style="92" customWidth="1"/>
    <col min="8458" max="8458" width="13.85546875" style="92" customWidth="1"/>
    <col min="8459" max="8459" width="15.28515625" style="92" customWidth="1"/>
    <col min="8460" max="8460" width="3.5703125" style="92" customWidth="1"/>
    <col min="8461" max="8461" width="4.42578125" style="92" customWidth="1"/>
    <col min="8462" max="8462" width="7.140625" style="92" customWidth="1"/>
    <col min="8463" max="8466" width="15.28515625" style="92" customWidth="1"/>
    <col min="8467" max="8467" width="12.7109375" style="92" customWidth="1"/>
    <col min="8468" max="8474" width="9.140625" style="92"/>
    <col min="8475" max="8475" width="11.7109375" style="92" bestFit="1" customWidth="1"/>
    <col min="8476" max="8480" width="9.140625" style="92"/>
    <col min="8481" max="8481" width="11.7109375" style="92" bestFit="1" customWidth="1"/>
    <col min="8482" max="8704" width="9.140625" style="92"/>
    <col min="8705" max="8705" width="9.5703125" style="92" bestFit="1" customWidth="1"/>
    <col min="8706" max="8706" width="23.85546875" style="92" customWidth="1"/>
    <col min="8707" max="8707" width="16" style="92" customWidth="1"/>
    <col min="8708" max="8708" width="15.85546875" style="92" customWidth="1"/>
    <col min="8709" max="8709" width="10.5703125" style="92" customWidth="1"/>
    <col min="8710" max="8710" width="3" style="92" customWidth="1"/>
    <col min="8711" max="8711" width="13.140625" style="92" customWidth="1"/>
    <col min="8712" max="8712" width="14.85546875" style="92" customWidth="1"/>
    <col min="8713" max="8713" width="13.42578125" style="92" customWidth="1"/>
    <col min="8714" max="8714" width="13.85546875" style="92" customWidth="1"/>
    <col min="8715" max="8715" width="15.28515625" style="92" customWidth="1"/>
    <col min="8716" max="8716" width="3.5703125" style="92" customWidth="1"/>
    <col min="8717" max="8717" width="4.42578125" style="92" customWidth="1"/>
    <col min="8718" max="8718" width="7.140625" style="92" customWidth="1"/>
    <col min="8719" max="8722" width="15.28515625" style="92" customWidth="1"/>
    <col min="8723" max="8723" width="12.7109375" style="92" customWidth="1"/>
    <col min="8724" max="8730" width="9.140625" style="92"/>
    <col min="8731" max="8731" width="11.7109375" style="92" bestFit="1" customWidth="1"/>
    <col min="8732" max="8736" width="9.140625" style="92"/>
    <col min="8737" max="8737" width="11.7109375" style="92" bestFit="1" customWidth="1"/>
    <col min="8738" max="8960" width="9.140625" style="92"/>
    <col min="8961" max="8961" width="9.5703125" style="92" bestFit="1" customWidth="1"/>
    <col min="8962" max="8962" width="23.85546875" style="92" customWidth="1"/>
    <col min="8963" max="8963" width="16" style="92" customWidth="1"/>
    <col min="8964" max="8964" width="15.85546875" style="92" customWidth="1"/>
    <col min="8965" max="8965" width="10.5703125" style="92" customWidth="1"/>
    <col min="8966" max="8966" width="3" style="92" customWidth="1"/>
    <col min="8967" max="8967" width="13.140625" style="92" customWidth="1"/>
    <col min="8968" max="8968" width="14.85546875" style="92" customWidth="1"/>
    <col min="8969" max="8969" width="13.42578125" style="92" customWidth="1"/>
    <col min="8970" max="8970" width="13.85546875" style="92" customWidth="1"/>
    <col min="8971" max="8971" width="15.28515625" style="92" customWidth="1"/>
    <col min="8972" max="8972" width="3.5703125" style="92" customWidth="1"/>
    <col min="8973" max="8973" width="4.42578125" style="92" customWidth="1"/>
    <col min="8974" max="8974" width="7.140625" style="92" customWidth="1"/>
    <col min="8975" max="8978" width="15.28515625" style="92" customWidth="1"/>
    <col min="8979" max="8979" width="12.7109375" style="92" customWidth="1"/>
    <col min="8980" max="8986" width="9.140625" style="92"/>
    <col min="8987" max="8987" width="11.7109375" style="92" bestFit="1" customWidth="1"/>
    <col min="8988" max="8992" width="9.140625" style="92"/>
    <col min="8993" max="8993" width="11.7109375" style="92" bestFit="1" customWidth="1"/>
    <col min="8994" max="9216" width="9.140625" style="92"/>
    <col min="9217" max="9217" width="9.5703125" style="92" bestFit="1" customWidth="1"/>
    <col min="9218" max="9218" width="23.85546875" style="92" customWidth="1"/>
    <col min="9219" max="9219" width="16" style="92" customWidth="1"/>
    <col min="9220" max="9220" width="15.85546875" style="92" customWidth="1"/>
    <col min="9221" max="9221" width="10.5703125" style="92" customWidth="1"/>
    <col min="9222" max="9222" width="3" style="92" customWidth="1"/>
    <col min="9223" max="9223" width="13.140625" style="92" customWidth="1"/>
    <col min="9224" max="9224" width="14.85546875" style="92" customWidth="1"/>
    <col min="9225" max="9225" width="13.42578125" style="92" customWidth="1"/>
    <col min="9226" max="9226" width="13.85546875" style="92" customWidth="1"/>
    <col min="9227" max="9227" width="15.28515625" style="92" customWidth="1"/>
    <col min="9228" max="9228" width="3.5703125" style="92" customWidth="1"/>
    <col min="9229" max="9229" width="4.42578125" style="92" customWidth="1"/>
    <col min="9230" max="9230" width="7.140625" style="92" customWidth="1"/>
    <col min="9231" max="9234" width="15.28515625" style="92" customWidth="1"/>
    <col min="9235" max="9235" width="12.7109375" style="92" customWidth="1"/>
    <col min="9236" max="9242" width="9.140625" style="92"/>
    <col min="9243" max="9243" width="11.7109375" style="92" bestFit="1" customWidth="1"/>
    <col min="9244" max="9248" width="9.140625" style="92"/>
    <col min="9249" max="9249" width="11.7109375" style="92" bestFit="1" customWidth="1"/>
    <col min="9250" max="9472" width="9.140625" style="92"/>
    <col min="9473" max="9473" width="9.5703125" style="92" bestFit="1" customWidth="1"/>
    <col min="9474" max="9474" width="23.85546875" style="92" customWidth="1"/>
    <col min="9475" max="9475" width="16" style="92" customWidth="1"/>
    <col min="9476" max="9476" width="15.85546875" style="92" customWidth="1"/>
    <col min="9477" max="9477" width="10.5703125" style="92" customWidth="1"/>
    <col min="9478" max="9478" width="3" style="92" customWidth="1"/>
    <col min="9479" max="9479" width="13.140625" style="92" customWidth="1"/>
    <col min="9480" max="9480" width="14.85546875" style="92" customWidth="1"/>
    <col min="9481" max="9481" width="13.42578125" style="92" customWidth="1"/>
    <col min="9482" max="9482" width="13.85546875" style="92" customWidth="1"/>
    <col min="9483" max="9483" width="15.28515625" style="92" customWidth="1"/>
    <col min="9484" max="9484" width="3.5703125" style="92" customWidth="1"/>
    <col min="9485" max="9485" width="4.42578125" style="92" customWidth="1"/>
    <col min="9486" max="9486" width="7.140625" style="92" customWidth="1"/>
    <col min="9487" max="9490" width="15.28515625" style="92" customWidth="1"/>
    <col min="9491" max="9491" width="12.7109375" style="92" customWidth="1"/>
    <col min="9492" max="9498" width="9.140625" style="92"/>
    <col min="9499" max="9499" width="11.7109375" style="92" bestFit="1" customWidth="1"/>
    <col min="9500" max="9504" width="9.140625" style="92"/>
    <col min="9505" max="9505" width="11.7109375" style="92" bestFit="1" customWidth="1"/>
    <col min="9506" max="9728" width="9.140625" style="92"/>
    <col min="9729" max="9729" width="9.5703125" style="92" bestFit="1" customWidth="1"/>
    <col min="9730" max="9730" width="23.85546875" style="92" customWidth="1"/>
    <col min="9731" max="9731" width="16" style="92" customWidth="1"/>
    <col min="9732" max="9732" width="15.85546875" style="92" customWidth="1"/>
    <col min="9733" max="9733" width="10.5703125" style="92" customWidth="1"/>
    <col min="9734" max="9734" width="3" style="92" customWidth="1"/>
    <col min="9735" max="9735" width="13.140625" style="92" customWidth="1"/>
    <col min="9736" max="9736" width="14.85546875" style="92" customWidth="1"/>
    <col min="9737" max="9737" width="13.42578125" style="92" customWidth="1"/>
    <col min="9738" max="9738" width="13.85546875" style="92" customWidth="1"/>
    <col min="9739" max="9739" width="15.28515625" style="92" customWidth="1"/>
    <col min="9740" max="9740" width="3.5703125" style="92" customWidth="1"/>
    <col min="9741" max="9741" width="4.42578125" style="92" customWidth="1"/>
    <col min="9742" max="9742" width="7.140625" style="92" customWidth="1"/>
    <col min="9743" max="9746" width="15.28515625" style="92" customWidth="1"/>
    <col min="9747" max="9747" width="12.7109375" style="92" customWidth="1"/>
    <col min="9748" max="9754" width="9.140625" style="92"/>
    <col min="9755" max="9755" width="11.7109375" style="92" bestFit="1" customWidth="1"/>
    <col min="9756" max="9760" width="9.140625" style="92"/>
    <col min="9761" max="9761" width="11.7109375" style="92" bestFit="1" customWidth="1"/>
    <col min="9762" max="9984" width="9.140625" style="92"/>
    <col min="9985" max="9985" width="9.5703125" style="92" bestFit="1" customWidth="1"/>
    <col min="9986" max="9986" width="23.85546875" style="92" customWidth="1"/>
    <col min="9987" max="9987" width="16" style="92" customWidth="1"/>
    <col min="9988" max="9988" width="15.85546875" style="92" customWidth="1"/>
    <col min="9989" max="9989" width="10.5703125" style="92" customWidth="1"/>
    <col min="9990" max="9990" width="3" style="92" customWidth="1"/>
    <col min="9991" max="9991" width="13.140625" style="92" customWidth="1"/>
    <col min="9992" max="9992" width="14.85546875" style="92" customWidth="1"/>
    <col min="9993" max="9993" width="13.42578125" style="92" customWidth="1"/>
    <col min="9994" max="9994" width="13.85546875" style="92" customWidth="1"/>
    <col min="9995" max="9995" width="15.28515625" style="92" customWidth="1"/>
    <col min="9996" max="9996" width="3.5703125" style="92" customWidth="1"/>
    <col min="9997" max="9997" width="4.42578125" style="92" customWidth="1"/>
    <col min="9998" max="9998" width="7.140625" style="92" customWidth="1"/>
    <col min="9999" max="10002" width="15.28515625" style="92" customWidth="1"/>
    <col min="10003" max="10003" width="12.7109375" style="92" customWidth="1"/>
    <col min="10004" max="10010" width="9.140625" style="92"/>
    <col min="10011" max="10011" width="11.7109375" style="92" bestFit="1" customWidth="1"/>
    <col min="10012" max="10016" width="9.140625" style="92"/>
    <col min="10017" max="10017" width="11.7109375" style="92" bestFit="1" customWidth="1"/>
    <col min="10018" max="10240" width="9.140625" style="92"/>
    <col min="10241" max="10241" width="9.5703125" style="92" bestFit="1" customWidth="1"/>
    <col min="10242" max="10242" width="23.85546875" style="92" customWidth="1"/>
    <col min="10243" max="10243" width="16" style="92" customWidth="1"/>
    <col min="10244" max="10244" width="15.85546875" style="92" customWidth="1"/>
    <col min="10245" max="10245" width="10.5703125" style="92" customWidth="1"/>
    <col min="10246" max="10246" width="3" style="92" customWidth="1"/>
    <col min="10247" max="10247" width="13.140625" style="92" customWidth="1"/>
    <col min="10248" max="10248" width="14.85546875" style="92" customWidth="1"/>
    <col min="10249" max="10249" width="13.42578125" style="92" customWidth="1"/>
    <col min="10250" max="10250" width="13.85546875" style="92" customWidth="1"/>
    <col min="10251" max="10251" width="15.28515625" style="92" customWidth="1"/>
    <col min="10252" max="10252" width="3.5703125" style="92" customWidth="1"/>
    <col min="10253" max="10253" width="4.42578125" style="92" customWidth="1"/>
    <col min="10254" max="10254" width="7.140625" style="92" customWidth="1"/>
    <col min="10255" max="10258" width="15.28515625" style="92" customWidth="1"/>
    <col min="10259" max="10259" width="12.7109375" style="92" customWidth="1"/>
    <col min="10260" max="10266" width="9.140625" style="92"/>
    <col min="10267" max="10267" width="11.7109375" style="92" bestFit="1" customWidth="1"/>
    <col min="10268" max="10272" width="9.140625" style="92"/>
    <col min="10273" max="10273" width="11.7109375" style="92" bestFit="1" customWidth="1"/>
    <col min="10274" max="10496" width="9.140625" style="92"/>
    <col min="10497" max="10497" width="9.5703125" style="92" bestFit="1" customWidth="1"/>
    <col min="10498" max="10498" width="23.85546875" style="92" customWidth="1"/>
    <col min="10499" max="10499" width="16" style="92" customWidth="1"/>
    <col min="10500" max="10500" width="15.85546875" style="92" customWidth="1"/>
    <col min="10501" max="10501" width="10.5703125" style="92" customWidth="1"/>
    <col min="10502" max="10502" width="3" style="92" customWidth="1"/>
    <col min="10503" max="10503" width="13.140625" style="92" customWidth="1"/>
    <col min="10504" max="10504" width="14.85546875" style="92" customWidth="1"/>
    <col min="10505" max="10505" width="13.42578125" style="92" customWidth="1"/>
    <col min="10506" max="10506" width="13.85546875" style="92" customWidth="1"/>
    <col min="10507" max="10507" width="15.28515625" style="92" customWidth="1"/>
    <col min="10508" max="10508" width="3.5703125" style="92" customWidth="1"/>
    <col min="10509" max="10509" width="4.42578125" style="92" customWidth="1"/>
    <col min="10510" max="10510" width="7.140625" style="92" customWidth="1"/>
    <col min="10511" max="10514" width="15.28515625" style="92" customWidth="1"/>
    <col min="10515" max="10515" width="12.7109375" style="92" customWidth="1"/>
    <col min="10516" max="10522" width="9.140625" style="92"/>
    <col min="10523" max="10523" width="11.7109375" style="92" bestFit="1" customWidth="1"/>
    <col min="10524" max="10528" width="9.140625" style="92"/>
    <col min="10529" max="10529" width="11.7109375" style="92" bestFit="1" customWidth="1"/>
    <col min="10530" max="10752" width="9.140625" style="92"/>
    <col min="10753" max="10753" width="9.5703125" style="92" bestFit="1" customWidth="1"/>
    <col min="10754" max="10754" width="23.85546875" style="92" customWidth="1"/>
    <col min="10755" max="10755" width="16" style="92" customWidth="1"/>
    <col min="10756" max="10756" width="15.85546875" style="92" customWidth="1"/>
    <col min="10757" max="10757" width="10.5703125" style="92" customWidth="1"/>
    <col min="10758" max="10758" width="3" style="92" customWidth="1"/>
    <col min="10759" max="10759" width="13.140625" style="92" customWidth="1"/>
    <col min="10760" max="10760" width="14.85546875" style="92" customWidth="1"/>
    <col min="10761" max="10761" width="13.42578125" style="92" customWidth="1"/>
    <col min="10762" max="10762" width="13.85546875" style="92" customWidth="1"/>
    <col min="10763" max="10763" width="15.28515625" style="92" customWidth="1"/>
    <col min="10764" max="10764" width="3.5703125" style="92" customWidth="1"/>
    <col min="10765" max="10765" width="4.42578125" style="92" customWidth="1"/>
    <col min="10766" max="10766" width="7.140625" style="92" customWidth="1"/>
    <col min="10767" max="10770" width="15.28515625" style="92" customWidth="1"/>
    <col min="10771" max="10771" width="12.7109375" style="92" customWidth="1"/>
    <col min="10772" max="10778" width="9.140625" style="92"/>
    <col min="10779" max="10779" width="11.7109375" style="92" bestFit="1" customWidth="1"/>
    <col min="10780" max="10784" width="9.140625" style="92"/>
    <col min="10785" max="10785" width="11.7109375" style="92" bestFit="1" customWidth="1"/>
    <col min="10786" max="11008" width="9.140625" style="92"/>
    <col min="11009" max="11009" width="9.5703125" style="92" bestFit="1" customWidth="1"/>
    <col min="11010" max="11010" width="23.85546875" style="92" customWidth="1"/>
    <col min="11011" max="11011" width="16" style="92" customWidth="1"/>
    <col min="11012" max="11012" width="15.85546875" style="92" customWidth="1"/>
    <col min="11013" max="11013" width="10.5703125" style="92" customWidth="1"/>
    <col min="11014" max="11014" width="3" style="92" customWidth="1"/>
    <col min="11015" max="11015" width="13.140625" style="92" customWidth="1"/>
    <col min="11016" max="11016" width="14.85546875" style="92" customWidth="1"/>
    <col min="11017" max="11017" width="13.42578125" style="92" customWidth="1"/>
    <col min="11018" max="11018" width="13.85546875" style="92" customWidth="1"/>
    <col min="11019" max="11019" width="15.28515625" style="92" customWidth="1"/>
    <col min="11020" max="11020" width="3.5703125" style="92" customWidth="1"/>
    <col min="11021" max="11021" width="4.42578125" style="92" customWidth="1"/>
    <col min="11022" max="11022" width="7.140625" style="92" customWidth="1"/>
    <col min="11023" max="11026" width="15.28515625" style="92" customWidth="1"/>
    <col min="11027" max="11027" width="12.7109375" style="92" customWidth="1"/>
    <col min="11028" max="11034" width="9.140625" style="92"/>
    <col min="11035" max="11035" width="11.7109375" style="92" bestFit="1" customWidth="1"/>
    <col min="11036" max="11040" width="9.140625" style="92"/>
    <col min="11041" max="11041" width="11.7109375" style="92" bestFit="1" customWidth="1"/>
    <col min="11042" max="11264" width="9.140625" style="92"/>
    <col min="11265" max="11265" width="9.5703125" style="92" bestFit="1" customWidth="1"/>
    <col min="11266" max="11266" width="23.85546875" style="92" customWidth="1"/>
    <col min="11267" max="11267" width="16" style="92" customWidth="1"/>
    <col min="11268" max="11268" width="15.85546875" style="92" customWidth="1"/>
    <col min="11269" max="11269" width="10.5703125" style="92" customWidth="1"/>
    <col min="11270" max="11270" width="3" style="92" customWidth="1"/>
    <col min="11271" max="11271" width="13.140625" style="92" customWidth="1"/>
    <col min="11272" max="11272" width="14.85546875" style="92" customWidth="1"/>
    <col min="11273" max="11273" width="13.42578125" style="92" customWidth="1"/>
    <col min="11274" max="11274" width="13.85546875" style="92" customWidth="1"/>
    <col min="11275" max="11275" width="15.28515625" style="92" customWidth="1"/>
    <col min="11276" max="11276" width="3.5703125" style="92" customWidth="1"/>
    <col min="11277" max="11277" width="4.42578125" style="92" customWidth="1"/>
    <col min="11278" max="11278" width="7.140625" style="92" customWidth="1"/>
    <col min="11279" max="11282" width="15.28515625" style="92" customWidth="1"/>
    <col min="11283" max="11283" width="12.7109375" style="92" customWidth="1"/>
    <col min="11284" max="11290" width="9.140625" style="92"/>
    <col min="11291" max="11291" width="11.7109375" style="92" bestFit="1" customWidth="1"/>
    <col min="11292" max="11296" width="9.140625" style="92"/>
    <col min="11297" max="11297" width="11.7109375" style="92" bestFit="1" customWidth="1"/>
    <col min="11298" max="11520" width="9.140625" style="92"/>
    <col min="11521" max="11521" width="9.5703125" style="92" bestFit="1" customWidth="1"/>
    <col min="11522" max="11522" width="23.85546875" style="92" customWidth="1"/>
    <col min="11523" max="11523" width="16" style="92" customWidth="1"/>
    <col min="11524" max="11524" width="15.85546875" style="92" customWidth="1"/>
    <col min="11525" max="11525" width="10.5703125" style="92" customWidth="1"/>
    <col min="11526" max="11526" width="3" style="92" customWidth="1"/>
    <col min="11527" max="11527" width="13.140625" style="92" customWidth="1"/>
    <col min="11528" max="11528" width="14.85546875" style="92" customWidth="1"/>
    <col min="11529" max="11529" width="13.42578125" style="92" customWidth="1"/>
    <col min="11530" max="11530" width="13.85546875" style="92" customWidth="1"/>
    <col min="11531" max="11531" width="15.28515625" style="92" customWidth="1"/>
    <col min="11532" max="11532" width="3.5703125" style="92" customWidth="1"/>
    <col min="11533" max="11533" width="4.42578125" style="92" customWidth="1"/>
    <col min="11534" max="11534" width="7.140625" style="92" customWidth="1"/>
    <col min="11535" max="11538" width="15.28515625" style="92" customWidth="1"/>
    <col min="11539" max="11539" width="12.7109375" style="92" customWidth="1"/>
    <col min="11540" max="11546" width="9.140625" style="92"/>
    <col min="11547" max="11547" width="11.7109375" style="92" bestFit="1" customWidth="1"/>
    <col min="11548" max="11552" width="9.140625" style="92"/>
    <col min="11553" max="11553" width="11.7109375" style="92" bestFit="1" customWidth="1"/>
    <col min="11554" max="11776" width="9.140625" style="92"/>
    <col min="11777" max="11777" width="9.5703125" style="92" bestFit="1" customWidth="1"/>
    <col min="11778" max="11778" width="23.85546875" style="92" customWidth="1"/>
    <col min="11779" max="11779" width="16" style="92" customWidth="1"/>
    <col min="11780" max="11780" width="15.85546875" style="92" customWidth="1"/>
    <col min="11781" max="11781" width="10.5703125" style="92" customWidth="1"/>
    <col min="11782" max="11782" width="3" style="92" customWidth="1"/>
    <col min="11783" max="11783" width="13.140625" style="92" customWidth="1"/>
    <col min="11784" max="11784" width="14.85546875" style="92" customWidth="1"/>
    <col min="11785" max="11785" width="13.42578125" style="92" customWidth="1"/>
    <col min="11786" max="11786" width="13.85546875" style="92" customWidth="1"/>
    <col min="11787" max="11787" width="15.28515625" style="92" customWidth="1"/>
    <col min="11788" max="11788" width="3.5703125" style="92" customWidth="1"/>
    <col min="11789" max="11789" width="4.42578125" style="92" customWidth="1"/>
    <col min="11790" max="11790" width="7.140625" style="92" customWidth="1"/>
    <col min="11791" max="11794" width="15.28515625" style="92" customWidth="1"/>
    <col min="11795" max="11795" width="12.7109375" style="92" customWidth="1"/>
    <col min="11796" max="11802" width="9.140625" style="92"/>
    <col min="11803" max="11803" width="11.7109375" style="92" bestFit="1" customWidth="1"/>
    <col min="11804" max="11808" width="9.140625" style="92"/>
    <col min="11809" max="11809" width="11.7109375" style="92" bestFit="1" customWidth="1"/>
    <col min="11810" max="12032" width="9.140625" style="92"/>
    <col min="12033" max="12033" width="9.5703125" style="92" bestFit="1" customWidth="1"/>
    <col min="12034" max="12034" width="23.85546875" style="92" customWidth="1"/>
    <col min="12035" max="12035" width="16" style="92" customWidth="1"/>
    <col min="12036" max="12036" width="15.85546875" style="92" customWidth="1"/>
    <col min="12037" max="12037" width="10.5703125" style="92" customWidth="1"/>
    <col min="12038" max="12038" width="3" style="92" customWidth="1"/>
    <col min="12039" max="12039" width="13.140625" style="92" customWidth="1"/>
    <col min="12040" max="12040" width="14.85546875" style="92" customWidth="1"/>
    <col min="12041" max="12041" width="13.42578125" style="92" customWidth="1"/>
    <col min="12042" max="12042" width="13.85546875" style="92" customWidth="1"/>
    <col min="12043" max="12043" width="15.28515625" style="92" customWidth="1"/>
    <col min="12044" max="12044" width="3.5703125" style="92" customWidth="1"/>
    <col min="12045" max="12045" width="4.42578125" style="92" customWidth="1"/>
    <col min="12046" max="12046" width="7.140625" style="92" customWidth="1"/>
    <col min="12047" max="12050" width="15.28515625" style="92" customWidth="1"/>
    <col min="12051" max="12051" width="12.7109375" style="92" customWidth="1"/>
    <col min="12052" max="12058" width="9.140625" style="92"/>
    <col min="12059" max="12059" width="11.7109375" style="92" bestFit="1" customWidth="1"/>
    <col min="12060" max="12064" width="9.140625" style="92"/>
    <col min="12065" max="12065" width="11.7109375" style="92" bestFit="1" customWidth="1"/>
    <col min="12066" max="12288" width="9.140625" style="92"/>
    <col min="12289" max="12289" width="9.5703125" style="92" bestFit="1" customWidth="1"/>
    <col min="12290" max="12290" width="23.85546875" style="92" customWidth="1"/>
    <col min="12291" max="12291" width="16" style="92" customWidth="1"/>
    <col min="12292" max="12292" width="15.85546875" style="92" customWidth="1"/>
    <col min="12293" max="12293" width="10.5703125" style="92" customWidth="1"/>
    <col min="12294" max="12294" width="3" style="92" customWidth="1"/>
    <col min="12295" max="12295" width="13.140625" style="92" customWidth="1"/>
    <col min="12296" max="12296" width="14.85546875" style="92" customWidth="1"/>
    <col min="12297" max="12297" width="13.42578125" style="92" customWidth="1"/>
    <col min="12298" max="12298" width="13.85546875" style="92" customWidth="1"/>
    <col min="12299" max="12299" width="15.28515625" style="92" customWidth="1"/>
    <col min="12300" max="12300" width="3.5703125" style="92" customWidth="1"/>
    <col min="12301" max="12301" width="4.42578125" style="92" customWidth="1"/>
    <col min="12302" max="12302" width="7.140625" style="92" customWidth="1"/>
    <col min="12303" max="12306" width="15.28515625" style="92" customWidth="1"/>
    <col min="12307" max="12307" width="12.7109375" style="92" customWidth="1"/>
    <col min="12308" max="12314" width="9.140625" style="92"/>
    <col min="12315" max="12315" width="11.7109375" style="92" bestFit="1" customWidth="1"/>
    <col min="12316" max="12320" width="9.140625" style="92"/>
    <col min="12321" max="12321" width="11.7109375" style="92" bestFit="1" customWidth="1"/>
    <col min="12322" max="12544" width="9.140625" style="92"/>
    <col min="12545" max="12545" width="9.5703125" style="92" bestFit="1" customWidth="1"/>
    <col min="12546" max="12546" width="23.85546875" style="92" customWidth="1"/>
    <col min="12547" max="12547" width="16" style="92" customWidth="1"/>
    <col min="12548" max="12548" width="15.85546875" style="92" customWidth="1"/>
    <col min="12549" max="12549" width="10.5703125" style="92" customWidth="1"/>
    <col min="12550" max="12550" width="3" style="92" customWidth="1"/>
    <col min="12551" max="12551" width="13.140625" style="92" customWidth="1"/>
    <col min="12552" max="12552" width="14.85546875" style="92" customWidth="1"/>
    <col min="12553" max="12553" width="13.42578125" style="92" customWidth="1"/>
    <col min="12554" max="12554" width="13.85546875" style="92" customWidth="1"/>
    <col min="12555" max="12555" width="15.28515625" style="92" customWidth="1"/>
    <col min="12556" max="12556" width="3.5703125" style="92" customWidth="1"/>
    <col min="12557" max="12557" width="4.42578125" style="92" customWidth="1"/>
    <col min="12558" max="12558" width="7.140625" style="92" customWidth="1"/>
    <col min="12559" max="12562" width="15.28515625" style="92" customWidth="1"/>
    <col min="12563" max="12563" width="12.7109375" style="92" customWidth="1"/>
    <col min="12564" max="12570" width="9.140625" style="92"/>
    <col min="12571" max="12571" width="11.7109375" style="92" bestFit="1" customWidth="1"/>
    <col min="12572" max="12576" width="9.140625" style="92"/>
    <col min="12577" max="12577" width="11.7109375" style="92" bestFit="1" customWidth="1"/>
    <col min="12578" max="12800" width="9.140625" style="92"/>
    <col min="12801" max="12801" width="9.5703125" style="92" bestFit="1" customWidth="1"/>
    <col min="12802" max="12802" width="23.85546875" style="92" customWidth="1"/>
    <col min="12803" max="12803" width="16" style="92" customWidth="1"/>
    <col min="12804" max="12804" width="15.85546875" style="92" customWidth="1"/>
    <col min="12805" max="12805" width="10.5703125" style="92" customWidth="1"/>
    <col min="12806" max="12806" width="3" style="92" customWidth="1"/>
    <col min="12807" max="12807" width="13.140625" style="92" customWidth="1"/>
    <col min="12808" max="12808" width="14.85546875" style="92" customWidth="1"/>
    <col min="12809" max="12809" width="13.42578125" style="92" customWidth="1"/>
    <col min="12810" max="12810" width="13.85546875" style="92" customWidth="1"/>
    <col min="12811" max="12811" width="15.28515625" style="92" customWidth="1"/>
    <col min="12812" max="12812" width="3.5703125" style="92" customWidth="1"/>
    <col min="12813" max="12813" width="4.42578125" style="92" customWidth="1"/>
    <col min="12814" max="12814" width="7.140625" style="92" customWidth="1"/>
    <col min="12815" max="12818" width="15.28515625" style="92" customWidth="1"/>
    <col min="12819" max="12819" width="12.7109375" style="92" customWidth="1"/>
    <col min="12820" max="12826" width="9.140625" style="92"/>
    <col min="12827" max="12827" width="11.7109375" style="92" bestFit="1" customWidth="1"/>
    <col min="12828" max="12832" width="9.140625" style="92"/>
    <col min="12833" max="12833" width="11.7109375" style="92" bestFit="1" customWidth="1"/>
    <col min="12834" max="13056" width="9.140625" style="92"/>
    <col min="13057" max="13057" width="9.5703125" style="92" bestFit="1" customWidth="1"/>
    <col min="13058" max="13058" width="23.85546875" style="92" customWidth="1"/>
    <col min="13059" max="13059" width="16" style="92" customWidth="1"/>
    <col min="13060" max="13060" width="15.85546875" style="92" customWidth="1"/>
    <col min="13061" max="13061" width="10.5703125" style="92" customWidth="1"/>
    <col min="13062" max="13062" width="3" style="92" customWidth="1"/>
    <col min="13063" max="13063" width="13.140625" style="92" customWidth="1"/>
    <col min="13064" max="13064" width="14.85546875" style="92" customWidth="1"/>
    <col min="13065" max="13065" width="13.42578125" style="92" customWidth="1"/>
    <col min="13066" max="13066" width="13.85546875" style="92" customWidth="1"/>
    <col min="13067" max="13067" width="15.28515625" style="92" customWidth="1"/>
    <col min="13068" max="13068" width="3.5703125" style="92" customWidth="1"/>
    <col min="13069" max="13069" width="4.42578125" style="92" customWidth="1"/>
    <col min="13070" max="13070" width="7.140625" style="92" customWidth="1"/>
    <col min="13071" max="13074" width="15.28515625" style="92" customWidth="1"/>
    <col min="13075" max="13075" width="12.7109375" style="92" customWidth="1"/>
    <col min="13076" max="13082" width="9.140625" style="92"/>
    <col min="13083" max="13083" width="11.7109375" style="92" bestFit="1" customWidth="1"/>
    <col min="13084" max="13088" width="9.140625" style="92"/>
    <col min="13089" max="13089" width="11.7109375" style="92" bestFit="1" customWidth="1"/>
    <col min="13090" max="13312" width="9.140625" style="92"/>
    <col min="13313" max="13313" width="9.5703125" style="92" bestFit="1" customWidth="1"/>
    <col min="13314" max="13314" width="23.85546875" style="92" customWidth="1"/>
    <col min="13315" max="13315" width="16" style="92" customWidth="1"/>
    <col min="13316" max="13316" width="15.85546875" style="92" customWidth="1"/>
    <col min="13317" max="13317" width="10.5703125" style="92" customWidth="1"/>
    <col min="13318" max="13318" width="3" style="92" customWidth="1"/>
    <col min="13319" max="13319" width="13.140625" style="92" customWidth="1"/>
    <col min="13320" max="13320" width="14.85546875" style="92" customWidth="1"/>
    <col min="13321" max="13321" width="13.42578125" style="92" customWidth="1"/>
    <col min="13322" max="13322" width="13.85546875" style="92" customWidth="1"/>
    <col min="13323" max="13323" width="15.28515625" style="92" customWidth="1"/>
    <col min="13324" max="13324" width="3.5703125" style="92" customWidth="1"/>
    <col min="13325" max="13325" width="4.42578125" style="92" customWidth="1"/>
    <col min="13326" max="13326" width="7.140625" style="92" customWidth="1"/>
    <col min="13327" max="13330" width="15.28515625" style="92" customWidth="1"/>
    <col min="13331" max="13331" width="12.7109375" style="92" customWidth="1"/>
    <col min="13332" max="13338" width="9.140625" style="92"/>
    <col min="13339" max="13339" width="11.7109375" style="92" bestFit="1" customWidth="1"/>
    <col min="13340" max="13344" width="9.140625" style="92"/>
    <col min="13345" max="13345" width="11.7109375" style="92" bestFit="1" customWidth="1"/>
    <col min="13346" max="13568" width="9.140625" style="92"/>
    <col min="13569" max="13569" width="9.5703125" style="92" bestFit="1" customWidth="1"/>
    <col min="13570" max="13570" width="23.85546875" style="92" customWidth="1"/>
    <col min="13571" max="13571" width="16" style="92" customWidth="1"/>
    <col min="13572" max="13572" width="15.85546875" style="92" customWidth="1"/>
    <col min="13573" max="13573" width="10.5703125" style="92" customWidth="1"/>
    <col min="13574" max="13574" width="3" style="92" customWidth="1"/>
    <col min="13575" max="13575" width="13.140625" style="92" customWidth="1"/>
    <col min="13576" max="13576" width="14.85546875" style="92" customWidth="1"/>
    <col min="13577" max="13577" width="13.42578125" style="92" customWidth="1"/>
    <col min="13578" max="13578" width="13.85546875" style="92" customWidth="1"/>
    <col min="13579" max="13579" width="15.28515625" style="92" customWidth="1"/>
    <col min="13580" max="13580" width="3.5703125" style="92" customWidth="1"/>
    <col min="13581" max="13581" width="4.42578125" style="92" customWidth="1"/>
    <col min="13582" max="13582" width="7.140625" style="92" customWidth="1"/>
    <col min="13583" max="13586" width="15.28515625" style="92" customWidth="1"/>
    <col min="13587" max="13587" width="12.7109375" style="92" customWidth="1"/>
    <col min="13588" max="13594" width="9.140625" style="92"/>
    <col min="13595" max="13595" width="11.7109375" style="92" bestFit="1" customWidth="1"/>
    <col min="13596" max="13600" width="9.140625" style="92"/>
    <col min="13601" max="13601" width="11.7109375" style="92" bestFit="1" customWidth="1"/>
    <col min="13602" max="13824" width="9.140625" style="92"/>
    <col min="13825" max="13825" width="9.5703125" style="92" bestFit="1" customWidth="1"/>
    <col min="13826" max="13826" width="23.85546875" style="92" customWidth="1"/>
    <col min="13827" max="13827" width="16" style="92" customWidth="1"/>
    <col min="13828" max="13828" width="15.85546875" style="92" customWidth="1"/>
    <col min="13829" max="13829" width="10.5703125" style="92" customWidth="1"/>
    <col min="13830" max="13830" width="3" style="92" customWidth="1"/>
    <col min="13831" max="13831" width="13.140625" style="92" customWidth="1"/>
    <col min="13832" max="13832" width="14.85546875" style="92" customWidth="1"/>
    <col min="13833" max="13833" width="13.42578125" style="92" customWidth="1"/>
    <col min="13834" max="13834" width="13.85546875" style="92" customWidth="1"/>
    <col min="13835" max="13835" width="15.28515625" style="92" customWidth="1"/>
    <col min="13836" max="13836" width="3.5703125" style="92" customWidth="1"/>
    <col min="13837" max="13837" width="4.42578125" style="92" customWidth="1"/>
    <col min="13838" max="13838" width="7.140625" style="92" customWidth="1"/>
    <col min="13839" max="13842" width="15.28515625" style="92" customWidth="1"/>
    <col min="13843" max="13843" width="12.7109375" style="92" customWidth="1"/>
    <col min="13844" max="13850" width="9.140625" style="92"/>
    <col min="13851" max="13851" width="11.7109375" style="92" bestFit="1" customWidth="1"/>
    <col min="13852" max="13856" width="9.140625" style="92"/>
    <col min="13857" max="13857" width="11.7109375" style="92" bestFit="1" customWidth="1"/>
    <col min="13858" max="14080" width="9.140625" style="92"/>
    <col min="14081" max="14081" width="9.5703125" style="92" bestFit="1" customWidth="1"/>
    <col min="14082" max="14082" width="23.85546875" style="92" customWidth="1"/>
    <col min="14083" max="14083" width="16" style="92" customWidth="1"/>
    <col min="14084" max="14084" width="15.85546875" style="92" customWidth="1"/>
    <col min="14085" max="14085" width="10.5703125" style="92" customWidth="1"/>
    <col min="14086" max="14086" width="3" style="92" customWidth="1"/>
    <col min="14087" max="14087" width="13.140625" style="92" customWidth="1"/>
    <col min="14088" max="14088" width="14.85546875" style="92" customWidth="1"/>
    <col min="14089" max="14089" width="13.42578125" style="92" customWidth="1"/>
    <col min="14090" max="14090" width="13.85546875" style="92" customWidth="1"/>
    <col min="14091" max="14091" width="15.28515625" style="92" customWidth="1"/>
    <col min="14092" max="14092" width="3.5703125" style="92" customWidth="1"/>
    <col min="14093" max="14093" width="4.42578125" style="92" customWidth="1"/>
    <col min="14094" max="14094" width="7.140625" style="92" customWidth="1"/>
    <col min="14095" max="14098" width="15.28515625" style="92" customWidth="1"/>
    <col min="14099" max="14099" width="12.7109375" style="92" customWidth="1"/>
    <col min="14100" max="14106" width="9.140625" style="92"/>
    <col min="14107" max="14107" width="11.7109375" style="92" bestFit="1" customWidth="1"/>
    <col min="14108" max="14112" width="9.140625" style="92"/>
    <col min="14113" max="14113" width="11.7109375" style="92" bestFit="1" customWidth="1"/>
    <col min="14114" max="14336" width="9.140625" style="92"/>
    <col min="14337" max="14337" width="9.5703125" style="92" bestFit="1" customWidth="1"/>
    <col min="14338" max="14338" width="23.85546875" style="92" customWidth="1"/>
    <col min="14339" max="14339" width="16" style="92" customWidth="1"/>
    <col min="14340" max="14340" width="15.85546875" style="92" customWidth="1"/>
    <col min="14341" max="14341" width="10.5703125" style="92" customWidth="1"/>
    <col min="14342" max="14342" width="3" style="92" customWidth="1"/>
    <col min="14343" max="14343" width="13.140625" style="92" customWidth="1"/>
    <col min="14344" max="14344" width="14.85546875" style="92" customWidth="1"/>
    <col min="14345" max="14345" width="13.42578125" style="92" customWidth="1"/>
    <col min="14346" max="14346" width="13.85546875" style="92" customWidth="1"/>
    <col min="14347" max="14347" width="15.28515625" style="92" customWidth="1"/>
    <col min="14348" max="14348" width="3.5703125" style="92" customWidth="1"/>
    <col min="14349" max="14349" width="4.42578125" style="92" customWidth="1"/>
    <col min="14350" max="14350" width="7.140625" style="92" customWidth="1"/>
    <col min="14351" max="14354" width="15.28515625" style="92" customWidth="1"/>
    <col min="14355" max="14355" width="12.7109375" style="92" customWidth="1"/>
    <col min="14356" max="14362" width="9.140625" style="92"/>
    <col min="14363" max="14363" width="11.7109375" style="92" bestFit="1" customWidth="1"/>
    <col min="14364" max="14368" width="9.140625" style="92"/>
    <col min="14369" max="14369" width="11.7109375" style="92" bestFit="1" customWidth="1"/>
    <col min="14370" max="14592" width="9.140625" style="92"/>
    <col min="14593" max="14593" width="9.5703125" style="92" bestFit="1" customWidth="1"/>
    <col min="14594" max="14594" width="23.85546875" style="92" customWidth="1"/>
    <col min="14595" max="14595" width="16" style="92" customWidth="1"/>
    <col min="14596" max="14596" width="15.85546875" style="92" customWidth="1"/>
    <col min="14597" max="14597" width="10.5703125" style="92" customWidth="1"/>
    <col min="14598" max="14598" width="3" style="92" customWidth="1"/>
    <col min="14599" max="14599" width="13.140625" style="92" customWidth="1"/>
    <col min="14600" max="14600" width="14.85546875" style="92" customWidth="1"/>
    <col min="14601" max="14601" width="13.42578125" style="92" customWidth="1"/>
    <col min="14602" max="14602" width="13.85546875" style="92" customWidth="1"/>
    <col min="14603" max="14603" width="15.28515625" style="92" customWidth="1"/>
    <col min="14604" max="14604" width="3.5703125" style="92" customWidth="1"/>
    <col min="14605" max="14605" width="4.42578125" style="92" customWidth="1"/>
    <col min="14606" max="14606" width="7.140625" style="92" customWidth="1"/>
    <col min="14607" max="14610" width="15.28515625" style="92" customWidth="1"/>
    <col min="14611" max="14611" width="12.7109375" style="92" customWidth="1"/>
    <col min="14612" max="14618" width="9.140625" style="92"/>
    <col min="14619" max="14619" width="11.7109375" style="92" bestFit="1" customWidth="1"/>
    <col min="14620" max="14624" width="9.140625" style="92"/>
    <col min="14625" max="14625" width="11.7109375" style="92" bestFit="1" customWidth="1"/>
    <col min="14626" max="14848" width="9.140625" style="92"/>
    <col min="14849" max="14849" width="9.5703125" style="92" bestFit="1" customWidth="1"/>
    <col min="14850" max="14850" width="23.85546875" style="92" customWidth="1"/>
    <col min="14851" max="14851" width="16" style="92" customWidth="1"/>
    <col min="14852" max="14852" width="15.85546875" style="92" customWidth="1"/>
    <col min="14853" max="14853" width="10.5703125" style="92" customWidth="1"/>
    <col min="14854" max="14854" width="3" style="92" customWidth="1"/>
    <col min="14855" max="14855" width="13.140625" style="92" customWidth="1"/>
    <col min="14856" max="14856" width="14.85546875" style="92" customWidth="1"/>
    <col min="14857" max="14857" width="13.42578125" style="92" customWidth="1"/>
    <col min="14858" max="14858" width="13.85546875" style="92" customWidth="1"/>
    <col min="14859" max="14859" width="15.28515625" style="92" customWidth="1"/>
    <col min="14860" max="14860" width="3.5703125" style="92" customWidth="1"/>
    <col min="14861" max="14861" width="4.42578125" style="92" customWidth="1"/>
    <col min="14862" max="14862" width="7.140625" style="92" customWidth="1"/>
    <col min="14863" max="14866" width="15.28515625" style="92" customWidth="1"/>
    <col min="14867" max="14867" width="12.7109375" style="92" customWidth="1"/>
    <col min="14868" max="14874" width="9.140625" style="92"/>
    <col min="14875" max="14875" width="11.7109375" style="92" bestFit="1" customWidth="1"/>
    <col min="14876" max="14880" width="9.140625" style="92"/>
    <col min="14881" max="14881" width="11.7109375" style="92" bestFit="1" customWidth="1"/>
    <col min="14882" max="15104" width="9.140625" style="92"/>
    <col min="15105" max="15105" width="9.5703125" style="92" bestFit="1" customWidth="1"/>
    <col min="15106" max="15106" width="23.85546875" style="92" customWidth="1"/>
    <col min="15107" max="15107" width="16" style="92" customWidth="1"/>
    <col min="15108" max="15108" width="15.85546875" style="92" customWidth="1"/>
    <col min="15109" max="15109" width="10.5703125" style="92" customWidth="1"/>
    <col min="15110" max="15110" width="3" style="92" customWidth="1"/>
    <col min="15111" max="15111" width="13.140625" style="92" customWidth="1"/>
    <col min="15112" max="15112" width="14.85546875" style="92" customWidth="1"/>
    <col min="15113" max="15113" width="13.42578125" style="92" customWidth="1"/>
    <col min="15114" max="15114" width="13.85546875" style="92" customWidth="1"/>
    <col min="15115" max="15115" width="15.28515625" style="92" customWidth="1"/>
    <col min="15116" max="15116" width="3.5703125" style="92" customWidth="1"/>
    <col min="15117" max="15117" width="4.42578125" style="92" customWidth="1"/>
    <col min="15118" max="15118" width="7.140625" style="92" customWidth="1"/>
    <col min="15119" max="15122" width="15.28515625" style="92" customWidth="1"/>
    <col min="15123" max="15123" width="12.7109375" style="92" customWidth="1"/>
    <col min="15124" max="15130" width="9.140625" style="92"/>
    <col min="15131" max="15131" width="11.7109375" style="92" bestFit="1" customWidth="1"/>
    <col min="15132" max="15136" width="9.140625" style="92"/>
    <col min="15137" max="15137" width="11.7109375" style="92" bestFit="1" customWidth="1"/>
    <col min="15138" max="15360" width="9.140625" style="92"/>
    <col min="15361" max="15361" width="9.5703125" style="92" bestFit="1" customWidth="1"/>
    <col min="15362" max="15362" width="23.85546875" style="92" customWidth="1"/>
    <col min="15363" max="15363" width="16" style="92" customWidth="1"/>
    <col min="15364" max="15364" width="15.85546875" style="92" customWidth="1"/>
    <col min="15365" max="15365" width="10.5703125" style="92" customWidth="1"/>
    <col min="15366" max="15366" width="3" style="92" customWidth="1"/>
    <col min="15367" max="15367" width="13.140625" style="92" customWidth="1"/>
    <col min="15368" max="15368" width="14.85546875" style="92" customWidth="1"/>
    <col min="15369" max="15369" width="13.42578125" style="92" customWidth="1"/>
    <col min="15370" max="15370" width="13.85546875" style="92" customWidth="1"/>
    <col min="15371" max="15371" width="15.28515625" style="92" customWidth="1"/>
    <col min="15372" max="15372" width="3.5703125" style="92" customWidth="1"/>
    <col min="15373" max="15373" width="4.42578125" style="92" customWidth="1"/>
    <col min="15374" max="15374" width="7.140625" style="92" customWidth="1"/>
    <col min="15375" max="15378" width="15.28515625" style="92" customWidth="1"/>
    <col min="15379" max="15379" width="12.7109375" style="92" customWidth="1"/>
    <col min="15380" max="15386" width="9.140625" style="92"/>
    <col min="15387" max="15387" width="11.7109375" style="92" bestFit="1" customWidth="1"/>
    <col min="15388" max="15392" width="9.140625" style="92"/>
    <col min="15393" max="15393" width="11.7109375" style="92" bestFit="1" customWidth="1"/>
    <col min="15394" max="15616" width="9.140625" style="92"/>
    <col min="15617" max="15617" width="9.5703125" style="92" bestFit="1" customWidth="1"/>
    <col min="15618" max="15618" width="23.85546875" style="92" customWidth="1"/>
    <col min="15619" max="15619" width="16" style="92" customWidth="1"/>
    <col min="15620" max="15620" width="15.85546875" style="92" customWidth="1"/>
    <col min="15621" max="15621" width="10.5703125" style="92" customWidth="1"/>
    <col min="15622" max="15622" width="3" style="92" customWidth="1"/>
    <col min="15623" max="15623" width="13.140625" style="92" customWidth="1"/>
    <col min="15624" max="15624" width="14.85546875" style="92" customWidth="1"/>
    <col min="15625" max="15625" width="13.42578125" style="92" customWidth="1"/>
    <col min="15626" max="15626" width="13.85546875" style="92" customWidth="1"/>
    <col min="15627" max="15627" width="15.28515625" style="92" customWidth="1"/>
    <col min="15628" max="15628" width="3.5703125" style="92" customWidth="1"/>
    <col min="15629" max="15629" width="4.42578125" style="92" customWidth="1"/>
    <col min="15630" max="15630" width="7.140625" style="92" customWidth="1"/>
    <col min="15631" max="15634" width="15.28515625" style="92" customWidth="1"/>
    <col min="15635" max="15635" width="12.7109375" style="92" customWidth="1"/>
    <col min="15636" max="15642" width="9.140625" style="92"/>
    <col min="15643" max="15643" width="11.7109375" style="92" bestFit="1" customWidth="1"/>
    <col min="15644" max="15648" width="9.140625" style="92"/>
    <col min="15649" max="15649" width="11.7109375" style="92" bestFit="1" customWidth="1"/>
    <col min="15650" max="15872" width="9.140625" style="92"/>
    <col min="15873" max="15873" width="9.5703125" style="92" bestFit="1" customWidth="1"/>
    <col min="15874" max="15874" width="23.85546875" style="92" customWidth="1"/>
    <col min="15875" max="15875" width="16" style="92" customWidth="1"/>
    <col min="15876" max="15876" width="15.85546875" style="92" customWidth="1"/>
    <col min="15877" max="15877" width="10.5703125" style="92" customWidth="1"/>
    <col min="15878" max="15878" width="3" style="92" customWidth="1"/>
    <col min="15879" max="15879" width="13.140625" style="92" customWidth="1"/>
    <col min="15880" max="15880" width="14.85546875" style="92" customWidth="1"/>
    <col min="15881" max="15881" width="13.42578125" style="92" customWidth="1"/>
    <col min="15882" max="15882" width="13.85546875" style="92" customWidth="1"/>
    <col min="15883" max="15883" width="15.28515625" style="92" customWidth="1"/>
    <col min="15884" max="15884" width="3.5703125" style="92" customWidth="1"/>
    <col min="15885" max="15885" width="4.42578125" style="92" customWidth="1"/>
    <col min="15886" max="15886" width="7.140625" style="92" customWidth="1"/>
    <col min="15887" max="15890" width="15.28515625" style="92" customWidth="1"/>
    <col min="15891" max="15891" width="12.7109375" style="92" customWidth="1"/>
    <col min="15892" max="15898" width="9.140625" style="92"/>
    <col min="15899" max="15899" width="11.7109375" style="92" bestFit="1" customWidth="1"/>
    <col min="15900" max="15904" width="9.140625" style="92"/>
    <col min="15905" max="15905" width="11.7109375" style="92" bestFit="1" customWidth="1"/>
    <col min="15906" max="16128" width="9.140625" style="92"/>
    <col min="16129" max="16129" width="9.5703125" style="92" bestFit="1" customWidth="1"/>
    <col min="16130" max="16130" width="23.85546875" style="92" customWidth="1"/>
    <col min="16131" max="16131" width="16" style="92" customWidth="1"/>
    <col min="16132" max="16132" width="15.85546875" style="92" customWidth="1"/>
    <col min="16133" max="16133" width="10.5703125" style="92" customWidth="1"/>
    <col min="16134" max="16134" width="3" style="92" customWidth="1"/>
    <col min="16135" max="16135" width="13.140625" style="92" customWidth="1"/>
    <col min="16136" max="16136" width="14.85546875" style="92" customWidth="1"/>
    <col min="16137" max="16137" width="13.42578125" style="92" customWidth="1"/>
    <col min="16138" max="16138" width="13.85546875" style="92" customWidth="1"/>
    <col min="16139" max="16139" width="15.28515625" style="92" customWidth="1"/>
    <col min="16140" max="16140" width="3.5703125" style="92" customWidth="1"/>
    <col min="16141" max="16141" width="4.42578125" style="92" customWidth="1"/>
    <col min="16142" max="16142" width="7.140625" style="92" customWidth="1"/>
    <col min="16143" max="16146" width="15.28515625" style="92" customWidth="1"/>
    <col min="16147" max="16147" width="12.7109375" style="92" customWidth="1"/>
    <col min="16148" max="16154" width="9.140625" style="92"/>
    <col min="16155" max="16155" width="11.7109375" style="92" bestFit="1" customWidth="1"/>
    <col min="16156" max="16160" width="9.140625" style="92"/>
    <col min="16161" max="16161" width="11.7109375" style="92" bestFit="1" customWidth="1"/>
    <col min="16162" max="16384" width="9.140625" style="92"/>
  </cols>
  <sheetData>
    <row r="1" spans="1:21" hidden="1">
      <c r="A1" s="400"/>
      <c r="C1" s="401" t="s">
        <v>409</v>
      </c>
      <c r="D1" s="401"/>
      <c r="E1" s="401"/>
      <c r="F1" s="401"/>
    </row>
    <row r="2" spans="1:21" hidden="1">
      <c r="A2" s="400"/>
      <c r="B2" s="401"/>
      <c r="C2" s="401"/>
      <c r="D2" s="401"/>
      <c r="E2" s="401"/>
      <c r="F2" s="401"/>
    </row>
    <row r="3" spans="1:21" hidden="1">
      <c r="A3" s="400"/>
      <c r="B3" s="400"/>
    </row>
    <row r="4" spans="1:21" hidden="1">
      <c r="A4" s="400"/>
      <c r="B4" s="400"/>
      <c r="D4" s="402" t="s">
        <v>410</v>
      </c>
      <c r="E4" s="402"/>
      <c r="F4" s="403" t="e">
        <f>#REF!</f>
        <v>#REF!</v>
      </c>
    </row>
    <row r="5" spans="1:21" ht="15" hidden="1">
      <c r="A5" s="400"/>
      <c r="B5" s="400"/>
      <c r="D5" s="402" t="s">
        <v>411</v>
      </c>
      <c r="E5" s="402"/>
      <c r="F5" s="404" t="e">
        <f>#REF!</f>
        <v>#REF!</v>
      </c>
      <c r="G5" s="405"/>
      <c r="H5" s="406"/>
    </row>
    <row r="6" spans="1:21" ht="15" hidden="1">
      <c r="A6" s="400"/>
      <c r="B6" s="400"/>
      <c r="D6" s="402" t="s">
        <v>412</v>
      </c>
      <c r="E6" s="402"/>
      <c r="F6" s="407" t="e">
        <f>(1+F5)^(1/C87)-1</f>
        <v>#REF!</v>
      </c>
      <c r="G6" s="406"/>
    </row>
    <row r="7" spans="1:21" hidden="1">
      <c r="A7" s="400"/>
      <c r="B7" s="400"/>
      <c r="D7" s="402" t="s">
        <v>413</v>
      </c>
      <c r="E7" s="402"/>
      <c r="F7" s="408" t="e">
        <f>#REF!</f>
        <v>#REF!</v>
      </c>
      <c r="J7" s="409"/>
    </row>
    <row r="8" spans="1:21" hidden="1">
      <c r="A8" s="400"/>
      <c r="B8" s="400"/>
      <c r="D8" s="402" t="s">
        <v>414</v>
      </c>
      <c r="E8" s="402"/>
      <c r="F8" s="410" t="e">
        <f>#REF!</f>
        <v>#REF!</v>
      </c>
      <c r="G8" s="411"/>
      <c r="H8" s="153"/>
    </row>
    <row r="9" spans="1:21" hidden="1">
      <c r="A9" s="412"/>
      <c r="B9" s="412"/>
      <c r="D9" s="402" t="s">
        <v>415</v>
      </c>
      <c r="E9" s="402"/>
      <c r="F9" s="413" t="e">
        <f>#REF!</f>
        <v>#REF!</v>
      </c>
    </row>
    <row r="10" spans="1:21" hidden="1">
      <c r="A10" s="414"/>
      <c r="B10" s="414"/>
      <c r="C10" s="415"/>
      <c r="D10" s="416"/>
      <c r="E10" s="416"/>
      <c r="F10" s="417"/>
      <c r="G10" s="415"/>
      <c r="H10" s="415"/>
      <c r="I10" s="415"/>
      <c r="J10" s="415"/>
      <c r="K10" s="415"/>
      <c r="L10" s="415"/>
      <c r="M10" s="415"/>
      <c r="N10" s="415"/>
      <c r="O10" s="415"/>
      <c r="P10" s="415"/>
      <c r="Q10" s="415"/>
      <c r="R10" s="415"/>
    </row>
    <row r="11" spans="1:21" ht="13.5" hidden="1" thickBot="1">
      <c r="A11" s="418" t="s">
        <v>416</v>
      </c>
      <c r="B11" s="419" t="s">
        <v>37</v>
      </c>
      <c r="C11" s="420" t="s">
        <v>417</v>
      </c>
      <c r="D11" s="420" t="s">
        <v>418</v>
      </c>
      <c r="E11" s="420"/>
      <c r="F11" s="420" t="s">
        <v>2</v>
      </c>
      <c r="G11" s="420" t="s">
        <v>3</v>
      </c>
      <c r="H11" s="421" t="s">
        <v>1</v>
      </c>
      <c r="J11" s="420"/>
      <c r="K11" s="420"/>
      <c r="L11" s="420"/>
      <c r="M11" s="420"/>
      <c r="N11" s="420"/>
      <c r="O11" s="420"/>
      <c r="P11" s="420"/>
      <c r="Q11" s="420"/>
      <c r="R11" s="420"/>
      <c r="S11" s="420"/>
      <c r="T11" s="420"/>
      <c r="U11" s="421"/>
    </row>
    <row r="12" spans="1:21" hidden="1">
      <c r="A12" s="422">
        <v>1</v>
      </c>
      <c r="B12" s="423" t="e">
        <f>F9+30</f>
        <v>#REF!</v>
      </c>
      <c r="C12" s="423" t="e">
        <f>F4</f>
        <v>#REF!</v>
      </c>
      <c r="D12" s="423" t="e">
        <f>SUM(IF(AND(A12&gt;$F$8,H11&gt;0.1),-PMT($F$6,$F$7-$F$8,$F$4,0),F12))</f>
        <v>#REF!</v>
      </c>
      <c r="E12" s="423"/>
      <c r="F12" s="423" t="e">
        <f>$F$6*C12</f>
        <v>#REF!</v>
      </c>
      <c r="G12" s="423" t="e">
        <f>SUM(IF($A12&gt;$F$8,D12-F12,0))</f>
        <v>#REF!</v>
      </c>
      <c r="H12" s="423" t="e">
        <f>SUM($C12-$G12)</f>
        <v>#REF!</v>
      </c>
      <c r="J12" s="424"/>
      <c r="K12" s="425"/>
      <c r="L12" s="425"/>
      <c r="M12" s="425"/>
      <c r="N12" s="425"/>
      <c r="O12" s="425"/>
      <c r="P12" s="425"/>
      <c r="Q12" s="425"/>
      <c r="R12" s="425"/>
    </row>
    <row r="13" spans="1:21" hidden="1">
      <c r="A13" s="426">
        <f>($A12+1)</f>
        <v>2</v>
      </c>
      <c r="B13" s="427" t="e">
        <f>B12+31</f>
        <v>#REF!</v>
      </c>
      <c r="C13" s="427" t="e">
        <f>H12</f>
        <v>#REF!</v>
      </c>
      <c r="D13" s="423" t="e">
        <f>SUM(IF(AND(A13&gt;$F$8,H12&gt;0.1),-PMT($F$6,$F$7-$F$8,$F$4,0),F13))</f>
        <v>#REF!</v>
      </c>
      <c r="E13" s="423"/>
      <c r="F13" s="427" t="e">
        <f>$F$6*C13</f>
        <v>#REF!</v>
      </c>
      <c r="G13" s="427" t="e">
        <f t="shared" ref="G13:G71" si="0">SUM(IF($A13&gt;$F$8,D13-F13,0))</f>
        <v>#REF!</v>
      </c>
      <c r="H13" s="427" t="e">
        <f t="shared" ref="H13:H71" si="1">SUM($C13-$G13)</f>
        <v>#REF!</v>
      </c>
      <c r="J13" s="409"/>
    </row>
    <row r="14" spans="1:21" hidden="1">
      <c r="A14" s="426">
        <f>($A13+1)</f>
        <v>3</v>
      </c>
      <c r="B14" s="427" t="e">
        <f t="shared" ref="B14:B71" si="2">B13+31</f>
        <v>#REF!</v>
      </c>
      <c r="C14" s="427" t="e">
        <f t="shared" ref="C14:C71" si="3">H13</f>
        <v>#REF!</v>
      </c>
      <c r="D14" s="423" t="e">
        <f t="shared" ref="D14:D71" si="4">SUM(IF(AND(A14&gt;$F$8,H13&gt;0.1),-PMT($F$6,$F$7-$F$8,$F$4,0),F14))</f>
        <v>#REF!</v>
      </c>
      <c r="E14" s="423"/>
      <c r="F14" s="427" t="e">
        <f t="shared" ref="F14:F71" si="5">$F$6*C14</f>
        <v>#REF!</v>
      </c>
      <c r="G14" s="427" t="e">
        <f t="shared" si="0"/>
        <v>#REF!</v>
      </c>
      <c r="H14" s="427" t="e">
        <f t="shared" si="1"/>
        <v>#REF!</v>
      </c>
      <c r="J14" s="409"/>
    </row>
    <row r="15" spans="1:21" hidden="1">
      <c r="A15" s="426">
        <f t="shared" ref="A15:A71" si="6">($A14+1)</f>
        <v>4</v>
      </c>
      <c r="B15" s="427" t="e">
        <f t="shared" si="2"/>
        <v>#REF!</v>
      </c>
      <c r="C15" s="427" t="e">
        <f t="shared" si="3"/>
        <v>#REF!</v>
      </c>
      <c r="D15" s="423" t="e">
        <f t="shared" si="4"/>
        <v>#REF!</v>
      </c>
      <c r="E15" s="423"/>
      <c r="F15" s="427" t="e">
        <f>$F$6*C15</f>
        <v>#REF!</v>
      </c>
      <c r="G15" s="427" t="e">
        <f t="shared" si="0"/>
        <v>#REF!</v>
      </c>
      <c r="H15" s="427" t="e">
        <f t="shared" si="1"/>
        <v>#REF!</v>
      </c>
      <c r="J15" s="409"/>
    </row>
    <row r="16" spans="1:21" hidden="1">
      <c r="A16" s="426">
        <f t="shared" si="6"/>
        <v>5</v>
      </c>
      <c r="B16" s="427" t="e">
        <f t="shared" si="2"/>
        <v>#REF!</v>
      </c>
      <c r="C16" s="427" t="e">
        <f t="shared" si="3"/>
        <v>#REF!</v>
      </c>
      <c r="D16" s="423" t="e">
        <f t="shared" si="4"/>
        <v>#REF!</v>
      </c>
      <c r="E16" s="423"/>
      <c r="F16" s="427" t="e">
        <f t="shared" si="5"/>
        <v>#REF!</v>
      </c>
      <c r="G16" s="427" t="e">
        <f t="shared" si="0"/>
        <v>#REF!</v>
      </c>
      <c r="H16" s="427" t="e">
        <f t="shared" si="1"/>
        <v>#REF!</v>
      </c>
      <c r="J16" s="409"/>
    </row>
    <row r="17" spans="1:10" hidden="1">
      <c r="A17" s="426">
        <f t="shared" si="6"/>
        <v>6</v>
      </c>
      <c r="B17" s="427" t="e">
        <f t="shared" si="2"/>
        <v>#REF!</v>
      </c>
      <c r="C17" s="427" t="e">
        <f t="shared" si="3"/>
        <v>#REF!</v>
      </c>
      <c r="D17" s="423" t="e">
        <f t="shared" si="4"/>
        <v>#REF!</v>
      </c>
      <c r="E17" s="423"/>
      <c r="F17" s="427" t="e">
        <f t="shared" si="5"/>
        <v>#REF!</v>
      </c>
      <c r="G17" s="427" t="e">
        <f t="shared" si="0"/>
        <v>#REF!</v>
      </c>
      <c r="H17" s="427" t="e">
        <f t="shared" si="1"/>
        <v>#REF!</v>
      </c>
      <c r="J17" s="409"/>
    </row>
    <row r="18" spans="1:10" hidden="1">
      <c r="A18" s="426">
        <f t="shared" si="6"/>
        <v>7</v>
      </c>
      <c r="B18" s="427" t="e">
        <f t="shared" si="2"/>
        <v>#REF!</v>
      </c>
      <c r="C18" s="427" t="e">
        <f t="shared" si="3"/>
        <v>#REF!</v>
      </c>
      <c r="D18" s="423" t="e">
        <f t="shared" si="4"/>
        <v>#REF!</v>
      </c>
      <c r="E18" s="423"/>
      <c r="F18" s="427" t="e">
        <f t="shared" si="5"/>
        <v>#REF!</v>
      </c>
      <c r="G18" s="427" t="e">
        <f t="shared" si="0"/>
        <v>#REF!</v>
      </c>
      <c r="H18" s="427" t="e">
        <f t="shared" si="1"/>
        <v>#REF!</v>
      </c>
      <c r="J18" s="409"/>
    </row>
    <row r="19" spans="1:10" hidden="1">
      <c r="A19" s="426">
        <f t="shared" si="6"/>
        <v>8</v>
      </c>
      <c r="B19" s="427" t="e">
        <f t="shared" si="2"/>
        <v>#REF!</v>
      </c>
      <c r="C19" s="427" t="e">
        <f t="shared" si="3"/>
        <v>#REF!</v>
      </c>
      <c r="D19" s="423" t="e">
        <f t="shared" si="4"/>
        <v>#REF!</v>
      </c>
      <c r="E19" s="423"/>
      <c r="F19" s="427" t="e">
        <f t="shared" si="5"/>
        <v>#REF!</v>
      </c>
      <c r="G19" s="427" t="e">
        <f t="shared" si="0"/>
        <v>#REF!</v>
      </c>
      <c r="H19" s="427" t="e">
        <f t="shared" si="1"/>
        <v>#REF!</v>
      </c>
      <c r="J19" s="409"/>
    </row>
    <row r="20" spans="1:10" hidden="1">
      <c r="A20" s="426">
        <f t="shared" si="6"/>
        <v>9</v>
      </c>
      <c r="B20" s="427" t="e">
        <f t="shared" si="2"/>
        <v>#REF!</v>
      </c>
      <c r="C20" s="427" t="e">
        <f t="shared" si="3"/>
        <v>#REF!</v>
      </c>
      <c r="D20" s="423" t="e">
        <f t="shared" si="4"/>
        <v>#REF!</v>
      </c>
      <c r="E20" s="423"/>
      <c r="F20" s="427" t="e">
        <f t="shared" si="5"/>
        <v>#REF!</v>
      </c>
      <c r="G20" s="427" t="e">
        <f t="shared" si="0"/>
        <v>#REF!</v>
      </c>
      <c r="H20" s="427" t="e">
        <f t="shared" si="1"/>
        <v>#REF!</v>
      </c>
      <c r="J20" s="409"/>
    </row>
    <row r="21" spans="1:10" hidden="1">
      <c r="A21" s="426">
        <f t="shared" si="6"/>
        <v>10</v>
      </c>
      <c r="B21" s="427" t="e">
        <f t="shared" si="2"/>
        <v>#REF!</v>
      </c>
      <c r="C21" s="427" t="e">
        <f t="shared" si="3"/>
        <v>#REF!</v>
      </c>
      <c r="D21" s="423" t="e">
        <f t="shared" si="4"/>
        <v>#REF!</v>
      </c>
      <c r="E21" s="423"/>
      <c r="F21" s="427" t="e">
        <f t="shared" si="5"/>
        <v>#REF!</v>
      </c>
      <c r="G21" s="427" t="e">
        <f t="shared" si="0"/>
        <v>#REF!</v>
      </c>
      <c r="H21" s="427" t="e">
        <f t="shared" si="1"/>
        <v>#REF!</v>
      </c>
    </row>
    <row r="22" spans="1:10" hidden="1">
      <c r="A22" s="426">
        <f t="shared" si="6"/>
        <v>11</v>
      </c>
      <c r="B22" s="427" t="e">
        <f t="shared" si="2"/>
        <v>#REF!</v>
      </c>
      <c r="C22" s="427" t="e">
        <f t="shared" si="3"/>
        <v>#REF!</v>
      </c>
      <c r="D22" s="423" t="e">
        <f t="shared" si="4"/>
        <v>#REF!</v>
      </c>
      <c r="E22" s="423"/>
      <c r="F22" s="427" t="e">
        <f t="shared" si="5"/>
        <v>#REF!</v>
      </c>
      <c r="G22" s="427" t="e">
        <f t="shared" si="0"/>
        <v>#REF!</v>
      </c>
      <c r="H22" s="427" t="e">
        <f t="shared" si="1"/>
        <v>#REF!</v>
      </c>
    </row>
    <row r="23" spans="1:10" hidden="1">
      <c r="A23" s="426">
        <f t="shared" si="6"/>
        <v>12</v>
      </c>
      <c r="B23" s="427" t="e">
        <f t="shared" si="2"/>
        <v>#REF!</v>
      </c>
      <c r="C23" s="427" t="e">
        <f t="shared" si="3"/>
        <v>#REF!</v>
      </c>
      <c r="D23" s="423" t="e">
        <f t="shared" si="4"/>
        <v>#REF!</v>
      </c>
      <c r="E23" s="423"/>
      <c r="F23" s="427" t="e">
        <f t="shared" si="5"/>
        <v>#REF!</v>
      </c>
      <c r="G23" s="427" t="e">
        <f t="shared" si="0"/>
        <v>#REF!</v>
      </c>
      <c r="H23" s="427" t="e">
        <f t="shared" si="1"/>
        <v>#REF!</v>
      </c>
    </row>
    <row r="24" spans="1:10" hidden="1">
      <c r="A24" s="426">
        <f>($A23+1)</f>
        <v>13</v>
      </c>
      <c r="B24" s="427" t="e">
        <f t="shared" si="2"/>
        <v>#REF!</v>
      </c>
      <c r="C24" s="427" t="e">
        <f>H23</f>
        <v>#REF!</v>
      </c>
      <c r="D24" s="427" t="e">
        <f t="shared" si="4"/>
        <v>#REF!</v>
      </c>
      <c r="E24" s="427"/>
      <c r="F24" s="427" t="e">
        <f t="shared" si="5"/>
        <v>#REF!</v>
      </c>
      <c r="G24" s="427" t="e">
        <f t="shared" si="0"/>
        <v>#REF!</v>
      </c>
      <c r="H24" s="427" t="e">
        <f t="shared" si="1"/>
        <v>#REF!</v>
      </c>
    </row>
    <row r="25" spans="1:10" hidden="1">
      <c r="A25" s="426">
        <f t="shared" si="6"/>
        <v>14</v>
      </c>
      <c r="B25" s="427" t="e">
        <f t="shared" si="2"/>
        <v>#REF!</v>
      </c>
      <c r="C25" s="427" t="e">
        <f t="shared" si="3"/>
        <v>#REF!</v>
      </c>
      <c r="D25" s="427" t="e">
        <f>SUM(IF(AND(A25&gt;$F$8,H24&gt;0.1),-PMT($F$6,$F$7-$F$8,$F$4,0),F25))</f>
        <v>#REF!</v>
      </c>
      <c r="E25" s="427"/>
      <c r="F25" s="427" t="e">
        <f t="shared" si="5"/>
        <v>#REF!</v>
      </c>
      <c r="G25" s="427" t="e">
        <f t="shared" si="0"/>
        <v>#REF!</v>
      </c>
      <c r="H25" s="427" t="e">
        <f t="shared" si="1"/>
        <v>#REF!</v>
      </c>
    </row>
    <row r="26" spans="1:10" hidden="1">
      <c r="A26" s="426">
        <f t="shared" si="6"/>
        <v>15</v>
      </c>
      <c r="B26" s="427" t="e">
        <f t="shared" si="2"/>
        <v>#REF!</v>
      </c>
      <c r="C26" s="427" t="e">
        <f t="shared" si="3"/>
        <v>#REF!</v>
      </c>
      <c r="D26" s="427" t="e">
        <f t="shared" si="4"/>
        <v>#REF!</v>
      </c>
      <c r="E26" s="427"/>
      <c r="F26" s="427" t="e">
        <f t="shared" si="5"/>
        <v>#REF!</v>
      </c>
      <c r="G26" s="427" t="e">
        <f t="shared" si="0"/>
        <v>#REF!</v>
      </c>
      <c r="H26" s="427" t="e">
        <f t="shared" si="1"/>
        <v>#REF!</v>
      </c>
    </row>
    <row r="27" spans="1:10" hidden="1">
      <c r="A27" s="426">
        <f t="shared" si="6"/>
        <v>16</v>
      </c>
      <c r="B27" s="427" t="e">
        <f t="shared" si="2"/>
        <v>#REF!</v>
      </c>
      <c r="C27" s="427" t="e">
        <f t="shared" si="3"/>
        <v>#REF!</v>
      </c>
      <c r="D27" s="427" t="e">
        <f t="shared" si="4"/>
        <v>#REF!</v>
      </c>
      <c r="E27" s="427"/>
      <c r="F27" s="427" t="e">
        <f t="shared" si="5"/>
        <v>#REF!</v>
      </c>
      <c r="G27" s="427" t="e">
        <f t="shared" si="0"/>
        <v>#REF!</v>
      </c>
      <c r="H27" s="427" t="e">
        <f t="shared" si="1"/>
        <v>#REF!</v>
      </c>
    </row>
    <row r="28" spans="1:10" hidden="1">
      <c r="A28" s="426">
        <f t="shared" si="6"/>
        <v>17</v>
      </c>
      <c r="B28" s="427" t="e">
        <f t="shared" si="2"/>
        <v>#REF!</v>
      </c>
      <c r="C28" s="427" t="e">
        <f t="shared" si="3"/>
        <v>#REF!</v>
      </c>
      <c r="D28" s="427" t="e">
        <f t="shared" si="4"/>
        <v>#REF!</v>
      </c>
      <c r="E28" s="427"/>
      <c r="F28" s="427" t="e">
        <f t="shared" si="5"/>
        <v>#REF!</v>
      </c>
      <c r="G28" s="427" t="e">
        <f t="shared" si="0"/>
        <v>#REF!</v>
      </c>
      <c r="H28" s="427" t="e">
        <f t="shared" si="1"/>
        <v>#REF!</v>
      </c>
    </row>
    <row r="29" spans="1:10" hidden="1">
      <c r="A29" s="426">
        <f t="shared" si="6"/>
        <v>18</v>
      </c>
      <c r="B29" s="427" t="e">
        <f t="shared" si="2"/>
        <v>#REF!</v>
      </c>
      <c r="C29" s="427" t="e">
        <f t="shared" si="3"/>
        <v>#REF!</v>
      </c>
      <c r="D29" s="427" t="e">
        <f t="shared" si="4"/>
        <v>#REF!</v>
      </c>
      <c r="E29" s="427"/>
      <c r="F29" s="427" t="e">
        <f t="shared" si="5"/>
        <v>#REF!</v>
      </c>
      <c r="G29" s="427" t="e">
        <f t="shared" si="0"/>
        <v>#REF!</v>
      </c>
      <c r="H29" s="427" t="e">
        <f t="shared" si="1"/>
        <v>#REF!</v>
      </c>
    </row>
    <row r="30" spans="1:10" hidden="1">
      <c r="A30" s="426">
        <f t="shared" si="6"/>
        <v>19</v>
      </c>
      <c r="B30" s="427" t="e">
        <f t="shared" si="2"/>
        <v>#REF!</v>
      </c>
      <c r="C30" s="427" t="e">
        <f t="shared" si="3"/>
        <v>#REF!</v>
      </c>
      <c r="D30" s="427" t="e">
        <f t="shared" si="4"/>
        <v>#REF!</v>
      </c>
      <c r="E30" s="427"/>
      <c r="F30" s="427" t="e">
        <f t="shared" si="5"/>
        <v>#REF!</v>
      </c>
      <c r="G30" s="427" t="e">
        <f t="shared" si="0"/>
        <v>#REF!</v>
      </c>
      <c r="H30" s="427" t="e">
        <f t="shared" si="1"/>
        <v>#REF!</v>
      </c>
    </row>
    <row r="31" spans="1:10" hidden="1">
      <c r="A31" s="426">
        <f t="shared" si="6"/>
        <v>20</v>
      </c>
      <c r="B31" s="427" t="e">
        <f t="shared" si="2"/>
        <v>#REF!</v>
      </c>
      <c r="C31" s="427" t="e">
        <f t="shared" si="3"/>
        <v>#REF!</v>
      </c>
      <c r="D31" s="427" t="e">
        <f t="shared" si="4"/>
        <v>#REF!</v>
      </c>
      <c r="E31" s="427"/>
      <c r="F31" s="427" t="e">
        <f t="shared" si="5"/>
        <v>#REF!</v>
      </c>
      <c r="G31" s="427" t="e">
        <f t="shared" si="0"/>
        <v>#REF!</v>
      </c>
      <c r="H31" s="427" t="e">
        <f t="shared" si="1"/>
        <v>#REF!</v>
      </c>
    </row>
    <row r="32" spans="1:10" hidden="1">
      <c r="A32" s="426">
        <f t="shared" si="6"/>
        <v>21</v>
      </c>
      <c r="B32" s="427" t="e">
        <f t="shared" si="2"/>
        <v>#REF!</v>
      </c>
      <c r="C32" s="427" t="e">
        <f t="shared" si="3"/>
        <v>#REF!</v>
      </c>
      <c r="D32" s="427" t="e">
        <f t="shared" si="4"/>
        <v>#REF!</v>
      </c>
      <c r="E32" s="427"/>
      <c r="F32" s="427" t="e">
        <f t="shared" si="5"/>
        <v>#REF!</v>
      </c>
      <c r="G32" s="427" t="e">
        <f t="shared" si="0"/>
        <v>#REF!</v>
      </c>
      <c r="H32" s="427" t="e">
        <f t="shared" si="1"/>
        <v>#REF!</v>
      </c>
    </row>
    <row r="33" spans="1:38" hidden="1">
      <c r="A33" s="426">
        <f t="shared" si="6"/>
        <v>22</v>
      </c>
      <c r="B33" s="427" t="e">
        <f t="shared" si="2"/>
        <v>#REF!</v>
      </c>
      <c r="C33" s="427" t="e">
        <f t="shared" si="3"/>
        <v>#REF!</v>
      </c>
      <c r="D33" s="427" t="e">
        <f t="shared" si="4"/>
        <v>#REF!</v>
      </c>
      <c r="E33" s="427"/>
      <c r="F33" s="427" t="e">
        <f t="shared" si="5"/>
        <v>#REF!</v>
      </c>
      <c r="G33" s="427" t="e">
        <f t="shared" si="0"/>
        <v>#REF!</v>
      </c>
      <c r="H33" s="427" t="e">
        <f t="shared" si="1"/>
        <v>#REF!</v>
      </c>
    </row>
    <row r="34" spans="1:38" hidden="1">
      <c r="A34" s="426">
        <f t="shared" si="6"/>
        <v>23</v>
      </c>
      <c r="B34" s="427" t="e">
        <f t="shared" si="2"/>
        <v>#REF!</v>
      </c>
      <c r="C34" s="427" t="e">
        <f t="shared" si="3"/>
        <v>#REF!</v>
      </c>
      <c r="D34" s="427" t="e">
        <f t="shared" si="4"/>
        <v>#REF!</v>
      </c>
      <c r="E34" s="427"/>
      <c r="F34" s="427" t="e">
        <f t="shared" si="5"/>
        <v>#REF!</v>
      </c>
      <c r="G34" s="427" t="e">
        <f t="shared" si="0"/>
        <v>#REF!</v>
      </c>
      <c r="H34" s="427" t="e">
        <f t="shared" si="1"/>
        <v>#REF!</v>
      </c>
    </row>
    <row r="35" spans="1:38" hidden="1">
      <c r="A35" s="426">
        <f t="shared" si="6"/>
        <v>24</v>
      </c>
      <c r="B35" s="427" t="e">
        <f t="shared" si="2"/>
        <v>#REF!</v>
      </c>
      <c r="C35" s="427" t="e">
        <f t="shared" si="3"/>
        <v>#REF!</v>
      </c>
      <c r="D35" s="427" t="e">
        <f t="shared" si="4"/>
        <v>#REF!</v>
      </c>
      <c r="E35" s="427"/>
      <c r="F35" s="427" t="e">
        <f t="shared" si="5"/>
        <v>#REF!</v>
      </c>
      <c r="G35" s="427" t="e">
        <f t="shared" si="0"/>
        <v>#REF!</v>
      </c>
      <c r="H35" s="427" t="e">
        <f t="shared" si="1"/>
        <v>#REF!</v>
      </c>
    </row>
    <row r="36" spans="1:38" hidden="1">
      <c r="A36" s="426">
        <f t="shared" si="6"/>
        <v>25</v>
      </c>
      <c r="B36" s="427" t="e">
        <f t="shared" si="2"/>
        <v>#REF!</v>
      </c>
      <c r="C36" s="427" t="e">
        <f t="shared" si="3"/>
        <v>#REF!</v>
      </c>
      <c r="D36" s="427" t="e">
        <f t="shared" si="4"/>
        <v>#REF!</v>
      </c>
      <c r="E36" s="427"/>
      <c r="F36" s="427" t="e">
        <f t="shared" si="5"/>
        <v>#REF!</v>
      </c>
      <c r="G36" s="427" t="e">
        <f t="shared" si="0"/>
        <v>#REF!</v>
      </c>
      <c r="H36" s="427" t="e">
        <f t="shared" si="1"/>
        <v>#REF!</v>
      </c>
    </row>
    <row r="37" spans="1:38" hidden="1">
      <c r="A37" s="426">
        <f t="shared" si="6"/>
        <v>26</v>
      </c>
      <c r="B37" s="427" t="e">
        <f t="shared" si="2"/>
        <v>#REF!</v>
      </c>
      <c r="C37" s="427" t="e">
        <f t="shared" si="3"/>
        <v>#REF!</v>
      </c>
      <c r="D37" s="427" t="e">
        <f t="shared" si="4"/>
        <v>#REF!</v>
      </c>
      <c r="E37" s="427"/>
      <c r="F37" s="427" t="e">
        <f t="shared" si="5"/>
        <v>#REF!</v>
      </c>
      <c r="G37" s="427" t="e">
        <f t="shared" si="0"/>
        <v>#REF!</v>
      </c>
      <c r="H37" s="427" t="e">
        <f t="shared" si="1"/>
        <v>#REF!</v>
      </c>
    </row>
    <row r="38" spans="1:38" hidden="1">
      <c r="A38" s="426">
        <f t="shared" si="6"/>
        <v>27</v>
      </c>
      <c r="B38" s="427" t="e">
        <f t="shared" si="2"/>
        <v>#REF!</v>
      </c>
      <c r="C38" s="427" t="e">
        <f t="shared" si="3"/>
        <v>#REF!</v>
      </c>
      <c r="D38" s="427" t="e">
        <f t="shared" si="4"/>
        <v>#REF!</v>
      </c>
      <c r="E38" s="427"/>
      <c r="F38" s="427" t="e">
        <f t="shared" si="5"/>
        <v>#REF!</v>
      </c>
      <c r="G38" s="427" t="e">
        <f t="shared" si="0"/>
        <v>#REF!</v>
      </c>
      <c r="H38" s="427" t="e">
        <f t="shared" si="1"/>
        <v>#REF!</v>
      </c>
    </row>
    <row r="39" spans="1:38" hidden="1">
      <c r="A39" s="426">
        <f t="shared" si="6"/>
        <v>28</v>
      </c>
      <c r="B39" s="427" t="e">
        <f t="shared" si="2"/>
        <v>#REF!</v>
      </c>
      <c r="C39" s="427" t="e">
        <f t="shared" si="3"/>
        <v>#REF!</v>
      </c>
      <c r="D39" s="427" t="e">
        <f t="shared" si="4"/>
        <v>#REF!</v>
      </c>
      <c r="E39" s="427"/>
      <c r="F39" s="427" t="e">
        <f t="shared" si="5"/>
        <v>#REF!</v>
      </c>
      <c r="G39" s="427" t="e">
        <f t="shared" si="0"/>
        <v>#REF!</v>
      </c>
      <c r="H39" s="427" t="e">
        <f t="shared" si="1"/>
        <v>#REF!</v>
      </c>
    </row>
    <row r="40" spans="1:38" hidden="1">
      <c r="A40" s="426">
        <f t="shared" si="6"/>
        <v>29</v>
      </c>
      <c r="B40" s="427" t="e">
        <f t="shared" si="2"/>
        <v>#REF!</v>
      </c>
      <c r="C40" s="427" t="e">
        <f t="shared" si="3"/>
        <v>#REF!</v>
      </c>
      <c r="D40" s="427" t="e">
        <f t="shared" si="4"/>
        <v>#REF!</v>
      </c>
      <c r="E40" s="427"/>
      <c r="F40" s="427" t="e">
        <f t="shared" si="5"/>
        <v>#REF!</v>
      </c>
      <c r="G40" s="427" t="e">
        <f t="shared" si="0"/>
        <v>#REF!</v>
      </c>
      <c r="H40" s="427" t="e">
        <f t="shared" si="1"/>
        <v>#REF!</v>
      </c>
    </row>
    <row r="41" spans="1:38" hidden="1">
      <c r="A41" s="426">
        <f t="shared" si="6"/>
        <v>30</v>
      </c>
      <c r="B41" s="427" t="e">
        <f t="shared" si="2"/>
        <v>#REF!</v>
      </c>
      <c r="C41" s="427" t="e">
        <f t="shared" si="3"/>
        <v>#REF!</v>
      </c>
      <c r="D41" s="427" t="e">
        <f t="shared" si="4"/>
        <v>#REF!</v>
      </c>
      <c r="E41" s="427"/>
      <c r="F41" s="427" t="e">
        <f t="shared" si="5"/>
        <v>#REF!</v>
      </c>
      <c r="G41" s="427" t="e">
        <f t="shared" si="0"/>
        <v>#REF!</v>
      </c>
      <c r="H41" s="427" t="e">
        <f t="shared" si="1"/>
        <v>#REF!</v>
      </c>
    </row>
    <row r="42" spans="1:38" hidden="1">
      <c r="A42" s="426">
        <f t="shared" si="6"/>
        <v>31</v>
      </c>
      <c r="B42" s="427" t="e">
        <f t="shared" si="2"/>
        <v>#REF!</v>
      </c>
      <c r="C42" s="427" t="e">
        <f t="shared" si="3"/>
        <v>#REF!</v>
      </c>
      <c r="D42" s="427" t="e">
        <f t="shared" si="4"/>
        <v>#REF!</v>
      </c>
      <c r="E42" s="427"/>
      <c r="F42" s="427" t="e">
        <f t="shared" si="5"/>
        <v>#REF!</v>
      </c>
      <c r="G42" s="427" t="e">
        <f t="shared" si="0"/>
        <v>#REF!</v>
      </c>
      <c r="H42" s="427" t="e">
        <f t="shared" si="1"/>
        <v>#REF!</v>
      </c>
    </row>
    <row r="43" spans="1:38" hidden="1">
      <c r="A43" s="426">
        <f t="shared" si="6"/>
        <v>32</v>
      </c>
      <c r="B43" s="427" t="e">
        <f t="shared" si="2"/>
        <v>#REF!</v>
      </c>
      <c r="C43" s="427" t="e">
        <f t="shared" si="3"/>
        <v>#REF!</v>
      </c>
      <c r="D43" s="427" t="e">
        <f t="shared" si="4"/>
        <v>#REF!</v>
      </c>
      <c r="E43" s="427"/>
      <c r="F43" s="427" t="e">
        <f t="shared" si="5"/>
        <v>#REF!</v>
      </c>
      <c r="G43" s="427" t="e">
        <f t="shared" si="0"/>
        <v>#REF!</v>
      </c>
      <c r="H43" s="427" t="e">
        <f t="shared" si="1"/>
        <v>#REF!</v>
      </c>
    </row>
    <row r="44" spans="1:38" hidden="1">
      <c r="A44" s="426">
        <f t="shared" si="6"/>
        <v>33</v>
      </c>
      <c r="B44" s="427" t="e">
        <f t="shared" si="2"/>
        <v>#REF!</v>
      </c>
      <c r="C44" s="427" t="e">
        <f t="shared" si="3"/>
        <v>#REF!</v>
      </c>
      <c r="D44" s="427" t="e">
        <f t="shared" si="4"/>
        <v>#REF!</v>
      </c>
      <c r="E44" s="427"/>
      <c r="F44" s="427" t="e">
        <f t="shared" si="5"/>
        <v>#REF!</v>
      </c>
      <c r="G44" s="427" t="e">
        <f t="shared" si="0"/>
        <v>#REF!</v>
      </c>
      <c r="H44" s="427" t="e">
        <f t="shared" si="1"/>
        <v>#REF!</v>
      </c>
      <c r="T44" s="428"/>
      <c r="U44" s="428"/>
      <c r="V44" s="428"/>
      <c r="W44" s="428"/>
      <c r="X44" s="428"/>
      <c r="Y44" s="428"/>
      <c r="Z44" s="428"/>
      <c r="AA44" s="428"/>
      <c r="AB44" s="428"/>
      <c r="AC44" s="428"/>
      <c r="AD44" s="428"/>
      <c r="AE44" s="428"/>
      <c r="AF44" s="428"/>
      <c r="AG44" s="428"/>
      <c r="AH44" s="428"/>
      <c r="AI44" s="428"/>
      <c r="AJ44" s="428"/>
      <c r="AK44" s="428"/>
      <c r="AL44" s="428"/>
    </row>
    <row r="45" spans="1:38" hidden="1">
      <c r="A45" s="426">
        <f t="shared" si="6"/>
        <v>34</v>
      </c>
      <c r="B45" s="427" t="e">
        <f t="shared" si="2"/>
        <v>#REF!</v>
      </c>
      <c r="C45" s="427" t="e">
        <f t="shared" si="3"/>
        <v>#REF!</v>
      </c>
      <c r="D45" s="427" t="e">
        <f t="shared" si="4"/>
        <v>#REF!</v>
      </c>
      <c r="E45" s="427"/>
      <c r="F45" s="427" t="e">
        <f t="shared" si="5"/>
        <v>#REF!</v>
      </c>
      <c r="G45" s="427" t="e">
        <f t="shared" si="0"/>
        <v>#REF!</v>
      </c>
      <c r="H45" s="427" t="e">
        <f t="shared" si="1"/>
        <v>#REF!</v>
      </c>
    </row>
    <row r="46" spans="1:38" hidden="1">
      <c r="A46" s="426">
        <f t="shared" si="6"/>
        <v>35</v>
      </c>
      <c r="B46" s="427" t="e">
        <f t="shared" si="2"/>
        <v>#REF!</v>
      </c>
      <c r="C46" s="427" t="e">
        <f t="shared" si="3"/>
        <v>#REF!</v>
      </c>
      <c r="D46" s="427" t="e">
        <f t="shared" si="4"/>
        <v>#REF!</v>
      </c>
      <c r="E46" s="427"/>
      <c r="F46" s="427" t="e">
        <f t="shared" si="5"/>
        <v>#REF!</v>
      </c>
      <c r="G46" s="427" t="e">
        <f t="shared" si="0"/>
        <v>#REF!</v>
      </c>
      <c r="H46" s="427" t="e">
        <f t="shared" si="1"/>
        <v>#REF!</v>
      </c>
    </row>
    <row r="47" spans="1:38" hidden="1">
      <c r="A47" s="426">
        <f t="shared" si="6"/>
        <v>36</v>
      </c>
      <c r="B47" s="427" t="e">
        <f t="shared" si="2"/>
        <v>#REF!</v>
      </c>
      <c r="C47" s="427" t="e">
        <f t="shared" si="3"/>
        <v>#REF!</v>
      </c>
      <c r="D47" s="427" t="e">
        <f t="shared" si="4"/>
        <v>#REF!</v>
      </c>
      <c r="E47" s="427"/>
      <c r="F47" s="427" t="e">
        <f t="shared" si="5"/>
        <v>#REF!</v>
      </c>
      <c r="G47" s="427" t="e">
        <f t="shared" si="0"/>
        <v>#REF!</v>
      </c>
      <c r="H47" s="427" t="e">
        <f t="shared" si="1"/>
        <v>#REF!</v>
      </c>
    </row>
    <row r="48" spans="1:38" hidden="1">
      <c r="A48" s="426">
        <f t="shared" si="6"/>
        <v>37</v>
      </c>
      <c r="B48" s="427" t="e">
        <f t="shared" si="2"/>
        <v>#REF!</v>
      </c>
      <c r="C48" s="427" t="e">
        <f t="shared" si="3"/>
        <v>#REF!</v>
      </c>
      <c r="D48" s="427" t="e">
        <f t="shared" si="4"/>
        <v>#REF!</v>
      </c>
      <c r="E48" s="427"/>
      <c r="F48" s="427" t="e">
        <f t="shared" si="5"/>
        <v>#REF!</v>
      </c>
      <c r="G48" s="427" t="e">
        <f t="shared" si="0"/>
        <v>#REF!</v>
      </c>
      <c r="H48" s="427" t="e">
        <f t="shared" si="1"/>
        <v>#REF!</v>
      </c>
    </row>
    <row r="49" spans="1:8" hidden="1">
      <c r="A49" s="426">
        <f t="shared" si="6"/>
        <v>38</v>
      </c>
      <c r="B49" s="427" t="e">
        <f t="shared" si="2"/>
        <v>#REF!</v>
      </c>
      <c r="C49" s="427" t="e">
        <f t="shared" si="3"/>
        <v>#REF!</v>
      </c>
      <c r="D49" s="427" t="e">
        <f t="shared" si="4"/>
        <v>#REF!</v>
      </c>
      <c r="E49" s="427"/>
      <c r="F49" s="427" t="e">
        <f t="shared" si="5"/>
        <v>#REF!</v>
      </c>
      <c r="G49" s="427" t="e">
        <f t="shared" si="0"/>
        <v>#REF!</v>
      </c>
      <c r="H49" s="427" t="e">
        <f t="shared" si="1"/>
        <v>#REF!</v>
      </c>
    </row>
    <row r="50" spans="1:8" hidden="1">
      <c r="A50" s="426">
        <f t="shared" si="6"/>
        <v>39</v>
      </c>
      <c r="B50" s="427" t="e">
        <f t="shared" si="2"/>
        <v>#REF!</v>
      </c>
      <c r="C50" s="427" t="e">
        <f t="shared" si="3"/>
        <v>#REF!</v>
      </c>
      <c r="D50" s="427" t="e">
        <f t="shared" si="4"/>
        <v>#REF!</v>
      </c>
      <c r="E50" s="427"/>
      <c r="F50" s="427" t="e">
        <f t="shared" si="5"/>
        <v>#REF!</v>
      </c>
      <c r="G50" s="427" t="e">
        <f t="shared" si="0"/>
        <v>#REF!</v>
      </c>
      <c r="H50" s="427" t="e">
        <f t="shared" si="1"/>
        <v>#REF!</v>
      </c>
    </row>
    <row r="51" spans="1:8" hidden="1">
      <c r="A51" s="426">
        <f t="shared" si="6"/>
        <v>40</v>
      </c>
      <c r="B51" s="427" t="e">
        <f t="shared" si="2"/>
        <v>#REF!</v>
      </c>
      <c r="C51" s="427" t="e">
        <f t="shared" si="3"/>
        <v>#REF!</v>
      </c>
      <c r="D51" s="427" t="e">
        <f t="shared" si="4"/>
        <v>#REF!</v>
      </c>
      <c r="E51" s="427"/>
      <c r="F51" s="427" t="e">
        <f t="shared" si="5"/>
        <v>#REF!</v>
      </c>
      <c r="G51" s="427" t="e">
        <f t="shared" si="0"/>
        <v>#REF!</v>
      </c>
      <c r="H51" s="427" t="e">
        <f t="shared" si="1"/>
        <v>#REF!</v>
      </c>
    </row>
    <row r="52" spans="1:8" hidden="1">
      <c r="A52" s="426">
        <f t="shared" si="6"/>
        <v>41</v>
      </c>
      <c r="B52" s="427" t="e">
        <f t="shared" si="2"/>
        <v>#REF!</v>
      </c>
      <c r="C52" s="427" t="e">
        <f t="shared" si="3"/>
        <v>#REF!</v>
      </c>
      <c r="D52" s="427" t="e">
        <f t="shared" si="4"/>
        <v>#REF!</v>
      </c>
      <c r="E52" s="427"/>
      <c r="F52" s="427" t="e">
        <f t="shared" si="5"/>
        <v>#REF!</v>
      </c>
      <c r="G52" s="427" t="e">
        <f t="shared" si="0"/>
        <v>#REF!</v>
      </c>
      <c r="H52" s="427" t="e">
        <f t="shared" si="1"/>
        <v>#REF!</v>
      </c>
    </row>
    <row r="53" spans="1:8" hidden="1">
      <c r="A53" s="426">
        <f t="shared" si="6"/>
        <v>42</v>
      </c>
      <c r="B53" s="427" t="e">
        <f t="shared" si="2"/>
        <v>#REF!</v>
      </c>
      <c r="C53" s="427" t="e">
        <f t="shared" si="3"/>
        <v>#REF!</v>
      </c>
      <c r="D53" s="427" t="e">
        <f t="shared" si="4"/>
        <v>#REF!</v>
      </c>
      <c r="E53" s="427"/>
      <c r="F53" s="427" t="e">
        <f t="shared" si="5"/>
        <v>#REF!</v>
      </c>
      <c r="G53" s="427" t="e">
        <f t="shared" si="0"/>
        <v>#REF!</v>
      </c>
      <c r="H53" s="427" t="e">
        <f t="shared" si="1"/>
        <v>#REF!</v>
      </c>
    </row>
    <row r="54" spans="1:8" hidden="1">
      <c r="A54" s="426">
        <f t="shared" si="6"/>
        <v>43</v>
      </c>
      <c r="B54" s="427" t="e">
        <f t="shared" si="2"/>
        <v>#REF!</v>
      </c>
      <c r="C54" s="427" t="e">
        <f t="shared" si="3"/>
        <v>#REF!</v>
      </c>
      <c r="D54" s="427" t="e">
        <f t="shared" si="4"/>
        <v>#REF!</v>
      </c>
      <c r="E54" s="427"/>
      <c r="F54" s="427" t="e">
        <f t="shared" si="5"/>
        <v>#REF!</v>
      </c>
      <c r="G54" s="427" t="e">
        <f t="shared" si="0"/>
        <v>#REF!</v>
      </c>
      <c r="H54" s="427" t="e">
        <f t="shared" si="1"/>
        <v>#REF!</v>
      </c>
    </row>
    <row r="55" spans="1:8" hidden="1">
      <c r="A55" s="426">
        <f t="shared" si="6"/>
        <v>44</v>
      </c>
      <c r="B55" s="427" t="e">
        <f t="shared" si="2"/>
        <v>#REF!</v>
      </c>
      <c r="C55" s="427" t="e">
        <f t="shared" si="3"/>
        <v>#REF!</v>
      </c>
      <c r="D55" s="427" t="e">
        <f t="shared" si="4"/>
        <v>#REF!</v>
      </c>
      <c r="E55" s="427"/>
      <c r="F55" s="427" t="e">
        <f t="shared" si="5"/>
        <v>#REF!</v>
      </c>
      <c r="G55" s="427" t="e">
        <f t="shared" si="0"/>
        <v>#REF!</v>
      </c>
      <c r="H55" s="427" t="e">
        <f t="shared" si="1"/>
        <v>#REF!</v>
      </c>
    </row>
    <row r="56" spans="1:8" hidden="1">
      <c r="A56" s="426">
        <f t="shared" si="6"/>
        <v>45</v>
      </c>
      <c r="B56" s="427" t="e">
        <f t="shared" si="2"/>
        <v>#REF!</v>
      </c>
      <c r="C56" s="427" t="e">
        <f t="shared" si="3"/>
        <v>#REF!</v>
      </c>
      <c r="D56" s="427" t="e">
        <f t="shared" si="4"/>
        <v>#REF!</v>
      </c>
      <c r="E56" s="427"/>
      <c r="F56" s="427" t="e">
        <f t="shared" si="5"/>
        <v>#REF!</v>
      </c>
      <c r="G56" s="427" t="e">
        <f t="shared" si="0"/>
        <v>#REF!</v>
      </c>
      <c r="H56" s="427" t="e">
        <f t="shared" si="1"/>
        <v>#REF!</v>
      </c>
    </row>
    <row r="57" spans="1:8" hidden="1">
      <c r="A57" s="426">
        <f t="shared" si="6"/>
        <v>46</v>
      </c>
      <c r="B57" s="427" t="e">
        <f t="shared" si="2"/>
        <v>#REF!</v>
      </c>
      <c r="C57" s="427" t="e">
        <f t="shared" si="3"/>
        <v>#REF!</v>
      </c>
      <c r="D57" s="427" t="e">
        <f t="shared" si="4"/>
        <v>#REF!</v>
      </c>
      <c r="E57" s="427"/>
      <c r="F57" s="427" t="e">
        <f t="shared" si="5"/>
        <v>#REF!</v>
      </c>
      <c r="G57" s="427" t="e">
        <f t="shared" si="0"/>
        <v>#REF!</v>
      </c>
      <c r="H57" s="427" t="e">
        <f t="shared" si="1"/>
        <v>#REF!</v>
      </c>
    </row>
    <row r="58" spans="1:8" hidden="1">
      <c r="A58" s="426">
        <f t="shared" si="6"/>
        <v>47</v>
      </c>
      <c r="B58" s="427" t="e">
        <f t="shared" si="2"/>
        <v>#REF!</v>
      </c>
      <c r="C58" s="427" t="e">
        <f t="shared" si="3"/>
        <v>#REF!</v>
      </c>
      <c r="D58" s="427" t="e">
        <f t="shared" si="4"/>
        <v>#REF!</v>
      </c>
      <c r="E58" s="427"/>
      <c r="F58" s="427" t="e">
        <f t="shared" si="5"/>
        <v>#REF!</v>
      </c>
      <c r="G58" s="427" t="e">
        <f t="shared" si="0"/>
        <v>#REF!</v>
      </c>
      <c r="H58" s="427" t="e">
        <f t="shared" si="1"/>
        <v>#REF!</v>
      </c>
    </row>
    <row r="59" spans="1:8" hidden="1">
      <c r="A59" s="426">
        <f t="shared" si="6"/>
        <v>48</v>
      </c>
      <c r="B59" s="427" t="e">
        <f t="shared" si="2"/>
        <v>#REF!</v>
      </c>
      <c r="C59" s="427" t="e">
        <f t="shared" si="3"/>
        <v>#REF!</v>
      </c>
      <c r="D59" s="427" t="e">
        <f t="shared" si="4"/>
        <v>#REF!</v>
      </c>
      <c r="E59" s="427"/>
      <c r="F59" s="427" t="e">
        <f t="shared" si="5"/>
        <v>#REF!</v>
      </c>
      <c r="G59" s="427" t="e">
        <f t="shared" si="0"/>
        <v>#REF!</v>
      </c>
      <c r="H59" s="427" t="e">
        <f t="shared" si="1"/>
        <v>#REF!</v>
      </c>
    </row>
    <row r="60" spans="1:8" hidden="1">
      <c r="A60" s="426">
        <f t="shared" si="6"/>
        <v>49</v>
      </c>
      <c r="B60" s="427" t="e">
        <f t="shared" si="2"/>
        <v>#REF!</v>
      </c>
      <c r="C60" s="427" t="e">
        <f t="shared" si="3"/>
        <v>#REF!</v>
      </c>
      <c r="D60" s="427" t="e">
        <f t="shared" si="4"/>
        <v>#REF!</v>
      </c>
      <c r="E60" s="427"/>
      <c r="F60" s="427" t="e">
        <f t="shared" si="5"/>
        <v>#REF!</v>
      </c>
      <c r="G60" s="427" t="e">
        <f t="shared" si="0"/>
        <v>#REF!</v>
      </c>
      <c r="H60" s="427" t="e">
        <f t="shared" si="1"/>
        <v>#REF!</v>
      </c>
    </row>
    <row r="61" spans="1:8" hidden="1">
      <c r="A61" s="426">
        <f t="shared" si="6"/>
        <v>50</v>
      </c>
      <c r="B61" s="427" t="e">
        <f t="shared" si="2"/>
        <v>#REF!</v>
      </c>
      <c r="C61" s="427" t="e">
        <f t="shared" si="3"/>
        <v>#REF!</v>
      </c>
      <c r="D61" s="427" t="e">
        <f t="shared" si="4"/>
        <v>#REF!</v>
      </c>
      <c r="E61" s="427"/>
      <c r="F61" s="427" t="e">
        <f t="shared" si="5"/>
        <v>#REF!</v>
      </c>
      <c r="G61" s="427" t="e">
        <f t="shared" si="0"/>
        <v>#REF!</v>
      </c>
      <c r="H61" s="427" t="e">
        <f t="shared" si="1"/>
        <v>#REF!</v>
      </c>
    </row>
    <row r="62" spans="1:8" hidden="1">
      <c r="A62" s="426">
        <f t="shared" si="6"/>
        <v>51</v>
      </c>
      <c r="B62" s="427" t="e">
        <f t="shared" si="2"/>
        <v>#REF!</v>
      </c>
      <c r="C62" s="427" t="e">
        <f t="shared" si="3"/>
        <v>#REF!</v>
      </c>
      <c r="D62" s="427" t="e">
        <f t="shared" si="4"/>
        <v>#REF!</v>
      </c>
      <c r="E62" s="427"/>
      <c r="F62" s="427" t="e">
        <f t="shared" si="5"/>
        <v>#REF!</v>
      </c>
      <c r="G62" s="427" t="e">
        <f t="shared" si="0"/>
        <v>#REF!</v>
      </c>
      <c r="H62" s="427" t="e">
        <f t="shared" si="1"/>
        <v>#REF!</v>
      </c>
    </row>
    <row r="63" spans="1:8" hidden="1">
      <c r="A63" s="426">
        <f t="shared" si="6"/>
        <v>52</v>
      </c>
      <c r="B63" s="427" t="e">
        <f t="shared" si="2"/>
        <v>#REF!</v>
      </c>
      <c r="C63" s="427" t="e">
        <f t="shared" si="3"/>
        <v>#REF!</v>
      </c>
      <c r="D63" s="427" t="e">
        <f t="shared" si="4"/>
        <v>#REF!</v>
      </c>
      <c r="E63" s="427"/>
      <c r="F63" s="427" t="e">
        <f t="shared" si="5"/>
        <v>#REF!</v>
      </c>
      <c r="G63" s="427" t="e">
        <f t="shared" si="0"/>
        <v>#REF!</v>
      </c>
      <c r="H63" s="427" t="e">
        <f t="shared" si="1"/>
        <v>#REF!</v>
      </c>
    </row>
    <row r="64" spans="1:8" hidden="1">
      <c r="A64" s="426">
        <f t="shared" si="6"/>
        <v>53</v>
      </c>
      <c r="B64" s="427" t="e">
        <f t="shared" si="2"/>
        <v>#REF!</v>
      </c>
      <c r="C64" s="427" t="e">
        <f t="shared" si="3"/>
        <v>#REF!</v>
      </c>
      <c r="D64" s="427" t="e">
        <f t="shared" si="4"/>
        <v>#REF!</v>
      </c>
      <c r="E64" s="427"/>
      <c r="F64" s="427" t="e">
        <f t="shared" si="5"/>
        <v>#REF!</v>
      </c>
      <c r="G64" s="427" t="e">
        <f t="shared" si="0"/>
        <v>#REF!</v>
      </c>
      <c r="H64" s="427" t="e">
        <f t="shared" si="1"/>
        <v>#REF!</v>
      </c>
    </row>
    <row r="65" spans="1:33" hidden="1">
      <c r="A65" s="426">
        <f t="shared" si="6"/>
        <v>54</v>
      </c>
      <c r="B65" s="427" t="e">
        <f t="shared" si="2"/>
        <v>#REF!</v>
      </c>
      <c r="C65" s="427" t="e">
        <f t="shared" si="3"/>
        <v>#REF!</v>
      </c>
      <c r="D65" s="427" t="e">
        <f t="shared" si="4"/>
        <v>#REF!</v>
      </c>
      <c r="E65" s="427"/>
      <c r="F65" s="427" t="e">
        <f t="shared" si="5"/>
        <v>#REF!</v>
      </c>
      <c r="G65" s="427" t="e">
        <f t="shared" si="0"/>
        <v>#REF!</v>
      </c>
      <c r="H65" s="427" t="e">
        <f t="shared" si="1"/>
        <v>#REF!</v>
      </c>
    </row>
    <row r="66" spans="1:33" hidden="1">
      <c r="A66" s="426">
        <f t="shared" si="6"/>
        <v>55</v>
      </c>
      <c r="B66" s="427" t="e">
        <f t="shared" si="2"/>
        <v>#REF!</v>
      </c>
      <c r="C66" s="427" t="e">
        <f t="shared" si="3"/>
        <v>#REF!</v>
      </c>
      <c r="D66" s="427" t="e">
        <f t="shared" si="4"/>
        <v>#REF!</v>
      </c>
      <c r="E66" s="427"/>
      <c r="F66" s="427" t="e">
        <f t="shared" si="5"/>
        <v>#REF!</v>
      </c>
      <c r="G66" s="427" t="e">
        <f t="shared" si="0"/>
        <v>#REF!</v>
      </c>
      <c r="H66" s="427" t="e">
        <f t="shared" si="1"/>
        <v>#REF!</v>
      </c>
    </row>
    <row r="67" spans="1:33" hidden="1">
      <c r="A67" s="426">
        <f t="shared" si="6"/>
        <v>56</v>
      </c>
      <c r="B67" s="427" t="e">
        <f t="shared" si="2"/>
        <v>#REF!</v>
      </c>
      <c r="C67" s="427" t="e">
        <f t="shared" si="3"/>
        <v>#REF!</v>
      </c>
      <c r="D67" s="427" t="e">
        <f t="shared" si="4"/>
        <v>#REF!</v>
      </c>
      <c r="E67" s="427"/>
      <c r="F67" s="427" t="e">
        <f t="shared" si="5"/>
        <v>#REF!</v>
      </c>
      <c r="G67" s="427" t="e">
        <f t="shared" si="0"/>
        <v>#REF!</v>
      </c>
      <c r="H67" s="427" t="e">
        <f t="shared" si="1"/>
        <v>#REF!</v>
      </c>
    </row>
    <row r="68" spans="1:33" hidden="1">
      <c r="A68" s="426">
        <f t="shared" si="6"/>
        <v>57</v>
      </c>
      <c r="B68" s="427" t="e">
        <f t="shared" si="2"/>
        <v>#REF!</v>
      </c>
      <c r="C68" s="427" t="e">
        <f t="shared" si="3"/>
        <v>#REF!</v>
      </c>
      <c r="D68" s="427" t="e">
        <f t="shared" si="4"/>
        <v>#REF!</v>
      </c>
      <c r="E68" s="427"/>
      <c r="F68" s="427" t="e">
        <f t="shared" si="5"/>
        <v>#REF!</v>
      </c>
      <c r="G68" s="427" t="e">
        <f t="shared" si="0"/>
        <v>#REF!</v>
      </c>
      <c r="H68" s="427" t="e">
        <f t="shared" si="1"/>
        <v>#REF!</v>
      </c>
    </row>
    <row r="69" spans="1:33" hidden="1">
      <c r="A69" s="426">
        <f t="shared" si="6"/>
        <v>58</v>
      </c>
      <c r="B69" s="427" t="e">
        <f t="shared" si="2"/>
        <v>#REF!</v>
      </c>
      <c r="C69" s="427" t="e">
        <f t="shared" si="3"/>
        <v>#REF!</v>
      </c>
      <c r="D69" s="427" t="e">
        <f t="shared" si="4"/>
        <v>#REF!</v>
      </c>
      <c r="E69" s="427"/>
      <c r="F69" s="427" t="e">
        <f t="shared" si="5"/>
        <v>#REF!</v>
      </c>
      <c r="G69" s="427" t="e">
        <f t="shared" si="0"/>
        <v>#REF!</v>
      </c>
      <c r="H69" s="427" t="e">
        <f t="shared" si="1"/>
        <v>#REF!</v>
      </c>
    </row>
    <row r="70" spans="1:33" hidden="1">
      <c r="A70" s="426">
        <f t="shared" si="6"/>
        <v>59</v>
      </c>
      <c r="B70" s="427" t="e">
        <f t="shared" si="2"/>
        <v>#REF!</v>
      </c>
      <c r="C70" s="427" t="e">
        <f t="shared" si="3"/>
        <v>#REF!</v>
      </c>
      <c r="D70" s="427" t="e">
        <f t="shared" si="4"/>
        <v>#REF!</v>
      </c>
      <c r="E70" s="427"/>
      <c r="F70" s="427" t="e">
        <f t="shared" si="5"/>
        <v>#REF!</v>
      </c>
      <c r="G70" s="427" t="e">
        <f t="shared" si="0"/>
        <v>#REF!</v>
      </c>
      <c r="H70" s="427" t="e">
        <f t="shared" si="1"/>
        <v>#REF!</v>
      </c>
    </row>
    <row r="71" spans="1:33" hidden="1">
      <c r="A71" s="426">
        <f t="shared" si="6"/>
        <v>60</v>
      </c>
      <c r="B71" s="427" t="e">
        <f t="shared" si="2"/>
        <v>#REF!</v>
      </c>
      <c r="C71" s="427" t="e">
        <f t="shared" si="3"/>
        <v>#REF!</v>
      </c>
      <c r="D71" s="427" t="e">
        <f t="shared" si="4"/>
        <v>#REF!</v>
      </c>
      <c r="E71" s="427"/>
      <c r="F71" s="427" t="e">
        <f t="shared" si="5"/>
        <v>#REF!</v>
      </c>
      <c r="G71" s="427" t="e">
        <f t="shared" si="0"/>
        <v>#REF!</v>
      </c>
      <c r="H71" s="427" t="e">
        <f t="shared" si="1"/>
        <v>#REF!</v>
      </c>
    </row>
    <row r="72" spans="1:33" hidden="1">
      <c r="A72" s="429"/>
      <c r="B72" s="430" t="s">
        <v>91</v>
      </c>
      <c r="C72" s="430"/>
      <c r="D72" s="430" t="e">
        <f>SUM(D12:D71)</f>
        <v>#REF!</v>
      </c>
      <c r="E72" s="430"/>
      <c r="F72" s="430" t="e">
        <f>SUM(F12:F71)</f>
        <v>#REF!</v>
      </c>
      <c r="G72" s="430" t="e">
        <f>SUM(G12:G71)</f>
        <v>#REF!</v>
      </c>
      <c r="H72" s="430" t="e">
        <f>SUM(H12:H71)</f>
        <v>#REF!</v>
      </c>
    </row>
    <row r="73" spans="1:33" hidden="1">
      <c r="D73" s="431"/>
      <c r="E73" s="431"/>
      <c r="F73" s="431"/>
      <c r="G73" s="431"/>
    </row>
    <row r="74" spans="1:33">
      <c r="T74" s="432"/>
      <c r="U74" s="432" t="s">
        <v>419</v>
      </c>
      <c r="V74" s="433"/>
    </row>
    <row r="75" spans="1:33" ht="18">
      <c r="G75" s="789" t="s">
        <v>420</v>
      </c>
      <c r="H75" s="789"/>
      <c r="I75" s="789"/>
      <c r="J75" s="789"/>
      <c r="K75" s="789"/>
      <c r="L75" s="434"/>
      <c r="M75" s="434"/>
      <c r="N75" s="789" t="s">
        <v>421</v>
      </c>
      <c r="O75" s="789"/>
      <c r="P75" s="789"/>
      <c r="Q75" s="789"/>
      <c r="R75" s="789"/>
      <c r="V75" s="92">
        <v>1</v>
      </c>
      <c r="W75" s="92">
        <v>2</v>
      </c>
      <c r="X75" s="92">
        <v>3</v>
      </c>
      <c r="Y75" s="92">
        <v>4</v>
      </c>
      <c r="Z75" s="92">
        <v>5</v>
      </c>
      <c r="AA75" s="92">
        <v>6</v>
      </c>
      <c r="AB75" s="92">
        <v>7</v>
      </c>
      <c r="AC75" s="92">
        <v>8</v>
      </c>
      <c r="AD75" s="92">
        <v>9</v>
      </c>
      <c r="AE75" s="92">
        <v>10</v>
      </c>
      <c r="AF75" s="92">
        <v>11</v>
      </c>
      <c r="AG75" s="92">
        <v>12</v>
      </c>
    </row>
    <row r="76" spans="1:33">
      <c r="G76" s="110"/>
      <c r="H76" s="110"/>
      <c r="I76" s="110"/>
      <c r="J76" s="110"/>
      <c r="K76" s="110"/>
      <c r="L76" s="110"/>
      <c r="M76" s="110"/>
      <c r="N76" s="110"/>
      <c r="O76" s="110"/>
      <c r="P76" s="110"/>
      <c r="Q76" s="435"/>
      <c r="R76" s="110"/>
      <c r="T76" s="92" t="s">
        <v>96</v>
      </c>
      <c r="U76" s="92" t="s">
        <v>422</v>
      </c>
      <c r="V76" s="169"/>
      <c r="W76" s="169"/>
      <c r="X76" s="169"/>
      <c r="Y76" s="169"/>
      <c r="Z76" s="169"/>
      <c r="AA76" s="436">
        <f>I81</f>
        <v>41908.922363410937</v>
      </c>
      <c r="AB76" s="169"/>
      <c r="AC76" s="169"/>
      <c r="AD76" s="169"/>
      <c r="AE76" s="169"/>
      <c r="AF76" s="169"/>
      <c r="AG76" s="436">
        <f>I82</f>
        <v>42537.556198862098</v>
      </c>
    </row>
    <row r="77" spans="1:33" ht="13.5" thickBot="1">
      <c r="G77" s="110"/>
      <c r="H77" s="110"/>
      <c r="I77" s="110"/>
      <c r="J77" s="110"/>
      <c r="K77" s="110"/>
      <c r="L77" s="110"/>
      <c r="M77" s="110"/>
      <c r="N77" s="110"/>
      <c r="O77" s="110"/>
      <c r="P77" s="110"/>
      <c r="Q77" s="110"/>
      <c r="R77" s="110"/>
      <c r="U77" s="92" t="s">
        <v>284</v>
      </c>
      <c r="V77" s="169"/>
      <c r="W77" s="169"/>
      <c r="X77" s="169"/>
      <c r="Y77" s="169"/>
      <c r="Z77" s="169"/>
      <c r="AA77" s="436">
        <f>J81</f>
        <v>18000</v>
      </c>
      <c r="AB77" s="169"/>
      <c r="AC77" s="169"/>
      <c r="AD77" s="169"/>
      <c r="AE77" s="169"/>
      <c r="AF77" s="169"/>
      <c r="AG77" s="436">
        <f>J82</f>
        <v>17371.366164548839</v>
      </c>
    </row>
    <row r="78" spans="1:33" ht="13.5" thickBot="1">
      <c r="B78" s="790" t="s">
        <v>423</v>
      </c>
      <c r="C78" s="791"/>
      <c r="D78" s="437"/>
      <c r="E78" s="437"/>
      <c r="F78" s="437"/>
      <c r="G78" s="792" t="s">
        <v>424</v>
      </c>
      <c r="H78" s="794" t="s">
        <v>425</v>
      </c>
      <c r="I78" s="795"/>
      <c r="J78" s="795"/>
      <c r="K78" s="796"/>
      <c r="L78" s="438"/>
      <c r="M78" s="437"/>
      <c r="N78" s="792" t="s">
        <v>424</v>
      </c>
      <c r="O78" s="794" t="s">
        <v>426</v>
      </c>
      <c r="P78" s="795"/>
      <c r="Q78" s="795"/>
      <c r="R78" s="796"/>
      <c r="T78" s="92" t="s">
        <v>72</v>
      </c>
      <c r="U78" s="92" t="s">
        <v>422</v>
      </c>
      <c r="V78" s="439"/>
      <c r="W78" s="439"/>
      <c r="X78" s="439">
        <f>I81</f>
        <v>41908.922363410937</v>
      </c>
      <c r="Y78" s="439"/>
      <c r="Z78" s="439"/>
      <c r="AA78" s="439">
        <f>I82</f>
        <v>42537.556198862098</v>
      </c>
      <c r="AB78" s="439"/>
      <c r="AC78" s="439"/>
      <c r="AD78" s="439">
        <f>I83</f>
        <v>43175.619541845022</v>
      </c>
      <c r="AE78" s="439"/>
      <c r="AF78" s="439"/>
      <c r="AG78" s="439">
        <f>I84</f>
        <v>43823.253834972689</v>
      </c>
    </row>
    <row r="79" spans="1:33" ht="13.5" thickBot="1">
      <c r="B79" s="440" t="s">
        <v>427</v>
      </c>
      <c r="C79" s="441">
        <f>'(1)Basic Info and loan request'!C42</f>
        <v>1200000</v>
      </c>
      <c r="D79" s="437"/>
      <c r="E79" s="437"/>
      <c r="F79" s="437"/>
      <c r="G79" s="793"/>
      <c r="H79" s="442" t="s">
        <v>428</v>
      </c>
      <c r="I79" s="443" t="s">
        <v>3</v>
      </c>
      <c r="J79" s="443" t="s">
        <v>2</v>
      </c>
      <c r="K79" s="444" t="s">
        <v>429</v>
      </c>
      <c r="L79" s="445"/>
      <c r="M79" s="437"/>
      <c r="N79" s="793"/>
      <c r="O79" s="442" t="s">
        <v>428</v>
      </c>
      <c r="P79" s="443" t="s">
        <v>3</v>
      </c>
      <c r="Q79" s="443" t="s">
        <v>2</v>
      </c>
      <c r="R79" s="444" t="s">
        <v>429</v>
      </c>
      <c r="U79" s="92" t="s">
        <v>284</v>
      </c>
      <c r="V79" s="439"/>
      <c r="W79" s="439"/>
      <c r="X79" s="439">
        <f>J81</f>
        <v>18000</v>
      </c>
      <c r="Y79" s="439"/>
      <c r="Z79" s="439"/>
      <c r="AA79" s="439">
        <f>J82</f>
        <v>17371.366164548839</v>
      </c>
      <c r="AB79" s="439"/>
      <c r="AC79" s="439"/>
      <c r="AD79" s="439">
        <f>J83</f>
        <v>16733.302821565918</v>
      </c>
      <c r="AE79" s="439"/>
      <c r="AF79" s="439"/>
      <c r="AG79" s="439">
        <f>J84</f>
        <v>16085.668528438246</v>
      </c>
    </row>
    <row r="80" spans="1:33">
      <c r="B80" s="446" t="s">
        <v>430</v>
      </c>
      <c r="C80" s="447">
        <f>'(1)Basic Info and loan request'!F42</f>
        <v>0.18</v>
      </c>
      <c r="D80" s="448"/>
      <c r="E80" s="448"/>
      <c r="F80" s="437">
        <v>0</v>
      </c>
      <c r="G80" s="449"/>
      <c r="H80" s="450"/>
      <c r="I80" s="451"/>
      <c r="J80" s="451"/>
      <c r="K80" s="452">
        <f>C79</f>
        <v>1200000</v>
      </c>
      <c r="L80" s="453"/>
      <c r="M80" s="437">
        <v>0</v>
      </c>
      <c r="N80" s="449"/>
      <c r="R80" s="452">
        <f>C79</f>
        <v>1200000</v>
      </c>
      <c r="T80" s="92" t="s">
        <v>95</v>
      </c>
      <c r="U80" s="92" t="s">
        <v>422</v>
      </c>
      <c r="V80" s="439">
        <f>I81</f>
        <v>41908.922363410937</v>
      </c>
      <c r="W80" s="439">
        <f>I82</f>
        <v>42537.556198862098</v>
      </c>
      <c r="X80" s="439">
        <f>I83</f>
        <v>43175.619541845022</v>
      </c>
      <c r="Y80" s="439">
        <f>I84</f>
        <v>43823.253834972689</v>
      </c>
      <c r="Z80" s="439">
        <f>I85</f>
        <v>44480.602642497281</v>
      </c>
      <c r="AA80" s="439">
        <f>I86</f>
        <v>45147.811682134728</v>
      </c>
      <c r="AB80" s="439">
        <f>I87</f>
        <v>45825.028857366742</v>
      </c>
      <c r="AC80" s="439">
        <f>I88</f>
        <v>46512.404290227234</v>
      </c>
      <c r="AD80" s="439">
        <f>I89</f>
        <v>47210.090354580636</v>
      </c>
      <c r="AE80" s="439">
        <f>I90</f>
        <v>47918.241709899339</v>
      </c>
      <c r="AF80" s="439">
        <f>I91</f>
        <v>48637.015335547825</v>
      </c>
      <c r="AG80" s="439">
        <f>I92</f>
        <v>49366.570565581038</v>
      </c>
    </row>
    <row r="81" spans="2:33">
      <c r="B81" s="454" t="s">
        <v>431</v>
      </c>
      <c r="C81" s="407">
        <f>'(1)Basic Info and loan request'!F42/'(1)Basic Info and loan request'!F46</f>
        <v>1.4999999999999999E-2</v>
      </c>
      <c r="D81" s="448"/>
      <c r="E81" s="448"/>
      <c r="F81" s="437">
        <f>IF($C$84&gt;=1,0,1+F80)</f>
        <v>1</v>
      </c>
      <c r="G81" s="449">
        <f t="shared" ref="G81:G140" si="7">IF(F81=0,"",IF($C$88&gt;=F81,F81,""))</f>
        <v>1</v>
      </c>
      <c r="H81" s="455">
        <f>IF(G81&lt;&gt;"",$C$90,"")</f>
        <v>59908.922363410937</v>
      </c>
      <c r="I81" s="456">
        <f t="shared" ref="I81:I112" si="8">IF(G81&lt;&gt;"", -PPMT($C$81,G81,$C$88,$C$79),"")</f>
        <v>41908.922363410937</v>
      </c>
      <c r="J81" s="456">
        <f t="shared" ref="J81:J112" si="9">IF(G81&lt;&gt;"", -IPMT($C$81,G81,$C$88,$C$79),"")</f>
        <v>18000</v>
      </c>
      <c r="K81" s="457">
        <f>IF(G81&lt;&gt;"",K80-I81,K80)</f>
        <v>1158091.0776365891</v>
      </c>
      <c r="L81" s="458"/>
      <c r="M81" s="437">
        <f>IF($C$84&gt;=1,0,1+M80)</f>
        <v>1</v>
      </c>
      <c r="N81" s="449">
        <f>IF(M81=0,"",IF($C$88&gt;=M81,M81,""))</f>
        <v>1</v>
      </c>
      <c r="O81" s="455">
        <f>IF(N81&lt;&gt;"",$D$90,"")</f>
        <v>59000</v>
      </c>
      <c r="P81" s="455">
        <f>IF(N81&lt;&gt;"",$C$79/$C$88,"")</f>
        <v>50000</v>
      </c>
      <c r="Q81" s="455">
        <f>IF(N81&lt;&gt;"",$C$79*$C$80/$C$87,"")</f>
        <v>18000</v>
      </c>
      <c r="R81" s="457">
        <f>R80-P81</f>
        <v>1150000</v>
      </c>
      <c r="U81" s="92" t="s">
        <v>284</v>
      </c>
      <c r="V81" s="439">
        <f>J81</f>
        <v>18000</v>
      </c>
      <c r="W81" s="439">
        <f>J82</f>
        <v>17371.366164548839</v>
      </c>
      <c r="X81" s="439">
        <f>J83</f>
        <v>16733.302821565918</v>
      </c>
      <c r="Y81" s="439">
        <f>J84</f>
        <v>16085.668528438246</v>
      </c>
      <c r="Z81" s="439">
        <f>J85</f>
        <v>15428.31972091366</v>
      </c>
      <c r="AA81" s="439">
        <f>J86</f>
        <v>14761.110681276206</v>
      </c>
      <c r="AB81" s="439">
        <f>J87</f>
        <v>14083.893506044195</v>
      </c>
      <c r="AC81" s="439">
        <f>J88</f>
        <v>13396.518073183703</v>
      </c>
      <c r="AD81" s="439">
        <f>J89</f>
        <v>12698.832008830297</v>
      </c>
      <c r="AE81" s="439">
        <f>J90</f>
        <v>11990.680653511596</v>
      </c>
      <c r="AF81" s="439">
        <f>J91</f>
        <v>11271.90702786311</v>
      </c>
      <c r="AG81" s="439">
        <f>J92</f>
        <v>10542.351797829899</v>
      </c>
    </row>
    <row r="82" spans="2:33">
      <c r="B82" s="454" t="s">
        <v>432</v>
      </c>
      <c r="C82" s="459" t="str">
        <f>'(1)Basic Info and loan request'!F44</f>
        <v>Declining</v>
      </c>
      <c r="D82" s="448"/>
      <c r="E82" s="448"/>
      <c r="F82" s="437">
        <f>IF($C$84&gt;=2,0,1+F81)</f>
        <v>2</v>
      </c>
      <c r="G82" s="449">
        <f t="shared" si="7"/>
        <v>2</v>
      </c>
      <c r="H82" s="455">
        <f t="shared" ref="H82:H140" si="10">IF(G82&lt;&gt;"",$C$90,"")</f>
        <v>59908.922363410937</v>
      </c>
      <c r="I82" s="456">
        <f t="shared" si="8"/>
        <v>42537.556198862098</v>
      </c>
      <c r="J82" s="456">
        <f t="shared" si="9"/>
        <v>17371.366164548839</v>
      </c>
      <c r="K82" s="457">
        <f>IF(G82&lt;&gt;"",K81-I82,K81)</f>
        <v>1115553.5214377269</v>
      </c>
      <c r="L82" s="458"/>
      <c r="M82" s="437">
        <f>IF($C$84&gt;=2,0,1+M81)</f>
        <v>2</v>
      </c>
      <c r="N82" s="449">
        <f t="shared" ref="N82:N140" si="11">IF(M82=0,"",IF($C$88&gt;=M82,M82,""))</f>
        <v>2</v>
      </c>
      <c r="O82" s="455">
        <f t="shared" ref="O82:O140" si="12">IF(N82&lt;&gt;"",$D$90,"")</f>
        <v>59000</v>
      </c>
      <c r="P82" s="455">
        <f t="shared" ref="P82:P140" si="13">IF(N82&lt;&gt;"",$C$79/$C$88,"")</f>
        <v>50000</v>
      </c>
      <c r="Q82" s="455">
        <f t="shared" ref="Q82:Q140" si="14">IF(N82&lt;&gt;"",$C$79*$C$80/$C$87,"")</f>
        <v>18000</v>
      </c>
      <c r="R82" s="457">
        <f>IF(N82&lt;&gt;"",R81-P82,R81)</f>
        <v>1100000</v>
      </c>
    </row>
    <row r="83" spans="2:33">
      <c r="B83" s="446" t="s">
        <v>343</v>
      </c>
      <c r="C83" s="459">
        <f>'(1)Basic Info and loan request'!C44</f>
        <v>24</v>
      </c>
      <c r="D83" s="437"/>
      <c r="E83" s="437"/>
      <c r="F83" s="437">
        <f>IF($C$84&gt;=3,0,1+F82)</f>
        <v>3</v>
      </c>
      <c r="G83" s="449">
        <f t="shared" si="7"/>
        <v>3</v>
      </c>
      <c r="H83" s="455">
        <f t="shared" si="10"/>
        <v>59908.922363410937</v>
      </c>
      <c r="I83" s="456">
        <f t="shared" si="8"/>
        <v>43175.619541845022</v>
      </c>
      <c r="J83" s="456">
        <f t="shared" si="9"/>
        <v>16733.302821565918</v>
      </c>
      <c r="K83" s="457">
        <f t="shared" ref="K83:K140" si="15">IF(G83&lt;&gt;"",K82-I83,K82)</f>
        <v>1072377.9018958819</v>
      </c>
      <c r="L83" s="458"/>
      <c r="M83" s="437">
        <f>IF($C$84&gt;=3,0,1+M82)</f>
        <v>3</v>
      </c>
      <c r="N83" s="449">
        <f t="shared" si="11"/>
        <v>3</v>
      </c>
      <c r="O83" s="455">
        <f t="shared" si="12"/>
        <v>59000</v>
      </c>
      <c r="P83" s="455">
        <f t="shared" si="13"/>
        <v>50000</v>
      </c>
      <c r="Q83" s="455">
        <f t="shared" si="14"/>
        <v>18000</v>
      </c>
      <c r="R83" s="457">
        <f t="shared" ref="R83:R140" si="16">IF(N83&lt;&gt;"",R82-P83,R82)</f>
        <v>1050000</v>
      </c>
    </row>
    <row r="84" spans="2:33">
      <c r="B84" s="446" t="s">
        <v>433</v>
      </c>
      <c r="C84" s="459">
        <f>'(1)Basic Info and loan request'!C48</f>
        <v>0</v>
      </c>
      <c r="D84" s="437"/>
      <c r="E84" s="437"/>
      <c r="F84" s="437">
        <f>IF($C$84&gt;=4,0,1+F83)</f>
        <v>4</v>
      </c>
      <c r="G84" s="449">
        <f>IF(F84=0,"",IF($C$88&gt;=F84,F84,""))</f>
        <v>4</v>
      </c>
      <c r="H84" s="455">
        <f t="shared" si="10"/>
        <v>59908.922363410937</v>
      </c>
      <c r="I84" s="456">
        <f t="shared" si="8"/>
        <v>43823.253834972689</v>
      </c>
      <c r="J84" s="456">
        <f t="shared" si="9"/>
        <v>16085.668528438246</v>
      </c>
      <c r="K84" s="457">
        <f t="shared" si="15"/>
        <v>1028554.6480609091</v>
      </c>
      <c r="L84" s="458"/>
      <c r="M84" s="437">
        <f>IF($C$84&gt;=4,0,1+M83)</f>
        <v>4</v>
      </c>
      <c r="N84" s="449">
        <f t="shared" si="11"/>
        <v>4</v>
      </c>
      <c r="O84" s="455">
        <f t="shared" si="12"/>
        <v>59000</v>
      </c>
      <c r="P84" s="455">
        <f t="shared" si="13"/>
        <v>50000</v>
      </c>
      <c r="Q84" s="455">
        <f t="shared" si="14"/>
        <v>18000</v>
      </c>
      <c r="R84" s="457">
        <f t="shared" si="16"/>
        <v>1000000</v>
      </c>
      <c r="T84" s="432"/>
      <c r="U84" s="432" t="s">
        <v>434</v>
      </c>
      <c r="V84" s="432"/>
    </row>
    <row r="85" spans="2:33" ht="13.5" thickBot="1">
      <c r="B85" s="460" t="s">
        <v>435</v>
      </c>
      <c r="C85" s="461">
        <f>'(1)Basic Info and loan request'!F46</f>
        <v>12</v>
      </c>
      <c r="D85" s="437"/>
      <c r="E85" s="437"/>
      <c r="F85" s="437">
        <f>IF($C$84&gt;=5,0,1+F84)</f>
        <v>5</v>
      </c>
      <c r="G85" s="449">
        <f t="shared" si="7"/>
        <v>5</v>
      </c>
      <c r="H85" s="455">
        <f t="shared" si="10"/>
        <v>59908.922363410937</v>
      </c>
      <c r="I85" s="456">
        <f t="shared" si="8"/>
        <v>44480.602642497281</v>
      </c>
      <c r="J85" s="456">
        <f t="shared" si="9"/>
        <v>15428.31972091366</v>
      </c>
      <c r="K85" s="457">
        <f t="shared" si="15"/>
        <v>984074.04541841184</v>
      </c>
      <c r="L85" s="458"/>
      <c r="M85" s="437">
        <f>IF($C$84&gt;=5,0,1+M84)</f>
        <v>5</v>
      </c>
      <c r="N85" s="449">
        <f t="shared" si="11"/>
        <v>5</v>
      </c>
      <c r="O85" s="455">
        <f t="shared" si="12"/>
        <v>59000</v>
      </c>
      <c r="P85" s="455">
        <f t="shared" si="13"/>
        <v>50000</v>
      </c>
      <c r="Q85" s="455">
        <f t="shared" si="14"/>
        <v>18000</v>
      </c>
      <c r="R85" s="457">
        <f t="shared" si="16"/>
        <v>950000</v>
      </c>
      <c r="S85" s="92" t="str">
        <f>IF($C$84&gt;=5,$C$84,"")</f>
        <v/>
      </c>
      <c r="V85" s="92">
        <v>1</v>
      </c>
      <c r="W85" s="92">
        <v>2</v>
      </c>
      <c r="X85" s="92">
        <v>3</v>
      </c>
      <c r="Y85" s="92">
        <v>4</v>
      </c>
      <c r="Z85" s="92">
        <v>5</v>
      </c>
      <c r="AA85" s="92">
        <v>6</v>
      </c>
      <c r="AB85" s="92">
        <v>7</v>
      </c>
      <c r="AC85" s="92">
        <v>8</v>
      </c>
      <c r="AD85" s="92">
        <v>9</v>
      </c>
      <c r="AE85" s="92">
        <v>10</v>
      </c>
      <c r="AF85" s="92">
        <v>11</v>
      </c>
      <c r="AG85" s="92">
        <v>12</v>
      </c>
    </row>
    <row r="86" spans="2:33" ht="13.5" thickBot="1">
      <c r="B86" s="462"/>
      <c r="C86" s="463"/>
      <c r="D86" s="437"/>
      <c r="E86" s="437"/>
      <c r="F86" s="437">
        <f>IF($C$84&gt;=6,0,1+F85)</f>
        <v>6</v>
      </c>
      <c r="G86" s="449">
        <f t="shared" si="7"/>
        <v>6</v>
      </c>
      <c r="H86" s="455">
        <f t="shared" si="10"/>
        <v>59908.922363410937</v>
      </c>
      <c r="I86" s="456">
        <f t="shared" si="8"/>
        <v>45147.811682134728</v>
      </c>
      <c r="J86" s="456">
        <f t="shared" si="9"/>
        <v>14761.110681276206</v>
      </c>
      <c r="K86" s="457">
        <f t="shared" si="15"/>
        <v>938926.23373627709</v>
      </c>
      <c r="L86" s="458"/>
      <c r="M86" s="437">
        <f>IF($C$84&gt;=6,0,1+M85)</f>
        <v>6</v>
      </c>
      <c r="N86" s="449">
        <f t="shared" si="11"/>
        <v>6</v>
      </c>
      <c r="O86" s="455">
        <f t="shared" si="12"/>
        <v>59000</v>
      </c>
      <c r="P86" s="455">
        <f t="shared" si="13"/>
        <v>50000</v>
      </c>
      <c r="Q86" s="455">
        <f t="shared" si="14"/>
        <v>18000</v>
      </c>
      <c r="R86" s="457">
        <f t="shared" si="16"/>
        <v>900000</v>
      </c>
      <c r="S86" s="92" t="str">
        <f>IF($C$84&gt;=6,$C$84,"")</f>
        <v/>
      </c>
      <c r="T86" s="92" t="s">
        <v>96</v>
      </c>
      <c r="U86" s="92" t="s">
        <v>422</v>
      </c>
      <c r="V86" s="169"/>
      <c r="W86" s="169"/>
      <c r="X86" s="169"/>
      <c r="Y86" s="169"/>
      <c r="Z86" s="169"/>
      <c r="AA86" s="436">
        <f>P81</f>
        <v>50000</v>
      </c>
      <c r="AB86" s="169"/>
      <c r="AC86" s="169"/>
      <c r="AD86" s="169"/>
      <c r="AE86" s="169"/>
      <c r="AF86" s="169"/>
      <c r="AG86" s="436">
        <f>P82</f>
        <v>50000</v>
      </c>
    </row>
    <row r="87" spans="2:33">
      <c r="B87" s="464" t="s">
        <v>436</v>
      </c>
      <c r="C87" s="465">
        <f>'(1)Basic Info and loan request'!F46</f>
        <v>12</v>
      </c>
      <c r="D87" s="437"/>
      <c r="E87" s="437"/>
      <c r="F87" s="437">
        <f t="shared" ref="F87:F140" si="17">F86+1</f>
        <v>7</v>
      </c>
      <c r="G87" s="449">
        <f t="shared" si="7"/>
        <v>7</v>
      </c>
      <c r="H87" s="455">
        <f t="shared" si="10"/>
        <v>59908.922363410937</v>
      </c>
      <c r="I87" s="456">
        <f t="shared" si="8"/>
        <v>45825.028857366742</v>
      </c>
      <c r="J87" s="456">
        <f t="shared" si="9"/>
        <v>14083.893506044195</v>
      </c>
      <c r="K87" s="457">
        <f t="shared" si="15"/>
        <v>893101.20487891033</v>
      </c>
      <c r="L87" s="458"/>
      <c r="M87" s="437">
        <f t="shared" ref="M87:M140" si="18">M86+1</f>
        <v>7</v>
      </c>
      <c r="N87" s="449">
        <f t="shared" si="11"/>
        <v>7</v>
      </c>
      <c r="O87" s="455">
        <f t="shared" si="12"/>
        <v>59000</v>
      </c>
      <c r="P87" s="455">
        <f t="shared" si="13"/>
        <v>50000</v>
      </c>
      <c r="Q87" s="455">
        <f t="shared" si="14"/>
        <v>18000</v>
      </c>
      <c r="R87" s="457">
        <f t="shared" si="16"/>
        <v>850000</v>
      </c>
      <c r="U87" s="92" t="s">
        <v>284</v>
      </c>
      <c r="V87" s="169"/>
      <c r="W87" s="169"/>
      <c r="X87" s="169"/>
      <c r="Y87" s="169"/>
      <c r="Z87" s="169"/>
      <c r="AA87" s="436">
        <f>Q81</f>
        <v>18000</v>
      </c>
      <c r="AB87" s="169"/>
      <c r="AC87" s="169"/>
      <c r="AD87" s="169"/>
      <c r="AE87" s="169"/>
      <c r="AF87" s="169"/>
      <c r="AG87" s="436">
        <f>Q82</f>
        <v>18000</v>
      </c>
    </row>
    <row r="88" spans="2:33" ht="13.5" thickBot="1">
      <c r="B88" s="466" t="s">
        <v>437</v>
      </c>
      <c r="C88" s="467">
        <f>'(1)Basic Info and loan request'!F48</f>
        <v>24</v>
      </c>
      <c r="D88" s="437"/>
      <c r="E88" s="437"/>
      <c r="F88" s="437">
        <f t="shared" si="17"/>
        <v>8</v>
      </c>
      <c r="G88" s="449">
        <f t="shared" si="7"/>
        <v>8</v>
      </c>
      <c r="H88" s="455">
        <f t="shared" si="10"/>
        <v>59908.922363410937</v>
      </c>
      <c r="I88" s="456">
        <f t="shared" si="8"/>
        <v>46512.404290227234</v>
      </c>
      <c r="J88" s="456">
        <f t="shared" si="9"/>
        <v>13396.518073183703</v>
      </c>
      <c r="K88" s="457">
        <f t="shared" si="15"/>
        <v>846588.80058868311</v>
      </c>
      <c r="L88" s="458"/>
      <c r="M88" s="437">
        <f t="shared" si="18"/>
        <v>8</v>
      </c>
      <c r="N88" s="449">
        <f t="shared" si="11"/>
        <v>8</v>
      </c>
      <c r="O88" s="455">
        <f t="shared" si="12"/>
        <v>59000</v>
      </c>
      <c r="P88" s="455">
        <f t="shared" si="13"/>
        <v>50000</v>
      </c>
      <c r="Q88" s="455">
        <f t="shared" si="14"/>
        <v>18000</v>
      </c>
      <c r="R88" s="457">
        <f t="shared" si="16"/>
        <v>800000</v>
      </c>
      <c r="T88" s="92" t="s">
        <v>72</v>
      </c>
      <c r="U88" s="92" t="s">
        <v>422</v>
      </c>
      <c r="V88" s="439" t="str">
        <f>IF('[2]CF Projected'!$C$11&gt;=1,"",IF('[2]CF Projected'!$D$4=[2]Keys!$B$8,'(7)Repayment Schedule'!I91,""))</f>
        <v/>
      </c>
      <c r="W88" s="439" t="str">
        <f>IF('[2]CF Projected'!$C$11&gt;=2,"",IF('[2]CF Projected'!$D$4=[2]Keys!$B$8,'(7)Repayment Schedule'!I$82,""))</f>
        <v/>
      </c>
      <c r="X88" s="439">
        <f>P81</f>
        <v>50000</v>
      </c>
      <c r="Y88" s="439"/>
      <c r="Z88" s="439"/>
      <c r="AA88" s="439">
        <f>P82</f>
        <v>50000</v>
      </c>
      <c r="AB88" s="439"/>
      <c r="AC88" s="439"/>
      <c r="AD88" s="439">
        <f>P83</f>
        <v>50000</v>
      </c>
      <c r="AE88" s="439"/>
      <c r="AF88" s="439"/>
      <c r="AG88" s="439">
        <f>P84</f>
        <v>50000</v>
      </c>
    </row>
    <row r="89" spans="2:33" ht="13.5" thickBot="1">
      <c r="B89" s="462"/>
      <c r="C89" s="463" t="s">
        <v>438</v>
      </c>
      <c r="D89" s="437" t="s">
        <v>434</v>
      </c>
      <c r="E89" s="437"/>
      <c r="F89" s="437">
        <f t="shared" si="17"/>
        <v>9</v>
      </c>
      <c r="G89" s="449">
        <f t="shared" si="7"/>
        <v>9</v>
      </c>
      <c r="H89" s="455">
        <f t="shared" si="10"/>
        <v>59908.922363410937</v>
      </c>
      <c r="I89" s="456">
        <f t="shared" si="8"/>
        <v>47210.090354580636</v>
      </c>
      <c r="J89" s="456">
        <f t="shared" si="9"/>
        <v>12698.832008830297</v>
      </c>
      <c r="K89" s="457">
        <f t="shared" si="15"/>
        <v>799378.71023410244</v>
      </c>
      <c r="L89" s="458"/>
      <c r="M89" s="437">
        <f t="shared" si="18"/>
        <v>9</v>
      </c>
      <c r="N89" s="449">
        <f t="shared" si="11"/>
        <v>9</v>
      </c>
      <c r="O89" s="455">
        <f t="shared" si="12"/>
        <v>59000</v>
      </c>
      <c r="P89" s="455">
        <f t="shared" si="13"/>
        <v>50000</v>
      </c>
      <c r="Q89" s="455">
        <f t="shared" si="14"/>
        <v>18000</v>
      </c>
      <c r="R89" s="457">
        <f t="shared" si="16"/>
        <v>750000</v>
      </c>
      <c r="U89" s="92" t="s">
        <v>284</v>
      </c>
      <c r="V89" s="439"/>
      <c r="W89" s="439"/>
      <c r="X89" s="439">
        <f>Q81</f>
        <v>18000</v>
      </c>
      <c r="Y89" s="439"/>
      <c r="Z89" s="439"/>
      <c r="AA89" s="439">
        <f>Q82</f>
        <v>18000</v>
      </c>
      <c r="AB89" s="439"/>
      <c r="AC89" s="439"/>
      <c r="AD89" s="439">
        <f>Q83</f>
        <v>18000</v>
      </c>
      <c r="AE89" s="439"/>
      <c r="AF89" s="439"/>
      <c r="AG89" s="439">
        <f>Q84</f>
        <v>18000</v>
      </c>
    </row>
    <row r="90" spans="2:33" ht="13.5" thickBot="1">
      <c r="B90" s="468" t="s">
        <v>439</v>
      </c>
      <c r="C90" s="469">
        <f>-PMT(C81,C88,C79)</f>
        <v>59908.922363410937</v>
      </c>
      <c r="D90" s="469">
        <f>(C79/C88)+(C80*C79)/C88</f>
        <v>59000</v>
      </c>
      <c r="E90" s="437"/>
      <c r="F90" s="437">
        <f t="shared" si="17"/>
        <v>10</v>
      </c>
      <c r="G90" s="449">
        <f t="shared" si="7"/>
        <v>10</v>
      </c>
      <c r="H90" s="455">
        <f t="shared" si="10"/>
        <v>59908.922363410937</v>
      </c>
      <c r="I90" s="456">
        <f t="shared" si="8"/>
        <v>47918.241709899339</v>
      </c>
      <c r="J90" s="456">
        <f t="shared" si="9"/>
        <v>11990.680653511596</v>
      </c>
      <c r="K90" s="457">
        <f t="shared" si="15"/>
        <v>751460.46852420305</v>
      </c>
      <c r="L90" s="458"/>
      <c r="M90" s="437">
        <f t="shared" si="18"/>
        <v>10</v>
      </c>
      <c r="N90" s="449">
        <f t="shared" si="11"/>
        <v>10</v>
      </c>
      <c r="O90" s="455">
        <f t="shared" si="12"/>
        <v>59000</v>
      </c>
      <c r="P90" s="455">
        <f t="shared" si="13"/>
        <v>50000</v>
      </c>
      <c r="Q90" s="455">
        <f t="shared" si="14"/>
        <v>18000</v>
      </c>
      <c r="R90" s="457">
        <f t="shared" si="16"/>
        <v>700000</v>
      </c>
      <c r="T90" s="92" t="s">
        <v>95</v>
      </c>
      <c r="U90" s="92" t="s">
        <v>422</v>
      </c>
      <c r="V90" s="439">
        <f>P81</f>
        <v>50000</v>
      </c>
      <c r="W90" s="439">
        <f>V90</f>
        <v>50000</v>
      </c>
      <c r="X90" s="439">
        <f t="shared" ref="X90:AG91" si="19">W90</f>
        <v>50000</v>
      </c>
      <c r="Y90" s="439">
        <f t="shared" si="19"/>
        <v>50000</v>
      </c>
      <c r="Z90" s="439">
        <f t="shared" si="19"/>
        <v>50000</v>
      </c>
      <c r="AA90" s="439">
        <f t="shared" si="19"/>
        <v>50000</v>
      </c>
      <c r="AB90" s="439">
        <f t="shared" si="19"/>
        <v>50000</v>
      </c>
      <c r="AC90" s="439">
        <f t="shared" si="19"/>
        <v>50000</v>
      </c>
      <c r="AD90" s="439">
        <f t="shared" si="19"/>
        <v>50000</v>
      </c>
      <c r="AE90" s="439">
        <f t="shared" si="19"/>
        <v>50000</v>
      </c>
      <c r="AF90" s="439">
        <f t="shared" si="19"/>
        <v>50000</v>
      </c>
      <c r="AG90" s="439">
        <f t="shared" si="19"/>
        <v>50000</v>
      </c>
    </row>
    <row r="91" spans="2:33" ht="13.5" thickBot="1">
      <c r="B91" s="470"/>
      <c r="C91" s="429"/>
      <c r="D91" s="448"/>
      <c r="E91" s="437"/>
      <c r="F91" s="437">
        <f t="shared" si="17"/>
        <v>11</v>
      </c>
      <c r="G91" s="449">
        <f t="shared" si="7"/>
        <v>11</v>
      </c>
      <c r="H91" s="455">
        <f t="shared" si="10"/>
        <v>59908.922363410937</v>
      </c>
      <c r="I91" s="456">
        <f t="shared" si="8"/>
        <v>48637.015335547825</v>
      </c>
      <c r="J91" s="456">
        <f t="shared" si="9"/>
        <v>11271.90702786311</v>
      </c>
      <c r="K91" s="457">
        <f t="shared" si="15"/>
        <v>702823.4531886552</v>
      </c>
      <c r="L91" s="458"/>
      <c r="M91" s="437">
        <f t="shared" si="18"/>
        <v>11</v>
      </c>
      <c r="N91" s="449">
        <f t="shared" si="11"/>
        <v>11</v>
      </c>
      <c r="O91" s="455">
        <f t="shared" si="12"/>
        <v>59000</v>
      </c>
      <c r="P91" s="455">
        <f t="shared" si="13"/>
        <v>50000</v>
      </c>
      <c r="Q91" s="455">
        <f t="shared" si="14"/>
        <v>18000</v>
      </c>
      <c r="R91" s="457">
        <f t="shared" si="16"/>
        <v>650000</v>
      </c>
      <c r="U91" s="92" t="s">
        <v>284</v>
      </c>
      <c r="V91" s="439">
        <f>Q81</f>
        <v>18000</v>
      </c>
      <c r="W91" s="439">
        <f>V91</f>
        <v>18000</v>
      </c>
      <c r="X91" s="439">
        <f t="shared" si="19"/>
        <v>18000</v>
      </c>
      <c r="Y91" s="439">
        <f t="shared" si="19"/>
        <v>18000</v>
      </c>
      <c r="Z91" s="439">
        <f t="shared" si="19"/>
        <v>18000</v>
      </c>
      <c r="AA91" s="439">
        <f t="shared" si="19"/>
        <v>18000</v>
      </c>
      <c r="AB91" s="439">
        <f t="shared" si="19"/>
        <v>18000</v>
      </c>
      <c r="AC91" s="439">
        <f t="shared" si="19"/>
        <v>18000</v>
      </c>
      <c r="AD91" s="439">
        <f t="shared" si="19"/>
        <v>18000</v>
      </c>
      <c r="AE91" s="439">
        <f t="shared" si="19"/>
        <v>18000</v>
      </c>
      <c r="AF91" s="439">
        <f t="shared" si="19"/>
        <v>18000</v>
      </c>
      <c r="AG91" s="439">
        <f t="shared" si="19"/>
        <v>18000</v>
      </c>
    </row>
    <row r="92" spans="2:33" ht="13.5" thickBot="1">
      <c r="B92" s="468" t="s">
        <v>440</v>
      </c>
      <c r="C92" s="469">
        <f>IF(C84&lt;&gt;0,C79*(C80/12)*C84,0)</f>
        <v>0</v>
      </c>
      <c r="D92" s="471"/>
      <c r="E92" s="437"/>
      <c r="F92" s="437">
        <f t="shared" si="17"/>
        <v>12</v>
      </c>
      <c r="G92" s="449">
        <f t="shared" si="7"/>
        <v>12</v>
      </c>
      <c r="H92" s="455">
        <f t="shared" si="10"/>
        <v>59908.922363410937</v>
      </c>
      <c r="I92" s="456">
        <f t="shared" si="8"/>
        <v>49366.570565581038</v>
      </c>
      <c r="J92" s="456">
        <f t="shared" si="9"/>
        <v>10542.351797829899</v>
      </c>
      <c r="K92" s="457">
        <f t="shared" si="15"/>
        <v>653456.88262307411</v>
      </c>
      <c r="L92" s="458"/>
      <c r="M92" s="437">
        <f t="shared" si="18"/>
        <v>12</v>
      </c>
      <c r="N92" s="449">
        <f t="shared" si="11"/>
        <v>12</v>
      </c>
      <c r="O92" s="455">
        <f t="shared" si="12"/>
        <v>59000</v>
      </c>
      <c r="P92" s="455">
        <f t="shared" si="13"/>
        <v>50000</v>
      </c>
      <c r="Q92" s="455">
        <f t="shared" si="14"/>
        <v>18000</v>
      </c>
      <c r="R92" s="457">
        <f t="shared" si="16"/>
        <v>600000</v>
      </c>
    </row>
    <row r="93" spans="2:33" ht="13.5" thickBot="1">
      <c r="B93" s="468" t="s">
        <v>441</v>
      </c>
      <c r="C93" s="469">
        <f>IF(C84&lt;&gt;0,C92/C84,0)</f>
        <v>0</v>
      </c>
      <c r="D93" s="448"/>
      <c r="E93" s="437"/>
      <c r="F93" s="437">
        <f t="shared" si="17"/>
        <v>13</v>
      </c>
      <c r="G93" s="449">
        <f t="shared" si="7"/>
        <v>13</v>
      </c>
      <c r="H93" s="455">
        <f t="shared" si="10"/>
        <v>59908.922363410937</v>
      </c>
      <c r="I93" s="456">
        <f t="shared" si="8"/>
        <v>50107.069124064743</v>
      </c>
      <c r="J93" s="456">
        <f t="shared" si="9"/>
        <v>9801.8532393461937</v>
      </c>
      <c r="K93" s="457">
        <f t="shared" si="15"/>
        <v>603349.81349900935</v>
      </c>
      <c r="L93" s="458"/>
      <c r="M93" s="437">
        <f t="shared" si="18"/>
        <v>13</v>
      </c>
      <c r="N93" s="449">
        <f t="shared" si="11"/>
        <v>13</v>
      </c>
      <c r="O93" s="455">
        <f t="shared" si="12"/>
        <v>59000</v>
      </c>
      <c r="P93" s="455">
        <f t="shared" si="13"/>
        <v>50000</v>
      </c>
      <c r="Q93" s="455">
        <f t="shared" si="14"/>
        <v>18000</v>
      </c>
      <c r="R93" s="457">
        <f t="shared" si="16"/>
        <v>550000</v>
      </c>
    </row>
    <row r="94" spans="2:33" ht="13.5" thickBot="1">
      <c r="B94" s="462"/>
      <c r="C94" s="463" t="s">
        <v>438</v>
      </c>
      <c r="D94" s="437" t="s">
        <v>434</v>
      </c>
      <c r="E94" s="437"/>
      <c r="F94" s="437">
        <f t="shared" si="17"/>
        <v>14</v>
      </c>
      <c r="G94" s="449">
        <f t="shared" si="7"/>
        <v>14</v>
      </c>
      <c r="H94" s="455">
        <f t="shared" si="10"/>
        <v>59908.922363410937</v>
      </c>
      <c r="I94" s="456">
        <f t="shared" si="8"/>
        <v>50858.675160925712</v>
      </c>
      <c r="J94" s="456">
        <f t="shared" si="9"/>
        <v>9050.247202485225</v>
      </c>
      <c r="K94" s="457">
        <f t="shared" si="15"/>
        <v>552491.13833808363</v>
      </c>
      <c r="L94" s="458"/>
      <c r="M94" s="437">
        <f t="shared" si="18"/>
        <v>14</v>
      </c>
      <c r="N94" s="449">
        <f t="shared" si="11"/>
        <v>14</v>
      </c>
      <c r="O94" s="455">
        <f t="shared" si="12"/>
        <v>59000</v>
      </c>
      <c r="P94" s="455">
        <f t="shared" si="13"/>
        <v>50000</v>
      </c>
      <c r="Q94" s="455">
        <f t="shared" si="14"/>
        <v>18000</v>
      </c>
      <c r="R94" s="457">
        <f t="shared" si="16"/>
        <v>500000</v>
      </c>
    </row>
    <row r="95" spans="2:33">
      <c r="B95" s="464" t="s">
        <v>442</v>
      </c>
      <c r="C95" s="472">
        <f>I141</f>
        <v>1200000.0000000114</v>
      </c>
      <c r="D95" s="473">
        <f>P141</f>
        <v>1200000</v>
      </c>
      <c r="E95" s="437"/>
      <c r="F95" s="437">
        <f t="shared" si="17"/>
        <v>15</v>
      </c>
      <c r="G95" s="449">
        <f t="shared" si="7"/>
        <v>15</v>
      </c>
      <c r="H95" s="455">
        <f t="shared" si="10"/>
        <v>59908.922363410937</v>
      </c>
      <c r="I95" s="456">
        <f t="shared" si="8"/>
        <v>51621.555288339587</v>
      </c>
      <c r="J95" s="456">
        <f t="shared" si="9"/>
        <v>8287.36707507135</v>
      </c>
      <c r="K95" s="457">
        <f t="shared" si="15"/>
        <v>500869.58304974402</v>
      </c>
      <c r="L95" s="458"/>
      <c r="M95" s="437">
        <f t="shared" si="18"/>
        <v>15</v>
      </c>
      <c r="N95" s="449">
        <f t="shared" si="11"/>
        <v>15</v>
      </c>
      <c r="O95" s="455">
        <f t="shared" si="12"/>
        <v>59000</v>
      </c>
      <c r="P95" s="455">
        <f t="shared" si="13"/>
        <v>50000</v>
      </c>
      <c r="Q95" s="455">
        <f t="shared" si="14"/>
        <v>18000</v>
      </c>
      <c r="R95" s="457">
        <f t="shared" si="16"/>
        <v>450000</v>
      </c>
    </row>
    <row r="96" spans="2:33">
      <c r="B96" s="474" t="s">
        <v>443</v>
      </c>
      <c r="C96" s="475">
        <f>J141</f>
        <v>237814.13672185104</v>
      </c>
      <c r="D96" s="476">
        <f>Q141</f>
        <v>432000</v>
      </c>
      <c r="E96" s="437"/>
      <c r="F96" s="437">
        <f t="shared" si="17"/>
        <v>16</v>
      </c>
      <c r="G96" s="449">
        <f t="shared" si="7"/>
        <v>16</v>
      </c>
      <c r="H96" s="455">
        <f t="shared" si="10"/>
        <v>59908.922363410937</v>
      </c>
      <c r="I96" s="456">
        <f t="shared" si="8"/>
        <v>52395.878617664668</v>
      </c>
      <c r="J96" s="456">
        <f t="shared" si="9"/>
        <v>7513.0437457462667</v>
      </c>
      <c r="K96" s="457">
        <f t="shared" si="15"/>
        <v>448473.70443207934</v>
      </c>
      <c r="L96" s="458"/>
      <c r="M96" s="437">
        <f t="shared" si="18"/>
        <v>16</v>
      </c>
      <c r="N96" s="449">
        <f t="shared" si="11"/>
        <v>16</v>
      </c>
      <c r="O96" s="455">
        <f t="shared" si="12"/>
        <v>59000</v>
      </c>
      <c r="P96" s="455">
        <f t="shared" si="13"/>
        <v>50000</v>
      </c>
      <c r="Q96" s="455">
        <f t="shared" si="14"/>
        <v>18000</v>
      </c>
      <c r="R96" s="457">
        <f t="shared" si="16"/>
        <v>400000</v>
      </c>
    </row>
    <row r="97" spans="2:18" ht="13.5" thickBot="1">
      <c r="B97" s="477" t="s">
        <v>444</v>
      </c>
      <c r="C97" s="478">
        <f>H141</f>
        <v>1437814.1367218625</v>
      </c>
      <c r="D97" s="479">
        <f>O141</f>
        <v>1416000</v>
      </c>
      <c r="E97" s="437"/>
      <c r="F97" s="437">
        <f t="shared" si="17"/>
        <v>17</v>
      </c>
      <c r="G97" s="449">
        <f t="shared" si="7"/>
        <v>17</v>
      </c>
      <c r="H97" s="455">
        <f t="shared" si="10"/>
        <v>59908.922363410937</v>
      </c>
      <c r="I97" s="456">
        <f t="shared" si="8"/>
        <v>53181.816796929634</v>
      </c>
      <c r="J97" s="456">
        <f t="shared" si="9"/>
        <v>6727.1055664813048</v>
      </c>
      <c r="K97" s="457">
        <f t="shared" si="15"/>
        <v>395291.8876351497</v>
      </c>
      <c r="L97" s="458"/>
      <c r="M97" s="437">
        <f t="shared" si="18"/>
        <v>17</v>
      </c>
      <c r="N97" s="449">
        <f t="shared" si="11"/>
        <v>17</v>
      </c>
      <c r="O97" s="455">
        <f t="shared" si="12"/>
        <v>59000</v>
      </c>
      <c r="P97" s="455">
        <f t="shared" si="13"/>
        <v>50000</v>
      </c>
      <c r="Q97" s="455">
        <f t="shared" si="14"/>
        <v>18000</v>
      </c>
      <c r="R97" s="457">
        <f t="shared" si="16"/>
        <v>350000</v>
      </c>
    </row>
    <row r="98" spans="2:18">
      <c r="B98" s="462"/>
      <c r="C98" s="462"/>
      <c r="D98" s="437"/>
      <c r="E98" s="437"/>
      <c r="F98" s="437">
        <f t="shared" si="17"/>
        <v>18</v>
      </c>
      <c r="G98" s="449">
        <f t="shared" si="7"/>
        <v>18</v>
      </c>
      <c r="H98" s="455">
        <f t="shared" si="10"/>
        <v>59908.922363410937</v>
      </c>
      <c r="I98" s="456">
        <f t="shared" si="8"/>
        <v>53979.544048883574</v>
      </c>
      <c r="J98" s="456">
        <f t="shared" si="9"/>
        <v>5929.3783145273646</v>
      </c>
      <c r="K98" s="457">
        <f t="shared" si="15"/>
        <v>341312.34358626616</v>
      </c>
      <c r="L98" s="458"/>
      <c r="M98" s="437">
        <f t="shared" si="18"/>
        <v>18</v>
      </c>
      <c r="N98" s="449">
        <f t="shared" si="11"/>
        <v>18</v>
      </c>
      <c r="O98" s="455">
        <f t="shared" si="12"/>
        <v>59000</v>
      </c>
      <c r="P98" s="455">
        <f t="shared" si="13"/>
        <v>50000</v>
      </c>
      <c r="Q98" s="455">
        <f t="shared" si="14"/>
        <v>18000</v>
      </c>
      <c r="R98" s="457">
        <f t="shared" si="16"/>
        <v>300000</v>
      </c>
    </row>
    <row r="99" spans="2:18">
      <c r="B99" s="157" t="s">
        <v>445</v>
      </c>
      <c r="D99" s="437"/>
      <c r="E99" s="437"/>
      <c r="F99" s="437">
        <f t="shared" si="17"/>
        <v>19</v>
      </c>
      <c r="G99" s="449">
        <f t="shared" si="7"/>
        <v>19</v>
      </c>
      <c r="H99" s="455">
        <f t="shared" si="10"/>
        <v>59908.922363410937</v>
      </c>
      <c r="I99" s="456">
        <f t="shared" si="8"/>
        <v>54789.237209616818</v>
      </c>
      <c r="J99" s="456">
        <f t="shared" si="9"/>
        <v>5119.6851537941166</v>
      </c>
      <c r="K99" s="457">
        <f t="shared" si="15"/>
        <v>286523.10637664935</v>
      </c>
      <c r="L99" s="458"/>
      <c r="M99" s="437">
        <f t="shared" si="18"/>
        <v>19</v>
      </c>
      <c r="N99" s="449">
        <f t="shared" si="11"/>
        <v>19</v>
      </c>
      <c r="O99" s="455">
        <f t="shared" si="12"/>
        <v>59000</v>
      </c>
      <c r="P99" s="455">
        <f t="shared" si="13"/>
        <v>50000</v>
      </c>
      <c r="Q99" s="455">
        <f t="shared" si="14"/>
        <v>18000</v>
      </c>
      <c r="R99" s="457">
        <f t="shared" si="16"/>
        <v>250000</v>
      </c>
    </row>
    <row r="100" spans="2:18">
      <c r="B100" s="462"/>
      <c r="C100" s="462"/>
      <c r="D100" s="437"/>
      <c r="E100" s="437"/>
      <c r="F100" s="437">
        <f t="shared" si="17"/>
        <v>20</v>
      </c>
      <c r="G100" s="449">
        <f t="shared" si="7"/>
        <v>20</v>
      </c>
      <c r="H100" s="455">
        <f t="shared" si="10"/>
        <v>59908.922363410937</v>
      </c>
      <c r="I100" s="456">
        <f t="shared" si="8"/>
        <v>55611.075767761067</v>
      </c>
      <c r="J100" s="456">
        <f t="shared" si="9"/>
        <v>4297.8465956498694</v>
      </c>
      <c r="K100" s="457">
        <f t="shared" si="15"/>
        <v>230912.03060888828</v>
      </c>
      <c r="L100" s="458"/>
      <c r="M100" s="437">
        <f t="shared" si="18"/>
        <v>20</v>
      </c>
      <c r="N100" s="449">
        <f t="shared" si="11"/>
        <v>20</v>
      </c>
      <c r="O100" s="455">
        <f t="shared" si="12"/>
        <v>59000</v>
      </c>
      <c r="P100" s="455">
        <f t="shared" si="13"/>
        <v>50000</v>
      </c>
      <c r="Q100" s="455">
        <f t="shared" si="14"/>
        <v>18000</v>
      </c>
      <c r="R100" s="457">
        <f t="shared" si="16"/>
        <v>200000</v>
      </c>
    </row>
    <row r="101" spans="2:18">
      <c r="B101" s="437"/>
      <c r="C101" s="437"/>
      <c r="D101" s="462"/>
      <c r="E101" s="462"/>
      <c r="F101" s="437">
        <f t="shared" si="17"/>
        <v>21</v>
      </c>
      <c r="G101" s="449">
        <f t="shared" si="7"/>
        <v>21</v>
      </c>
      <c r="H101" s="455">
        <f t="shared" si="10"/>
        <v>59908.922363410937</v>
      </c>
      <c r="I101" s="456">
        <f t="shared" si="8"/>
        <v>56445.241904277464</v>
      </c>
      <c r="J101" s="456">
        <f t="shared" si="9"/>
        <v>3463.6804591334703</v>
      </c>
      <c r="K101" s="457">
        <f t="shared" si="15"/>
        <v>174466.78870461081</v>
      </c>
      <c r="L101" s="458"/>
      <c r="M101" s="437">
        <f t="shared" si="18"/>
        <v>21</v>
      </c>
      <c r="N101" s="449">
        <f t="shared" si="11"/>
        <v>21</v>
      </c>
      <c r="O101" s="455">
        <f t="shared" si="12"/>
        <v>59000</v>
      </c>
      <c r="P101" s="455">
        <f t="shared" si="13"/>
        <v>50000</v>
      </c>
      <c r="Q101" s="455">
        <f t="shared" si="14"/>
        <v>18000</v>
      </c>
      <c r="R101" s="457">
        <f t="shared" si="16"/>
        <v>150000</v>
      </c>
    </row>
    <row r="102" spans="2:18">
      <c r="B102" s="471"/>
      <c r="C102" s="471"/>
      <c r="D102" s="462"/>
      <c r="E102" s="462"/>
      <c r="F102" s="437">
        <f t="shared" si="17"/>
        <v>22</v>
      </c>
      <c r="G102" s="449">
        <f t="shared" si="7"/>
        <v>22</v>
      </c>
      <c r="H102" s="455">
        <f t="shared" si="10"/>
        <v>59908.922363410937</v>
      </c>
      <c r="I102" s="456">
        <f t="shared" si="8"/>
        <v>57291.920532841628</v>
      </c>
      <c r="J102" s="456">
        <f t="shared" si="9"/>
        <v>2617.0018305693102</v>
      </c>
      <c r="K102" s="457">
        <f t="shared" si="15"/>
        <v>117174.86817176918</v>
      </c>
      <c r="L102" s="458"/>
      <c r="M102" s="437">
        <f t="shared" si="18"/>
        <v>22</v>
      </c>
      <c r="N102" s="449">
        <f t="shared" si="11"/>
        <v>22</v>
      </c>
      <c r="O102" s="455">
        <f t="shared" si="12"/>
        <v>59000</v>
      </c>
      <c r="P102" s="455">
        <f t="shared" si="13"/>
        <v>50000</v>
      </c>
      <c r="Q102" s="455">
        <f t="shared" si="14"/>
        <v>18000</v>
      </c>
      <c r="R102" s="457">
        <f t="shared" si="16"/>
        <v>100000</v>
      </c>
    </row>
    <row r="103" spans="2:18">
      <c r="B103" s="471"/>
      <c r="C103" s="471"/>
      <c r="D103" s="462"/>
      <c r="E103" s="462"/>
      <c r="F103" s="437">
        <f t="shared" si="17"/>
        <v>23</v>
      </c>
      <c r="G103" s="449">
        <f t="shared" si="7"/>
        <v>23</v>
      </c>
      <c r="H103" s="455">
        <f t="shared" si="10"/>
        <v>59908.922363410937</v>
      </c>
      <c r="I103" s="456">
        <f t="shared" si="8"/>
        <v>58151.299340834237</v>
      </c>
      <c r="J103" s="456">
        <f t="shared" si="9"/>
        <v>1757.6230225766985</v>
      </c>
      <c r="K103" s="457">
        <f t="shared" si="15"/>
        <v>59023.568830934943</v>
      </c>
      <c r="L103" s="458"/>
      <c r="M103" s="437">
        <f t="shared" si="18"/>
        <v>23</v>
      </c>
      <c r="N103" s="449">
        <f t="shared" si="11"/>
        <v>23</v>
      </c>
      <c r="O103" s="455">
        <f t="shared" si="12"/>
        <v>59000</v>
      </c>
      <c r="P103" s="455">
        <f t="shared" si="13"/>
        <v>50000</v>
      </c>
      <c r="Q103" s="455">
        <f t="shared" si="14"/>
        <v>18000</v>
      </c>
      <c r="R103" s="457">
        <f t="shared" si="16"/>
        <v>50000</v>
      </c>
    </row>
    <row r="104" spans="2:18">
      <c r="B104" s="471"/>
      <c r="C104" s="471"/>
      <c r="D104" s="462"/>
      <c r="E104" s="462"/>
      <c r="F104" s="437">
        <f t="shared" si="17"/>
        <v>24</v>
      </c>
      <c r="G104" s="449">
        <f t="shared" si="7"/>
        <v>24</v>
      </c>
      <c r="H104" s="455">
        <f t="shared" si="10"/>
        <v>59908.922363410937</v>
      </c>
      <c r="I104" s="456">
        <f t="shared" si="8"/>
        <v>59023.568830946744</v>
      </c>
      <c r="J104" s="456">
        <f t="shared" si="9"/>
        <v>885.35353246418993</v>
      </c>
      <c r="K104" s="457">
        <f t="shared" si="15"/>
        <v>-1.1801603250205517E-8</v>
      </c>
      <c r="L104" s="458"/>
      <c r="M104" s="437">
        <f t="shared" si="18"/>
        <v>24</v>
      </c>
      <c r="N104" s="449">
        <f t="shared" si="11"/>
        <v>24</v>
      </c>
      <c r="O104" s="455">
        <f t="shared" si="12"/>
        <v>59000</v>
      </c>
      <c r="P104" s="455">
        <f t="shared" si="13"/>
        <v>50000</v>
      </c>
      <c r="Q104" s="455">
        <f t="shared" si="14"/>
        <v>18000</v>
      </c>
      <c r="R104" s="457">
        <f t="shared" si="16"/>
        <v>0</v>
      </c>
    </row>
    <row r="105" spans="2:18">
      <c r="B105" s="471"/>
      <c r="C105" s="471"/>
      <c r="D105" s="437"/>
      <c r="E105" s="437"/>
      <c r="F105" s="437">
        <f t="shared" si="17"/>
        <v>25</v>
      </c>
      <c r="G105" s="449" t="str">
        <f t="shared" si="7"/>
        <v/>
      </c>
      <c r="H105" s="455" t="str">
        <f t="shared" si="10"/>
        <v/>
      </c>
      <c r="I105" s="456" t="str">
        <f t="shared" si="8"/>
        <v/>
      </c>
      <c r="J105" s="456" t="str">
        <f t="shared" si="9"/>
        <v/>
      </c>
      <c r="K105" s="457">
        <f t="shared" si="15"/>
        <v>-1.1801603250205517E-8</v>
      </c>
      <c r="L105" s="458"/>
      <c r="M105" s="437">
        <f t="shared" si="18"/>
        <v>25</v>
      </c>
      <c r="N105" s="449" t="str">
        <f t="shared" si="11"/>
        <v/>
      </c>
      <c r="O105" s="455" t="str">
        <f t="shared" si="12"/>
        <v/>
      </c>
      <c r="P105" s="455" t="str">
        <f t="shared" si="13"/>
        <v/>
      </c>
      <c r="Q105" s="455" t="str">
        <f t="shared" si="14"/>
        <v/>
      </c>
      <c r="R105" s="457">
        <f t="shared" si="16"/>
        <v>0</v>
      </c>
    </row>
    <row r="106" spans="2:18">
      <c r="B106" s="471"/>
      <c r="C106" s="471"/>
      <c r="D106" s="437"/>
      <c r="E106" s="437"/>
      <c r="F106" s="437">
        <f t="shared" si="17"/>
        <v>26</v>
      </c>
      <c r="G106" s="449" t="str">
        <f t="shared" si="7"/>
        <v/>
      </c>
      <c r="H106" s="455" t="str">
        <f t="shared" si="10"/>
        <v/>
      </c>
      <c r="I106" s="456" t="str">
        <f t="shared" si="8"/>
        <v/>
      </c>
      <c r="J106" s="456" t="str">
        <f t="shared" si="9"/>
        <v/>
      </c>
      <c r="K106" s="457">
        <f t="shared" si="15"/>
        <v>-1.1801603250205517E-8</v>
      </c>
      <c r="L106" s="458"/>
      <c r="M106" s="437">
        <f t="shared" si="18"/>
        <v>26</v>
      </c>
      <c r="N106" s="449" t="str">
        <f t="shared" si="11"/>
        <v/>
      </c>
      <c r="O106" s="455" t="str">
        <f t="shared" si="12"/>
        <v/>
      </c>
      <c r="P106" s="455" t="str">
        <f t="shared" si="13"/>
        <v/>
      </c>
      <c r="Q106" s="455" t="str">
        <f t="shared" si="14"/>
        <v/>
      </c>
      <c r="R106" s="457">
        <f t="shared" si="16"/>
        <v>0</v>
      </c>
    </row>
    <row r="107" spans="2:18">
      <c r="B107" s="471"/>
      <c r="C107" s="471"/>
      <c r="D107" s="437"/>
      <c r="E107" s="437"/>
      <c r="F107" s="437">
        <f t="shared" si="17"/>
        <v>27</v>
      </c>
      <c r="G107" s="449" t="str">
        <f t="shared" si="7"/>
        <v/>
      </c>
      <c r="H107" s="455" t="str">
        <f t="shared" si="10"/>
        <v/>
      </c>
      <c r="I107" s="456" t="str">
        <f t="shared" si="8"/>
        <v/>
      </c>
      <c r="J107" s="456" t="str">
        <f t="shared" si="9"/>
        <v/>
      </c>
      <c r="K107" s="457">
        <f t="shared" si="15"/>
        <v>-1.1801603250205517E-8</v>
      </c>
      <c r="L107" s="458"/>
      <c r="M107" s="437">
        <f t="shared" si="18"/>
        <v>27</v>
      </c>
      <c r="N107" s="449" t="str">
        <f t="shared" si="11"/>
        <v/>
      </c>
      <c r="O107" s="455" t="str">
        <f t="shared" si="12"/>
        <v/>
      </c>
      <c r="P107" s="455" t="str">
        <f t="shared" si="13"/>
        <v/>
      </c>
      <c r="Q107" s="455" t="str">
        <f t="shared" si="14"/>
        <v/>
      </c>
      <c r="R107" s="457">
        <f t="shared" si="16"/>
        <v>0</v>
      </c>
    </row>
    <row r="108" spans="2:18">
      <c r="B108" s="471"/>
      <c r="C108" s="471"/>
      <c r="D108" s="437"/>
      <c r="E108" s="437"/>
      <c r="F108" s="437">
        <f t="shared" si="17"/>
        <v>28</v>
      </c>
      <c r="G108" s="449" t="str">
        <f t="shared" si="7"/>
        <v/>
      </c>
      <c r="H108" s="455" t="str">
        <f t="shared" si="10"/>
        <v/>
      </c>
      <c r="I108" s="456" t="str">
        <f t="shared" si="8"/>
        <v/>
      </c>
      <c r="J108" s="456" t="str">
        <f t="shared" si="9"/>
        <v/>
      </c>
      <c r="K108" s="457">
        <f t="shared" si="15"/>
        <v>-1.1801603250205517E-8</v>
      </c>
      <c r="L108" s="458"/>
      <c r="M108" s="437">
        <f t="shared" si="18"/>
        <v>28</v>
      </c>
      <c r="N108" s="449" t="str">
        <f t="shared" si="11"/>
        <v/>
      </c>
      <c r="O108" s="455" t="str">
        <f t="shared" si="12"/>
        <v/>
      </c>
      <c r="P108" s="455" t="str">
        <f t="shared" si="13"/>
        <v/>
      </c>
      <c r="Q108" s="455" t="str">
        <f t="shared" si="14"/>
        <v/>
      </c>
      <c r="R108" s="457">
        <f t="shared" si="16"/>
        <v>0</v>
      </c>
    </row>
    <row r="109" spans="2:18">
      <c r="B109" s="471"/>
      <c r="C109" s="471"/>
      <c r="D109" s="437"/>
      <c r="E109" s="437"/>
      <c r="F109" s="437">
        <f t="shared" si="17"/>
        <v>29</v>
      </c>
      <c r="G109" s="449" t="str">
        <f t="shared" si="7"/>
        <v/>
      </c>
      <c r="H109" s="455" t="str">
        <f t="shared" si="10"/>
        <v/>
      </c>
      <c r="I109" s="456" t="str">
        <f t="shared" si="8"/>
        <v/>
      </c>
      <c r="J109" s="456" t="str">
        <f t="shared" si="9"/>
        <v/>
      </c>
      <c r="K109" s="457">
        <f t="shared" si="15"/>
        <v>-1.1801603250205517E-8</v>
      </c>
      <c r="L109" s="458"/>
      <c r="M109" s="437">
        <f t="shared" si="18"/>
        <v>29</v>
      </c>
      <c r="N109" s="449" t="str">
        <f t="shared" si="11"/>
        <v/>
      </c>
      <c r="O109" s="455" t="str">
        <f t="shared" si="12"/>
        <v/>
      </c>
      <c r="P109" s="455" t="str">
        <f t="shared" si="13"/>
        <v/>
      </c>
      <c r="Q109" s="455" t="str">
        <f t="shared" si="14"/>
        <v/>
      </c>
      <c r="R109" s="457">
        <f t="shared" si="16"/>
        <v>0</v>
      </c>
    </row>
    <row r="110" spans="2:18">
      <c r="B110" s="471"/>
      <c r="C110" s="471"/>
      <c r="D110" s="437"/>
      <c r="E110" s="437"/>
      <c r="F110" s="437">
        <f t="shared" si="17"/>
        <v>30</v>
      </c>
      <c r="G110" s="449" t="str">
        <f t="shared" si="7"/>
        <v/>
      </c>
      <c r="H110" s="455" t="str">
        <f t="shared" si="10"/>
        <v/>
      </c>
      <c r="I110" s="456" t="str">
        <f t="shared" si="8"/>
        <v/>
      </c>
      <c r="J110" s="456" t="str">
        <f t="shared" si="9"/>
        <v/>
      </c>
      <c r="K110" s="457">
        <f t="shared" si="15"/>
        <v>-1.1801603250205517E-8</v>
      </c>
      <c r="L110" s="458"/>
      <c r="M110" s="437">
        <f t="shared" si="18"/>
        <v>30</v>
      </c>
      <c r="N110" s="449" t="str">
        <f t="shared" si="11"/>
        <v/>
      </c>
      <c r="O110" s="455" t="str">
        <f t="shared" si="12"/>
        <v/>
      </c>
      <c r="P110" s="455" t="str">
        <f t="shared" si="13"/>
        <v/>
      </c>
      <c r="Q110" s="455" t="str">
        <f t="shared" si="14"/>
        <v/>
      </c>
      <c r="R110" s="457">
        <f t="shared" si="16"/>
        <v>0</v>
      </c>
    </row>
    <row r="111" spans="2:18">
      <c r="B111" s="471"/>
      <c r="C111" s="471"/>
      <c r="D111" s="437"/>
      <c r="E111" s="437"/>
      <c r="F111" s="437">
        <f t="shared" si="17"/>
        <v>31</v>
      </c>
      <c r="G111" s="449" t="str">
        <f t="shared" si="7"/>
        <v/>
      </c>
      <c r="H111" s="455" t="str">
        <f t="shared" si="10"/>
        <v/>
      </c>
      <c r="I111" s="456" t="str">
        <f t="shared" si="8"/>
        <v/>
      </c>
      <c r="J111" s="456" t="str">
        <f t="shared" si="9"/>
        <v/>
      </c>
      <c r="K111" s="457">
        <f t="shared" si="15"/>
        <v>-1.1801603250205517E-8</v>
      </c>
      <c r="L111" s="458"/>
      <c r="M111" s="437">
        <f t="shared" si="18"/>
        <v>31</v>
      </c>
      <c r="N111" s="449" t="str">
        <f t="shared" si="11"/>
        <v/>
      </c>
      <c r="O111" s="455" t="str">
        <f t="shared" si="12"/>
        <v/>
      </c>
      <c r="P111" s="455" t="str">
        <f t="shared" si="13"/>
        <v/>
      </c>
      <c r="Q111" s="455" t="str">
        <f t="shared" si="14"/>
        <v/>
      </c>
      <c r="R111" s="457">
        <f t="shared" si="16"/>
        <v>0</v>
      </c>
    </row>
    <row r="112" spans="2:18">
      <c r="B112" s="471"/>
      <c r="C112" s="471"/>
      <c r="D112" s="437"/>
      <c r="E112" s="437"/>
      <c r="F112" s="437">
        <f t="shared" si="17"/>
        <v>32</v>
      </c>
      <c r="G112" s="449" t="str">
        <f t="shared" si="7"/>
        <v/>
      </c>
      <c r="H112" s="455" t="str">
        <f t="shared" si="10"/>
        <v/>
      </c>
      <c r="I112" s="456" t="str">
        <f t="shared" si="8"/>
        <v/>
      </c>
      <c r="J112" s="456" t="str">
        <f t="shared" si="9"/>
        <v/>
      </c>
      <c r="K112" s="457">
        <f t="shared" si="15"/>
        <v>-1.1801603250205517E-8</v>
      </c>
      <c r="L112" s="458"/>
      <c r="M112" s="437">
        <f t="shared" si="18"/>
        <v>32</v>
      </c>
      <c r="N112" s="449" t="str">
        <f t="shared" si="11"/>
        <v/>
      </c>
      <c r="O112" s="455" t="str">
        <f t="shared" si="12"/>
        <v/>
      </c>
      <c r="P112" s="455" t="str">
        <f t="shared" si="13"/>
        <v/>
      </c>
      <c r="Q112" s="455" t="str">
        <f t="shared" si="14"/>
        <v/>
      </c>
      <c r="R112" s="457">
        <f t="shared" si="16"/>
        <v>0</v>
      </c>
    </row>
    <row r="113" spans="2:18">
      <c r="B113" s="437"/>
      <c r="C113" s="437"/>
      <c r="D113" s="437"/>
      <c r="E113" s="437"/>
      <c r="F113" s="437">
        <f t="shared" si="17"/>
        <v>33</v>
      </c>
      <c r="G113" s="449" t="str">
        <f t="shared" si="7"/>
        <v/>
      </c>
      <c r="H113" s="455" t="str">
        <f t="shared" si="10"/>
        <v/>
      </c>
      <c r="I113" s="456" t="str">
        <f t="shared" ref="I113:I140" si="20">IF(G113&lt;&gt;"", -PPMT($C$81,G113,$C$88,$C$79),"")</f>
        <v/>
      </c>
      <c r="J113" s="456" t="str">
        <f t="shared" ref="J113:J140" si="21">IF(G113&lt;&gt;"", -IPMT($C$81,G113,$C$88,$C$79),"")</f>
        <v/>
      </c>
      <c r="K113" s="457">
        <f t="shared" si="15"/>
        <v>-1.1801603250205517E-8</v>
      </c>
      <c r="L113" s="458"/>
      <c r="M113" s="437">
        <f t="shared" si="18"/>
        <v>33</v>
      </c>
      <c r="N113" s="449" t="str">
        <f t="shared" si="11"/>
        <v/>
      </c>
      <c r="O113" s="455" t="str">
        <f t="shared" si="12"/>
        <v/>
      </c>
      <c r="P113" s="455" t="str">
        <f t="shared" si="13"/>
        <v/>
      </c>
      <c r="Q113" s="455" t="str">
        <f t="shared" si="14"/>
        <v/>
      </c>
      <c r="R113" s="457">
        <f t="shared" si="16"/>
        <v>0</v>
      </c>
    </row>
    <row r="114" spans="2:18">
      <c r="B114" s="437"/>
      <c r="C114" s="437"/>
      <c r="D114" s="437"/>
      <c r="E114" s="437"/>
      <c r="F114" s="437">
        <f t="shared" si="17"/>
        <v>34</v>
      </c>
      <c r="G114" s="449" t="str">
        <f t="shared" si="7"/>
        <v/>
      </c>
      <c r="H114" s="455" t="str">
        <f t="shared" si="10"/>
        <v/>
      </c>
      <c r="I114" s="456" t="str">
        <f t="shared" si="20"/>
        <v/>
      </c>
      <c r="J114" s="456" t="str">
        <f t="shared" si="21"/>
        <v/>
      </c>
      <c r="K114" s="457">
        <f t="shared" si="15"/>
        <v>-1.1801603250205517E-8</v>
      </c>
      <c r="L114" s="458"/>
      <c r="M114" s="437">
        <f t="shared" si="18"/>
        <v>34</v>
      </c>
      <c r="N114" s="449" t="str">
        <f t="shared" si="11"/>
        <v/>
      </c>
      <c r="O114" s="455" t="str">
        <f t="shared" si="12"/>
        <v/>
      </c>
      <c r="P114" s="455" t="str">
        <f t="shared" si="13"/>
        <v/>
      </c>
      <c r="Q114" s="455" t="str">
        <f t="shared" si="14"/>
        <v/>
      </c>
      <c r="R114" s="457">
        <f t="shared" si="16"/>
        <v>0</v>
      </c>
    </row>
    <row r="115" spans="2:18">
      <c r="B115" s="437"/>
      <c r="C115" s="437"/>
      <c r="D115" s="437"/>
      <c r="E115" s="437"/>
      <c r="F115" s="437">
        <f t="shared" si="17"/>
        <v>35</v>
      </c>
      <c r="G115" s="449" t="str">
        <f t="shared" si="7"/>
        <v/>
      </c>
      <c r="H115" s="455" t="str">
        <f t="shared" si="10"/>
        <v/>
      </c>
      <c r="I115" s="456" t="str">
        <f t="shared" si="20"/>
        <v/>
      </c>
      <c r="J115" s="456" t="str">
        <f t="shared" si="21"/>
        <v/>
      </c>
      <c r="K115" s="457">
        <f t="shared" si="15"/>
        <v>-1.1801603250205517E-8</v>
      </c>
      <c r="L115" s="458"/>
      <c r="M115" s="437">
        <f t="shared" si="18"/>
        <v>35</v>
      </c>
      <c r="N115" s="449" t="str">
        <f t="shared" si="11"/>
        <v/>
      </c>
      <c r="O115" s="455" t="str">
        <f t="shared" si="12"/>
        <v/>
      </c>
      <c r="P115" s="455" t="str">
        <f t="shared" si="13"/>
        <v/>
      </c>
      <c r="Q115" s="455" t="str">
        <f t="shared" si="14"/>
        <v/>
      </c>
      <c r="R115" s="457">
        <f t="shared" si="16"/>
        <v>0</v>
      </c>
    </row>
    <row r="116" spans="2:18">
      <c r="B116" s="437"/>
      <c r="C116" s="437"/>
      <c r="D116" s="437"/>
      <c r="E116" s="437"/>
      <c r="F116" s="437">
        <f t="shared" si="17"/>
        <v>36</v>
      </c>
      <c r="G116" s="449" t="str">
        <f t="shared" si="7"/>
        <v/>
      </c>
      <c r="H116" s="455" t="str">
        <f t="shared" si="10"/>
        <v/>
      </c>
      <c r="I116" s="456" t="str">
        <f t="shared" si="20"/>
        <v/>
      </c>
      <c r="J116" s="456" t="str">
        <f t="shared" si="21"/>
        <v/>
      </c>
      <c r="K116" s="457">
        <f t="shared" si="15"/>
        <v>-1.1801603250205517E-8</v>
      </c>
      <c r="L116" s="458"/>
      <c r="M116" s="437">
        <f t="shared" si="18"/>
        <v>36</v>
      </c>
      <c r="N116" s="449" t="str">
        <f t="shared" si="11"/>
        <v/>
      </c>
      <c r="O116" s="455" t="str">
        <f t="shared" si="12"/>
        <v/>
      </c>
      <c r="P116" s="455" t="str">
        <f t="shared" si="13"/>
        <v/>
      </c>
      <c r="Q116" s="455" t="str">
        <f t="shared" si="14"/>
        <v/>
      </c>
      <c r="R116" s="457">
        <f t="shared" si="16"/>
        <v>0</v>
      </c>
    </row>
    <row r="117" spans="2:18">
      <c r="B117" s="437"/>
      <c r="C117" s="437"/>
      <c r="D117" s="437"/>
      <c r="E117" s="437"/>
      <c r="F117" s="437">
        <f t="shared" si="17"/>
        <v>37</v>
      </c>
      <c r="G117" s="449" t="str">
        <f t="shared" si="7"/>
        <v/>
      </c>
      <c r="H117" s="455" t="str">
        <f t="shared" si="10"/>
        <v/>
      </c>
      <c r="I117" s="456" t="str">
        <f t="shared" si="20"/>
        <v/>
      </c>
      <c r="J117" s="456" t="str">
        <f t="shared" si="21"/>
        <v/>
      </c>
      <c r="K117" s="457">
        <f t="shared" si="15"/>
        <v>-1.1801603250205517E-8</v>
      </c>
      <c r="L117" s="458"/>
      <c r="M117" s="437">
        <f t="shared" si="18"/>
        <v>37</v>
      </c>
      <c r="N117" s="449" t="str">
        <f t="shared" si="11"/>
        <v/>
      </c>
      <c r="O117" s="455" t="str">
        <f t="shared" si="12"/>
        <v/>
      </c>
      <c r="P117" s="455" t="str">
        <f t="shared" si="13"/>
        <v/>
      </c>
      <c r="Q117" s="455" t="str">
        <f t="shared" si="14"/>
        <v/>
      </c>
      <c r="R117" s="457">
        <f t="shared" si="16"/>
        <v>0</v>
      </c>
    </row>
    <row r="118" spans="2:18">
      <c r="B118" s="437"/>
      <c r="C118" s="437"/>
      <c r="D118" s="437"/>
      <c r="E118" s="437"/>
      <c r="F118" s="437">
        <f t="shared" si="17"/>
        <v>38</v>
      </c>
      <c r="G118" s="449" t="str">
        <f t="shared" si="7"/>
        <v/>
      </c>
      <c r="H118" s="455" t="str">
        <f t="shared" si="10"/>
        <v/>
      </c>
      <c r="I118" s="456" t="str">
        <f t="shared" si="20"/>
        <v/>
      </c>
      <c r="J118" s="456" t="str">
        <f t="shared" si="21"/>
        <v/>
      </c>
      <c r="K118" s="457">
        <f t="shared" si="15"/>
        <v>-1.1801603250205517E-8</v>
      </c>
      <c r="L118" s="458"/>
      <c r="M118" s="437">
        <f t="shared" si="18"/>
        <v>38</v>
      </c>
      <c r="N118" s="449" t="str">
        <f t="shared" si="11"/>
        <v/>
      </c>
      <c r="O118" s="455" t="str">
        <f t="shared" si="12"/>
        <v/>
      </c>
      <c r="P118" s="455" t="str">
        <f t="shared" si="13"/>
        <v/>
      </c>
      <c r="Q118" s="455" t="str">
        <f t="shared" si="14"/>
        <v/>
      </c>
      <c r="R118" s="457">
        <f t="shared" si="16"/>
        <v>0</v>
      </c>
    </row>
    <row r="119" spans="2:18">
      <c r="B119" s="437"/>
      <c r="C119" s="437"/>
      <c r="D119" s="437"/>
      <c r="E119" s="437"/>
      <c r="F119" s="437">
        <f t="shared" si="17"/>
        <v>39</v>
      </c>
      <c r="G119" s="449" t="str">
        <f t="shared" si="7"/>
        <v/>
      </c>
      <c r="H119" s="455" t="str">
        <f t="shared" si="10"/>
        <v/>
      </c>
      <c r="I119" s="456" t="str">
        <f t="shared" si="20"/>
        <v/>
      </c>
      <c r="J119" s="456" t="str">
        <f t="shared" si="21"/>
        <v/>
      </c>
      <c r="K119" s="457">
        <f t="shared" si="15"/>
        <v>-1.1801603250205517E-8</v>
      </c>
      <c r="L119" s="458"/>
      <c r="M119" s="437">
        <f t="shared" si="18"/>
        <v>39</v>
      </c>
      <c r="N119" s="449" t="str">
        <f t="shared" si="11"/>
        <v/>
      </c>
      <c r="O119" s="455" t="str">
        <f t="shared" si="12"/>
        <v/>
      </c>
      <c r="P119" s="455" t="str">
        <f t="shared" si="13"/>
        <v/>
      </c>
      <c r="Q119" s="455" t="str">
        <f t="shared" si="14"/>
        <v/>
      </c>
      <c r="R119" s="457">
        <f t="shared" si="16"/>
        <v>0</v>
      </c>
    </row>
    <row r="120" spans="2:18">
      <c r="B120" s="437"/>
      <c r="C120" s="437"/>
      <c r="D120" s="437"/>
      <c r="E120" s="437"/>
      <c r="F120" s="437">
        <f t="shared" si="17"/>
        <v>40</v>
      </c>
      <c r="G120" s="449" t="str">
        <f t="shared" si="7"/>
        <v/>
      </c>
      <c r="H120" s="455" t="str">
        <f t="shared" si="10"/>
        <v/>
      </c>
      <c r="I120" s="456" t="str">
        <f t="shared" si="20"/>
        <v/>
      </c>
      <c r="J120" s="456" t="str">
        <f t="shared" si="21"/>
        <v/>
      </c>
      <c r="K120" s="457">
        <f t="shared" si="15"/>
        <v>-1.1801603250205517E-8</v>
      </c>
      <c r="L120" s="458"/>
      <c r="M120" s="437">
        <f t="shared" si="18"/>
        <v>40</v>
      </c>
      <c r="N120" s="449" t="str">
        <f t="shared" si="11"/>
        <v/>
      </c>
      <c r="O120" s="455" t="str">
        <f t="shared" si="12"/>
        <v/>
      </c>
      <c r="P120" s="455" t="str">
        <f t="shared" si="13"/>
        <v/>
      </c>
      <c r="Q120" s="455" t="str">
        <f t="shared" si="14"/>
        <v/>
      </c>
      <c r="R120" s="457">
        <f t="shared" si="16"/>
        <v>0</v>
      </c>
    </row>
    <row r="121" spans="2:18">
      <c r="B121" s="437"/>
      <c r="C121" s="437"/>
      <c r="D121" s="437"/>
      <c r="E121" s="437"/>
      <c r="F121" s="437">
        <f t="shared" si="17"/>
        <v>41</v>
      </c>
      <c r="G121" s="449" t="str">
        <f t="shared" si="7"/>
        <v/>
      </c>
      <c r="H121" s="455" t="str">
        <f t="shared" si="10"/>
        <v/>
      </c>
      <c r="I121" s="456" t="str">
        <f t="shared" si="20"/>
        <v/>
      </c>
      <c r="J121" s="456" t="str">
        <f t="shared" si="21"/>
        <v/>
      </c>
      <c r="K121" s="457">
        <f t="shared" si="15"/>
        <v>-1.1801603250205517E-8</v>
      </c>
      <c r="L121" s="458"/>
      <c r="M121" s="437">
        <f t="shared" si="18"/>
        <v>41</v>
      </c>
      <c r="N121" s="449" t="str">
        <f t="shared" si="11"/>
        <v/>
      </c>
      <c r="O121" s="455" t="str">
        <f t="shared" si="12"/>
        <v/>
      </c>
      <c r="P121" s="455" t="str">
        <f t="shared" si="13"/>
        <v/>
      </c>
      <c r="Q121" s="455" t="str">
        <f t="shared" si="14"/>
        <v/>
      </c>
      <c r="R121" s="457">
        <f t="shared" si="16"/>
        <v>0</v>
      </c>
    </row>
    <row r="122" spans="2:18">
      <c r="B122" s="437"/>
      <c r="C122" s="437"/>
      <c r="D122" s="437"/>
      <c r="E122" s="437"/>
      <c r="F122" s="437">
        <f t="shared" si="17"/>
        <v>42</v>
      </c>
      <c r="G122" s="449" t="str">
        <f t="shared" si="7"/>
        <v/>
      </c>
      <c r="H122" s="455" t="str">
        <f t="shared" si="10"/>
        <v/>
      </c>
      <c r="I122" s="456" t="str">
        <f t="shared" si="20"/>
        <v/>
      </c>
      <c r="J122" s="456" t="str">
        <f t="shared" si="21"/>
        <v/>
      </c>
      <c r="K122" s="457">
        <f t="shared" si="15"/>
        <v>-1.1801603250205517E-8</v>
      </c>
      <c r="L122" s="458"/>
      <c r="M122" s="437">
        <f t="shared" si="18"/>
        <v>42</v>
      </c>
      <c r="N122" s="449" t="str">
        <f t="shared" si="11"/>
        <v/>
      </c>
      <c r="O122" s="455" t="str">
        <f t="shared" si="12"/>
        <v/>
      </c>
      <c r="P122" s="455" t="str">
        <f t="shared" si="13"/>
        <v/>
      </c>
      <c r="Q122" s="455" t="str">
        <f t="shared" si="14"/>
        <v/>
      </c>
      <c r="R122" s="457">
        <f t="shared" si="16"/>
        <v>0</v>
      </c>
    </row>
    <row r="123" spans="2:18">
      <c r="B123" s="437"/>
      <c r="C123" s="437"/>
      <c r="D123" s="437"/>
      <c r="E123" s="437"/>
      <c r="F123" s="437">
        <f t="shared" si="17"/>
        <v>43</v>
      </c>
      <c r="G123" s="449" t="str">
        <f t="shared" si="7"/>
        <v/>
      </c>
      <c r="H123" s="455" t="str">
        <f t="shared" si="10"/>
        <v/>
      </c>
      <c r="I123" s="456" t="str">
        <f t="shared" si="20"/>
        <v/>
      </c>
      <c r="J123" s="456" t="str">
        <f t="shared" si="21"/>
        <v/>
      </c>
      <c r="K123" s="457">
        <f t="shared" si="15"/>
        <v>-1.1801603250205517E-8</v>
      </c>
      <c r="L123" s="458"/>
      <c r="M123" s="437">
        <f t="shared" si="18"/>
        <v>43</v>
      </c>
      <c r="N123" s="449" t="str">
        <f t="shared" si="11"/>
        <v/>
      </c>
      <c r="O123" s="455" t="str">
        <f t="shared" si="12"/>
        <v/>
      </c>
      <c r="P123" s="455" t="str">
        <f t="shared" si="13"/>
        <v/>
      </c>
      <c r="Q123" s="455" t="str">
        <f t="shared" si="14"/>
        <v/>
      </c>
      <c r="R123" s="457">
        <f t="shared" si="16"/>
        <v>0</v>
      </c>
    </row>
    <row r="124" spans="2:18">
      <c r="B124" s="437"/>
      <c r="C124" s="437"/>
      <c r="D124" s="437"/>
      <c r="E124" s="437"/>
      <c r="F124" s="437">
        <f t="shared" si="17"/>
        <v>44</v>
      </c>
      <c r="G124" s="449" t="str">
        <f t="shared" si="7"/>
        <v/>
      </c>
      <c r="H124" s="455" t="str">
        <f t="shared" si="10"/>
        <v/>
      </c>
      <c r="I124" s="456" t="str">
        <f t="shared" si="20"/>
        <v/>
      </c>
      <c r="J124" s="456" t="str">
        <f t="shared" si="21"/>
        <v/>
      </c>
      <c r="K124" s="457">
        <f t="shared" si="15"/>
        <v>-1.1801603250205517E-8</v>
      </c>
      <c r="L124" s="458"/>
      <c r="M124" s="437">
        <f t="shared" si="18"/>
        <v>44</v>
      </c>
      <c r="N124" s="449" t="str">
        <f t="shared" si="11"/>
        <v/>
      </c>
      <c r="O124" s="455" t="str">
        <f t="shared" si="12"/>
        <v/>
      </c>
      <c r="P124" s="455" t="str">
        <f t="shared" si="13"/>
        <v/>
      </c>
      <c r="Q124" s="455" t="str">
        <f t="shared" si="14"/>
        <v/>
      </c>
      <c r="R124" s="457">
        <f t="shared" si="16"/>
        <v>0</v>
      </c>
    </row>
    <row r="125" spans="2:18">
      <c r="B125" s="437"/>
      <c r="C125" s="437"/>
      <c r="D125" s="437"/>
      <c r="E125" s="437"/>
      <c r="F125" s="437">
        <f t="shared" si="17"/>
        <v>45</v>
      </c>
      <c r="G125" s="449" t="str">
        <f t="shared" si="7"/>
        <v/>
      </c>
      <c r="H125" s="455" t="str">
        <f t="shared" si="10"/>
        <v/>
      </c>
      <c r="I125" s="456" t="str">
        <f t="shared" si="20"/>
        <v/>
      </c>
      <c r="J125" s="456" t="str">
        <f t="shared" si="21"/>
        <v/>
      </c>
      <c r="K125" s="457">
        <f t="shared" si="15"/>
        <v>-1.1801603250205517E-8</v>
      </c>
      <c r="L125" s="458"/>
      <c r="M125" s="437">
        <f t="shared" si="18"/>
        <v>45</v>
      </c>
      <c r="N125" s="449" t="str">
        <f t="shared" si="11"/>
        <v/>
      </c>
      <c r="O125" s="455" t="str">
        <f t="shared" si="12"/>
        <v/>
      </c>
      <c r="P125" s="455" t="str">
        <f t="shared" si="13"/>
        <v/>
      </c>
      <c r="Q125" s="455" t="str">
        <f t="shared" si="14"/>
        <v/>
      </c>
      <c r="R125" s="457">
        <f t="shared" si="16"/>
        <v>0</v>
      </c>
    </row>
    <row r="126" spans="2:18">
      <c r="B126" s="437"/>
      <c r="C126" s="437"/>
      <c r="D126" s="437"/>
      <c r="E126" s="437"/>
      <c r="F126" s="437">
        <f t="shared" si="17"/>
        <v>46</v>
      </c>
      <c r="G126" s="449" t="str">
        <f t="shared" si="7"/>
        <v/>
      </c>
      <c r="H126" s="455" t="str">
        <f t="shared" si="10"/>
        <v/>
      </c>
      <c r="I126" s="456" t="str">
        <f t="shared" si="20"/>
        <v/>
      </c>
      <c r="J126" s="456" t="str">
        <f t="shared" si="21"/>
        <v/>
      </c>
      <c r="K126" s="457">
        <f t="shared" si="15"/>
        <v>-1.1801603250205517E-8</v>
      </c>
      <c r="L126" s="458"/>
      <c r="M126" s="437">
        <f t="shared" si="18"/>
        <v>46</v>
      </c>
      <c r="N126" s="449" t="str">
        <f t="shared" si="11"/>
        <v/>
      </c>
      <c r="O126" s="455" t="str">
        <f t="shared" si="12"/>
        <v/>
      </c>
      <c r="P126" s="455" t="str">
        <f t="shared" si="13"/>
        <v/>
      </c>
      <c r="Q126" s="455" t="str">
        <f t="shared" si="14"/>
        <v/>
      </c>
      <c r="R126" s="457">
        <f t="shared" si="16"/>
        <v>0</v>
      </c>
    </row>
    <row r="127" spans="2:18">
      <c r="B127" s="437"/>
      <c r="C127" s="437"/>
      <c r="D127" s="437"/>
      <c r="E127" s="437"/>
      <c r="F127" s="437">
        <f t="shared" si="17"/>
        <v>47</v>
      </c>
      <c r="G127" s="449" t="str">
        <f t="shared" si="7"/>
        <v/>
      </c>
      <c r="H127" s="455" t="str">
        <f t="shared" si="10"/>
        <v/>
      </c>
      <c r="I127" s="456" t="str">
        <f t="shared" si="20"/>
        <v/>
      </c>
      <c r="J127" s="456" t="str">
        <f t="shared" si="21"/>
        <v/>
      </c>
      <c r="K127" s="457">
        <f t="shared" si="15"/>
        <v>-1.1801603250205517E-8</v>
      </c>
      <c r="L127" s="458"/>
      <c r="M127" s="437">
        <f t="shared" si="18"/>
        <v>47</v>
      </c>
      <c r="N127" s="449" t="str">
        <f t="shared" si="11"/>
        <v/>
      </c>
      <c r="O127" s="455" t="str">
        <f t="shared" si="12"/>
        <v/>
      </c>
      <c r="P127" s="455" t="str">
        <f t="shared" si="13"/>
        <v/>
      </c>
      <c r="Q127" s="455" t="str">
        <f t="shared" si="14"/>
        <v/>
      </c>
      <c r="R127" s="457">
        <f t="shared" si="16"/>
        <v>0</v>
      </c>
    </row>
    <row r="128" spans="2:18">
      <c r="B128" s="437"/>
      <c r="C128" s="437"/>
      <c r="D128" s="437"/>
      <c r="E128" s="437"/>
      <c r="F128" s="437">
        <f t="shared" si="17"/>
        <v>48</v>
      </c>
      <c r="G128" s="449" t="str">
        <f t="shared" si="7"/>
        <v/>
      </c>
      <c r="H128" s="455" t="str">
        <f t="shared" si="10"/>
        <v/>
      </c>
      <c r="I128" s="456" t="str">
        <f t="shared" si="20"/>
        <v/>
      </c>
      <c r="J128" s="456" t="str">
        <f t="shared" si="21"/>
        <v/>
      </c>
      <c r="K128" s="457">
        <f t="shared" si="15"/>
        <v>-1.1801603250205517E-8</v>
      </c>
      <c r="L128" s="458"/>
      <c r="M128" s="437">
        <f t="shared" si="18"/>
        <v>48</v>
      </c>
      <c r="N128" s="449" t="str">
        <f t="shared" si="11"/>
        <v/>
      </c>
      <c r="O128" s="455" t="str">
        <f t="shared" si="12"/>
        <v/>
      </c>
      <c r="P128" s="455" t="str">
        <f t="shared" si="13"/>
        <v/>
      </c>
      <c r="Q128" s="455" t="str">
        <f t="shared" si="14"/>
        <v/>
      </c>
      <c r="R128" s="457">
        <f t="shared" si="16"/>
        <v>0</v>
      </c>
    </row>
    <row r="129" spans="2:18">
      <c r="B129" s="437"/>
      <c r="C129" s="437"/>
      <c r="D129" s="437"/>
      <c r="E129" s="437"/>
      <c r="F129" s="437">
        <f t="shared" si="17"/>
        <v>49</v>
      </c>
      <c r="G129" s="449" t="str">
        <f t="shared" si="7"/>
        <v/>
      </c>
      <c r="H129" s="455" t="str">
        <f t="shared" si="10"/>
        <v/>
      </c>
      <c r="I129" s="456" t="str">
        <f t="shared" si="20"/>
        <v/>
      </c>
      <c r="J129" s="456" t="str">
        <f t="shared" si="21"/>
        <v/>
      </c>
      <c r="K129" s="457">
        <f t="shared" si="15"/>
        <v>-1.1801603250205517E-8</v>
      </c>
      <c r="L129" s="458"/>
      <c r="M129" s="437">
        <f t="shared" si="18"/>
        <v>49</v>
      </c>
      <c r="N129" s="449" t="str">
        <f t="shared" si="11"/>
        <v/>
      </c>
      <c r="O129" s="455" t="str">
        <f t="shared" si="12"/>
        <v/>
      </c>
      <c r="P129" s="455" t="str">
        <f t="shared" si="13"/>
        <v/>
      </c>
      <c r="Q129" s="455" t="str">
        <f t="shared" si="14"/>
        <v/>
      </c>
      <c r="R129" s="457">
        <f t="shared" si="16"/>
        <v>0</v>
      </c>
    </row>
    <row r="130" spans="2:18">
      <c r="B130" s="437"/>
      <c r="C130" s="437"/>
      <c r="D130" s="437"/>
      <c r="E130" s="437"/>
      <c r="F130" s="437">
        <f t="shared" si="17"/>
        <v>50</v>
      </c>
      <c r="G130" s="449" t="str">
        <f t="shared" si="7"/>
        <v/>
      </c>
      <c r="H130" s="455" t="str">
        <f t="shared" si="10"/>
        <v/>
      </c>
      <c r="I130" s="456" t="str">
        <f t="shared" si="20"/>
        <v/>
      </c>
      <c r="J130" s="456" t="str">
        <f t="shared" si="21"/>
        <v/>
      </c>
      <c r="K130" s="457">
        <f t="shared" si="15"/>
        <v>-1.1801603250205517E-8</v>
      </c>
      <c r="L130" s="458"/>
      <c r="M130" s="437">
        <f t="shared" si="18"/>
        <v>50</v>
      </c>
      <c r="N130" s="449" t="str">
        <f t="shared" si="11"/>
        <v/>
      </c>
      <c r="O130" s="455" t="str">
        <f t="shared" si="12"/>
        <v/>
      </c>
      <c r="P130" s="455" t="str">
        <f t="shared" si="13"/>
        <v/>
      </c>
      <c r="Q130" s="455" t="str">
        <f t="shared" si="14"/>
        <v/>
      </c>
      <c r="R130" s="457">
        <f t="shared" si="16"/>
        <v>0</v>
      </c>
    </row>
    <row r="131" spans="2:18">
      <c r="B131" s="437"/>
      <c r="C131" s="437"/>
      <c r="D131" s="437"/>
      <c r="E131" s="437"/>
      <c r="F131" s="437">
        <f t="shared" si="17"/>
        <v>51</v>
      </c>
      <c r="G131" s="449" t="str">
        <f t="shared" si="7"/>
        <v/>
      </c>
      <c r="H131" s="455" t="str">
        <f t="shared" si="10"/>
        <v/>
      </c>
      <c r="I131" s="456" t="str">
        <f t="shared" si="20"/>
        <v/>
      </c>
      <c r="J131" s="456" t="str">
        <f t="shared" si="21"/>
        <v/>
      </c>
      <c r="K131" s="457">
        <f t="shared" si="15"/>
        <v>-1.1801603250205517E-8</v>
      </c>
      <c r="L131" s="458"/>
      <c r="M131" s="437">
        <f t="shared" si="18"/>
        <v>51</v>
      </c>
      <c r="N131" s="449" t="str">
        <f t="shared" si="11"/>
        <v/>
      </c>
      <c r="O131" s="455" t="str">
        <f t="shared" si="12"/>
        <v/>
      </c>
      <c r="P131" s="455" t="str">
        <f t="shared" si="13"/>
        <v/>
      </c>
      <c r="Q131" s="455" t="str">
        <f t="shared" si="14"/>
        <v/>
      </c>
      <c r="R131" s="457">
        <f t="shared" si="16"/>
        <v>0</v>
      </c>
    </row>
    <row r="132" spans="2:18">
      <c r="B132" s="437"/>
      <c r="C132" s="437"/>
      <c r="D132" s="437"/>
      <c r="E132" s="437"/>
      <c r="F132" s="437">
        <f t="shared" si="17"/>
        <v>52</v>
      </c>
      <c r="G132" s="449" t="str">
        <f t="shared" si="7"/>
        <v/>
      </c>
      <c r="H132" s="455" t="str">
        <f t="shared" si="10"/>
        <v/>
      </c>
      <c r="I132" s="456" t="str">
        <f t="shared" si="20"/>
        <v/>
      </c>
      <c r="J132" s="456" t="str">
        <f t="shared" si="21"/>
        <v/>
      </c>
      <c r="K132" s="457">
        <f t="shared" si="15"/>
        <v>-1.1801603250205517E-8</v>
      </c>
      <c r="L132" s="458"/>
      <c r="M132" s="437">
        <f t="shared" si="18"/>
        <v>52</v>
      </c>
      <c r="N132" s="449" t="str">
        <f t="shared" si="11"/>
        <v/>
      </c>
      <c r="O132" s="455" t="str">
        <f t="shared" si="12"/>
        <v/>
      </c>
      <c r="P132" s="455" t="str">
        <f t="shared" si="13"/>
        <v/>
      </c>
      <c r="Q132" s="455" t="str">
        <f t="shared" si="14"/>
        <v/>
      </c>
      <c r="R132" s="457">
        <f t="shared" si="16"/>
        <v>0</v>
      </c>
    </row>
    <row r="133" spans="2:18">
      <c r="B133" s="437"/>
      <c r="C133" s="437"/>
      <c r="D133" s="437"/>
      <c r="E133" s="437"/>
      <c r="F133" s="437">
        <f t="shared" si="17"/>
        <v>53</v>
      </c>
      <c r="G133" s="449" t="str">
        <f t="shared" si="7"/>
        <v/>
      </c>
      <c r="H133" s="455" t="str">
        <f t="shared" si="10"/>
        <v/>
      </c>
      <c r="I133" s="456" t="str">
        <f t="shared" si="20"/>
        <v/>
      </c>
      <c r="J133" s="456" t="str">
        <f t="shared" si="21"/>
        <v/>
      </c>
      <c r="K133" s="457">
        <f t="shared" si="15"/>
        <v>-1.1801603250205517E-8</v>
      </c>
      <c r="L133" s="458"/>
      <c r="M133" s="437">
        <f t="shared" si="18"/>
        <v>53</v>
      </c>
      <c r="N133" s="449" t="str">
        <f t="shared" si="11"/>
        <v/>
      </c>
      <c r="O133" s="455" t="str">
        <f t="shared" si="12"/>
        <v/>
      </c>
      <c r="P133" s="455" t="str">
        <f t="shared" si="13"/>
        <v/>
      </c>
      <c r="Q133" s="455" t="str">
        <f t="shared" si="14"/>
        <v/>
      </c>
      <c r="R133" s="457">
        <f t="shared" si="16"/>
        <v>0</v>
      </c>
    </row>
    <row r="134" spans="2:18">
      <c r="B134" s="437"/>
      <c r="C134" s="437"/>
      <c r="D134" s="437"/>
      <c r="E134" s="437"/>
      <c r="F134" s="437">
        <f t="shared" si="17"/>
        <v>54</v>
      </c>
      <c r="G134" s="449" t="str">
        <f t="shared" si="7"/>
        <v/>
      </c>
      <c r="H134" s="455" t="str">
        <f t="shared" si="10"/>
        <v/>
      </c>
      <c r="I134" s="456" t="str">
        <f t="shared" si="20"/>
        <v/>
      </c>
      <c r="J134" s="456" t="str">
        <f t="shared" si="21"/>
        <v/>
      </c>
      <c r="K134" s="457">
        <f t="shared" si="15"/>
        <v>-1.1801603250205517E-8</v>
      </c>
      <c r="L134" s="458"/>
      <c r="M134" s="437">
        <f t="shared" si="18"/>
        <v>54</v>
      </c>
      <c r="N134" s="449" t="str">
        <f t="shared" si="11"/>
        <v/>
      </c>
      <c r="O134" s="455" t="str">
        <f t="shared" si="12"/>
        <v/>
      </c>
      <c r="P134" s="455" t="str">
        <f t="shared" si="13"/>
        <v/>
      </c>
      <c r="Q134" s="455" t="str">
        <f t="shared" si="14"/>
        <v/>
      </c>
      <c r="R134" s="457">
        <f t="shared" si="16"/>
        <v>0</v>
      </c>
    </row>
    <row r="135" spans="2:18">
      <c r="B135" s="437"/>
      <c r="C135" s="437"/>
      <c r="D135" s="437"/>
      <c r="E135" s="437"/>
      <c r="F135" s="437">
        <f t="shared" si="17"/>
        <v>55</v>
      </c>
      <c r="G135" s="449" t="str">
        <f t="shared" si="7"/>
        <v/>
      </c>
      <c r="H135" s="455" t="str">
        <f t="shared" si="10"/>
        <v/>
      </c>
      <c r="I135" s="456" t="str">
        <f t="shared" si="20"/>
        <v/>
      </c>
      <c r="J135" s="456" t="str">
        <f t="shared" si="21"/>
        <v/>
      </c>
      <c r="K135" s="457">
        <f t="shared" si="15"/>
        <v>-1.1801603250205517E-8</v>
      </c>
      <c r="L135" s="458"/>
      <c r="M135" s="437">
        <f t="shared" si="18"/>
        <v>55</v>
      </c>
      <c r="N135" s="449" t="str">
        <f t="shared" si="11"/>
        <v/>
      </c>
      <c r="O135" s="455" t="str">
        <f t="shared" si="12"/>
        <v/>
      </c>
      <c r="P135" s="455" t="str">
        <f t="shared" si="13"/>
        <v/>
      </c>
      <c r="Q135" s="455" t="str">
        <f t="shared" si="14"/>
        <v/>
      </c>
      <c r="R135" s="457">
        <f t="shared" si="16"/>
        <v>0</v>
      </c>
    </row>
    <row r="136" spans="2:18">
      <c r="B136" s="437"/>
      <c r="C136" s="437"/>
      <c r="D136" s="437"/>
      <c r="E136" s="437"/>
      <c r="F136" s="437">
        <f t="shared" si="17"/>
        <v>56</v>
      </c>
      <c r="G136" s="449" t="str">
        <f t="shared" si="7"/>
        <v/>
      </c>
      <c r="H136" s="455" t="str">
        <f t="shared" si="10"/>
        <v/>
      </c>
      <c r="I136" s="456" t="str">
        <f t="shared" si="20"/>
        <v/>
      </c>
      <c r="J136" s="456" t="str">
        <f t="shared" si="21"/>
        <v/>
      </c>
      <c r="K136" s="457">
        <f t="shared" si="15"/>
        <v>-1.1801603250205517E-8</v>
      </c>
      <c r="L136" s="458"/>
      <c r="M136" s="437">
        <f t="shared" si="18"/>
        <v>56</v>
      </c>
      <c r="N136" s="449" t="str">
        <f t="shared" si="11"/>
        <v/>
      </c>
      <c r="O136" s="455" t="str">
        <f t="shared" si="12"/>
        <v/>
      </c>
      <c r="P136" s="455" t="str">
        <f t="shared" si="13"/>
        <v/>
      </c>
      <c r="Q136" s="455" t="str">
        <f t="shared" si="14"/>
        <v/>
      </c>
      <c r="R136" s="457">
        <f t="shared" si="16"/>
        <v>0</v>
      </c>
    </row>
    <row r="137" spans="2:18">
      <c r="B137" s="437"/>
      <c r="C137" s="437"/>
      <c r="D137" s="437"/>
      <c r="E137" s="437"/>
      <c r="F137" s="437">
        <f t="shared" si="17"/>
        <v>57</v>
      </c>
      <c r="G137" s="449" t="str">
        <f t="shared" si="7"/>
        <v/>
      </c>
      <c r="H137" s="455" t="str">
        <f t="shared" si="10"/>
        <v/>
      </c>
      <c r="I137" s="456" t="str">
        <f t="shared" si="20"/>
        <v/>
      </c>
      <c r="J137" s="456" t="str">
        <f t="shared" si="21"/>
        <v/>
      </c>
      <c r="K137" s="457">
        <f t="shared" si="15"/>
        <v>-1.1801603250205517E-8</v>
      </c>
      <c r="L137" s="458"/>
      <c r="M137" s="437">
        <f t="shared" si="18"/>
        <v>57</v>
      </c>
      <c r="N137" s="449" t="str">
        <f t="shared" si="11"/>
        <v/>
      </c>
      <c r="O137" s="455" t="str">
        <f t="shared" si="12"/>
        <v/>
      </c>
      <c r="P137" s="455" t="str">
        <f t="shared" si="13"/>
        <v/>
      </c>
      <c r="Q137" s="455" t="str">
        <f t="shared" si="14"/>
        <v/>
      </c>
      <c r="R137" s="457">
        <f t="shared" si="16"/>
        <v>0</v>
      </c>
    </row>
    <row r="138" spans="2:18">
      <c r="B138" s="437"/>
      <c r="C138" s="437"/>
      <c r="D138" s="437"/>
      <c r="E138" s="437"/>
      <c r="F138" s="437">
        <f t="shared" si="17"/>
        <v>58</v>
      </c>
      <c r="G138" s="449" t="str">
        <f t="shared" si="7"/>
        <v/>
      </c>
      <c r="H138" s="455" t="str">
        <f t="shared" si="10"/>
        <v/>
      </c>
      <c r="I138" s="456" t="str">
        <f t="shared" si="20"/>
        <v/>
      </c>
      <c r="J138" s="456" t="str">
        <f t="shared" si="21"/>
        <v/>
      </c>
      <c r="K138" s="457">
        <f t="shared" si="15"/>
        <v>-1.1801603250205517E-8</v>
      </c>
      <c r="L138" s="458"/>
      <c r="M138" s="437">
        <f t="shared" si="18"/>
        <v>58</v>
      </c>
      <c r="N138" s="449" t="str">
        <f t="shared" si="11"/>
        <v/>
      </c>
      <c r="O138" s="455" t="str">
        <f t="shared" si="12"/>
        <v/>
      </c>
      <c r="P138" s="455" t="str">
        <f t="shared" si="13"/>
        <v/>
      </c>
      <c r="Q138" s="455" t="str">
        <f t="shared" si="14"/>
        <v/>
      </c>
      <c r="R138" s="457">
        <f t="shared" si="16"/>
        <v>0</v>
      </c>
    </row>
    <row r="139" spans="2:18">
      <c r="B139" s="437"/>
      <c r="C139" s="437"/>
      <c r="D139" s="437"/>
      <c r="E139" s="437"/>
      <c r="F139" s="437">
        <f t="shared" si="17"/>
        <v>59</v>
      </c>
      <c r="G139" s="449" t="str">
        <f t="shared" si="7"/>
        <v/>
      </c>
      <c r="H139" s="455" t="str">
        <f t="shared" si="10"/>
        <v/>
      </c>
      <c r="I139" s="456" t="str">
        <f t="shared" si="20"/>
        <v/>
      </c>
      <c r="J139" s="456" t="str">
        <f t="shared" si="21"/>
        <v/>
      </c>
      <c r="K139" s="457">
        <f t="shared" si="15"/>
        <v>-1.1801603250205517E-8</v>
      </c>
      <c r="L139" s="458"/>
      <c r="M139" s="437">
        <f t="shared" si="18"/>
        <v>59</v>
      </c>
      <c r="N139" s="449" t="str">
        <f t="shared" si="11"/>
        <v/>
      </c>
      <c r="O139" s="455" t="str">
        <f t="shared" si="12"/>
        <v/>
      </c>
      <c r="P139" s="455" t="str">
        <f t="shared" si="13"/>
        <v/>
      </c>
      <c r="Q139" s="455" t="str">
        <f t="shared" si="14"/>
        <v/>
      </c>
      <c r="R139" s="457">
        <f t="shared" si="16"/>
        <v>0</v>
      </c>
    </row>
    <row r="140" spans="2:18">
      <c r="B140" s="437"/>
      <c r="C140" s="437"/>
      <c r="D140" s="437"/>
      <c r="E140" s="437"/>
      <c r="F140" s="437">
        <f t="shared" si="17"/>
        <v>60</v>
      </c>
      <c r="G140" s="449" t="str">
        <f t="shared" si="7"/>
        <v/>
      </c>
      <c r="H140" s="455" t="str">
        <f t="shared" si="10"/>
        <v/>
      </c>
      <c r="I140" s="456" t="str">
        <f t="shared" si="20"/>
        <v/>
      </c>
      <c r="J140" s="456" t="str">
        <f t="shared" si="21"/>
        <v/>
      </c>
      <c r="K140" s="457">
        <f t="shared" si="15"/>
        <v>-1.1801603250205517E-8</v>
      </c>
      <c r="L140" s="458"/>
      <c r="M140" s="437">
        <f t="shared" si="18"/>
        <v>60</v>
      </c>
      <c r="N140" s="449" t="str">
        <f t="shared" si="11"/>
        <v/>
      </c>
      <c r="O140" s="455" t="str">
        <f t="shared" si="12"/>
        <v/>
      </c>
      <c r="P140" s="455" t="str">
        <f t="shared" si="13"/>
        <v/>
      </c>
      <c r="Q140" s="455" t="str">
        <f t="shared" si="14"/>
        <v/>
      </c>
      <c r="R140" s="457">
        <f t="shared" si="16"/>
        <v>0</v>
      </c>
    </row>
    <row r="141" spans="2:18">
      <c r="B141" s="437"/>
      <c r="C141" s="437"/>
      <c r="D141" s="437"/>
      <c r="E141" s="437"/>
      <c r="F141" s="437"/>
      <c r="G141" s="480"/>
      <c r="H141" s="481">
        <f>SUBTOTAL(9,H81:H140)</f>
        <v>1437814.1367218625</v>
      </c>
      <c r="I141" s="481">
        <f>SUBTOTAL(9,I81:I140)</f>
        <v>1200000.0000000114</v>
      </c>
      <c r="J141" s="481">
        <f>SUBTOTAL(9,J81:J140)</f>
        <v>237814.13672185104</v>
      </c>
      <c r="K141" s="462"/>
      <c r="L141" s="462"/>
      <c r="M141" s="437"/>
      <c r="N141" s="480"/>
      <c r="O141" s="481">
        <f>SUBTOTAL(9,O81:O140)</f>
        <v>1416000</v>
      </c>
      <c r="P141" s="481">
        <f>SUBTOTAL(9,P81:P140)</f>
        <v>1200000</v>
      </c>
      <c r="Q141" s="481">
        <f>SUBTOTAL(9,Q81:Q140)</f>
        <v>432000</v>
      </c>
      <c r="R141" s="462"/>
    </row>
  </sheetData>
  <sheetProtection sheet="1" objects="1" scenarios="1"/>
  <mergeCells count="7">
    <mergeCell ref="G75:K75"/>
    <mergeCell ref="N75:R75"/>
    <mergeCell ref="B78:C78"/>
    <mergeCell ref="G78:G79"/>
    <mergeCell ref="H78:K78"/>
    <mergeCell ref="N78:N79"/>
    <mergeCell ref="O78:R78"/>
  </mergeCells>
  <conditionalFormatting sqref="H81:J140">
    <cfRule type="cellIs" dxfId="9" priority="4" operator="equal">
      <formula>""</formula>
    </cfRule>
  </conditionalFormatting>
  <conditionalFormatting sqref="Q81:Q140">
    <cfRule type="cellIs" dxfId="8" priority="1" operator="equal">
      <formula>""</formula>
    </cfRule>
  </conditionalFormatting>
  <conditionalFormatting sqref="O81:O140">
    <cfRule type="cellIs" dxfId="7" priority="3" operator="equal">
      <formula>""</formula>
    </cfRule>
  </conditionalFormatting>
  <conditionalFormatting sqref="P81:P140">
    <cfRule type="cellIs" dxfId="6" priority="2" operator="equal">
      <formula>""</formula>
    </cfRule>
  </conditionalFormatting>
  <pageMargins left="0.7" right="0.7" top="0.75" bottom="0.75" header="0.3" footer="0.3"/>
  <pageSetup scale="81" orientation="portrait" r:id="rId1"/>
  <colBreaks count="2" manualBreakCount="2">
    <brk id="5" min="74" max="140" man="1"/>
    <brk id="12" min="74" max="140" man="1"/>
  </colBreaks>
  <drawing r:id="rId2"/>
  <legacyDrawing r:id="rId3"/>
</worksheet>
</file>

<file path=xl/worksheets/sheet9.xml><?xml version="1.0" encoding="utf-8"?>
<worksheet xmlns="http://schemas.openxmlformats.org/spreadsheetml/2006/main" xmlns:r="http://schemas.openxmlformats.org/officeDocument/2006/relationships">
  <dimension ref="A1:J497"/>
  <sheetViews>
    <sheetView showGridLines="0" workbookViewId="0">
      <pane ySplit="17" topLeftCell="A23" activePane="bottomLeft" state="frozenSplit"/>
      <selection pane="bottomLeft" activeCell="D7" sqref="D7"/>
    </sheetView>
  </sheetViews>
  <sheetFormatPr defaultColWidth="8.28515625" defaultRowHeight="12.75"/>
  <cols>
    <col min="1" max="1" width="5.7109375" style="3" customWidth="1"/>
    <col min="2" max="2" width="14.28515625" style="2" customWidth="1"/>
    <col min="3" max="3" width="19.7109375" style="2" customWidth="1"/>
    <col min="4" max="8" width="13.42578125" style="2" customWidth="1"/>
    <col min="9" max="10" width="19.7109375" style="2" customWidth="1"/>
    <col min="11" max="16384" width="8.28515625" style="1"/>
  </cols>
  <sheetData>
    <row r="1" spans="1:10" ht="24" customHeight="1">
      <c r="A1" s="36" t="s">
        <v>24</v>
      </c>
      <c r="B1" s="35"/>
      <c r="C1" s="35"/>
      <c r="D1" s="35"/>
      <c r="E1" s="22"/>
      <c r="F1" s="22"/>
      <c r="G1" s="22"/>
      <c r="H1" s="22"/>
      <c r="I1" s="22"/>
      <c r="J1" s="22"/>
    </row>
    <row r="2" spans="1:10" ht="3" customHeight="1">
      <c r="A2" s="18"/>
      <c r="B2" s="17"/>
      <c r="C2" s="17"/>
      <c r="D2" s="17"/>
      <c r="E2" s="17"/>
      <c r="F2" s="17"/>
      <c r="G2" s="17"/>
      <c r="H2" s="17"/>
      <c r="I2" s="17"/>
      <c r="J2" s="17"/>
    </row>
    <row r="3" spans="1:10" ht="20.25" customHeight="1">
      <c r="A3" s="22"/>
      <c r="B3" s="19"/>
      <c r="C3" s="19"/>
      <c r="D3" s="19"/>
      <c r="E3" s="19"/>
      <c r="F3" s="19"/>
      <c r="G3" s="19"/>
      <c r="H3" s="19"/>
      <c r="I3" s="19"/>
      <c r="J3" s="19"/>
    </row>
    <row r="4" spans="1:10" ht="14.25" customHeight="1">
      <c r="A4" s="22"/>
      <c r="B4" s="799" t="s">
        <v>23</v>
      </c>
      <c r="C4" s="800"/>
      <c r="D4" s="801"/>
      <c r="E4" s="22"/>
      <c r="F4" s="1"/>
      <c r="G4" s="1"/>
      <c r="H4" s="799" t="s">
        <v>22</v>
      </c>
      <c r="I4" s="800"/>
      <c r="J4" s="801"/>
    </row>
    <row r="5" spans="1:10">
      <c r="A5" s="22"/>
      <c r="B5" s="31"/>
      <c r="C5" s="30" t="s">
        <v>21</v>
      </c>
      <c r="D5" s="25">
        <f>'(7)Repayment Schedule'!C79</f>
        <v>1200000</v>
      </c>
      <c r="E5" s="22"/>
      <c r="F5" s="1"/>
      <c r="G5" s="1"/>
      <c r="H5" s="31"/>
      <c r="I5" s="30" t="s">
        <v>20</v>
      </c>
      <c r="J5" s="28">
        <f>IF(Values_Entered,-PMT(Interest_Rate/Num_Pmt_Per_Year,Loan_Years*Num_Pmt_Per_Year,Loan_Amount),"")</f>
        <v>59908.922363410937</v>
      </c>
    </row>
    <row r="6" spans="1:10">
      <c r="A6" s="22"/>
      <c r="B6" s="31"/>
      <c r="C6" s="30" t="s">
        <v>19</v>
      </c>
      <c r="D6" s="34">
        <f>'(7)Repayment Schedule'!C80</f>
        <v>0.18</v>
      </c>
      <c r="E6" s="22"/>
      <c r="F6" s="1"/>
      <c r="G6" s="1"/>
      <c r="H6" s="31"/>
      <c r="I6" s="30" t="s">
        <v>18</v>
      </c>
      <c r="J6" s="33">
        <f>IF(Values_Entered,Loan_Years*Num_Pmt_Per_Year,"")</f>
        <v>24</v>
      </c>
    </row>
    <row r="7" spans="1:10">
      <c r="A7" s="22"/>
      <c r="B7" s="31"/>
      <c r="C7" s="30" t="s">
        <v>17</v>
      </c>
      <c r="D7" s="32">
        <v>2</v>
      </c>
      <c r="E7" s="22"/>
      <c r="F7" s="1"/>
      <c r="G7" s="1"/>
      <c r="H7" s="31"/>
      <c r="I7" s="30" t="s">
        <v>16</v>
      </c>
      <c r="J7" s="33">
        <f>IF(Values_Entered,Number_of_Payments,"")</f>
        <v>24</v>
      </c>
    </row>
    <row r="8" spans="1:10">
      <c r="A8" s="22"/>
      <c r="B8" s="31"/>
      <c r="C8" s="30" t="s">
        <v>15</v>
      </c>
      <c r="D8" s="32">
        <v>12</v>
      </c>
      <c r="E8" s="22"/>
      <c r="F8" s="1"/>
      <c r="G8" s="1"/>
      <c r="H8" s="31"/>
      <c r="I8" s="30" t="s">
        <v>14</v>
      </c>
      <c r="J8" s="28">
        <f>IF(Values_Entered,SUMIF(Beg_Bal,"&gt;0",Extra_Pay),"")</f>
        <v>0</v>
      </c>
    </row>
    <row r="9" spans="1:10">
      <c r="A9" s="22"/>
      <c r="B9" s="31"/>
      <c r="C9" s="30" t="s">
        <v>13</v>
      </c>
      <c r="D9" s="29">
        <v>44562</v>
      </c>
      <c r="E9" s="22"/>
      <c r="F9" s="1"/>
      <c r="G9" s="1"/>
      <c r="H9" s="27"/>
      <c r="I9" s="26" t="s">
        <v>12</v>
      </c>
      <c r="J9" s="28">
        <f>IF(Values_Entered,SUMIF(Beg_Bal,"&gt;0",Int),"")</f>
        <v>237814.13672184906</v>
      </c>
    </row>
    <row r="10" spans="1:10">
      <c r="A10" s="22"/>
      <c r="B10" s="27"/>
      <c r="C10" s="26" t="s">
        <v>11</v>
      </c>
      <c r="D10" s="25"/>
      <c r="E10" s="22"/>
      <c r="F10" s="19"/>
      <c r="G10" s="19"/>
      <c r="H10" s="19"/>
      <c r="I10" s="19"/>
      <c r="J10" s="24"/>
    </row>
    <row r="11" spans="1:10">
      <c r="A11" s="22"/>
      <c r="B11" s="19"/>
      <c r="C11" s="19"/>
      <c r="D11" s="19"/>
      <c r="E11" s="19"/>
      <c r="F11" s="19"/>
      <c r="G11" s="19"/>
      <c r="H11" s="19"/>
      <c r="I11" s="19"/>
      <c r="J11" s="19"/>
    </row>
    <row r="12" spans="1:10">
      <c r="A12" s="22"/>
      <c r="B12" s="21" t="s">
        <v>10</v>
      </c>
      <c r="C12" s="797"/>
      <c r="D12" s="798"/>
      <c r="E12" s="23"/>
      <c r="F12" s="19"/>
      <c r="G12" s="19"/>
      <c r="H12" s="19"/>
      <c r="I12" s="19"/>
      <c r="J12" s="19"/>
    </row>
    <row r="13" spans="1:10">
      <c r="A13" s="22"/>
      <c r="B13" s="21"/>
      <c r="C13" s="20"/>
      <c r="D13" s="20"/>
      <c r="E13" s="19"/>
      <c r="F13" s="19"/>
      <c r="G13" s="19"/>
      <c r="H13" s="19"/>
      <c r="I13" s="19"/>
      <c r="J13" s="19"/>
    </row>
    <row r="14" spans="1:10" ht="6" customHeight="1">
      <c r="A14" s="18"/>
      <c r="B14" s="17"/>
      <c r="C14" s="17"/>
      <c r="D14" s="17"/>
      <c r="E14" s="17"/>
      <c r="F14" s="17"/>
      <c r="G14" s="17"/>
      <c r="H14" s="17"/>
      <c r="I14" s="17"/>
      <c r="J14" s="17"/>
    </row>
    <row r="15" spans="1:10" ht="3.75" customHeight="1">
      <c r="A15" s="16"/>
      <c r="B15" s="15"/>
      <c r="C15" s="15"/>
      <c r="D15" s="15"/>
      <c r="E15" s="15"/>
      <c r="F15" s="15"/>
      <c r="G15" s="15"/>
      <c r="H15" s="15"/>
      <c r="I15" s="15"/>
      <c r="J15" s="15"/>
    </row>
    <row r="16" spans="1:10" s="8" customFormat="1" ht="25.5">
      <c r="A16" s="14" t="s">
        <v>9</v>
      </c>
      <c r="B16" s="13" t="s">
        <v>8</v>
      </c>
      <c r="C16" s="13" t="s">
        <v>7</v>
      </c>
      <c r="D16" s="13" t="s">
        <v>6</v>
      </c>
      <c r="E16" s="13" t="s">
        <v>5</v>
      </c>
      <c r="F16" s="13" t="s">
        <v>4</v>
      </c>
      <c r="G16" s="13" t="s">
        <v>3</v>
      </c>
      <c r="H16" s="13" t="s">
        <v>2</v>
      </c>
      <c r="I16" s="13" t="s">
        <v>1</v>
      </c>
      <c r="J16" s="12" t="s">
        <v>0</v>
      </c>
    </row>
    <row r="17" spans="1:10" s="8" customFormat="1" ht="6" customHeight="1">
      <c r="A17" s="11"/>
      <c r="B17" s="10"/>
      <c r="C17" s="10"/>
      <c r="D17" s="10"/>
      <c r="E17" s="10"/>
      <c r="F17" s="10"/>
      <c r="G17" s="10"/>
      <c r="H17" s="10"/>
      <c r="I17" s="10"/>
      <c r="J17" s="9"/>
    </row>
    <row r="18" spans="1:10" s="8" customFormat="1">
      <c r="A18" s="7">
        <f>IF(Values_Entered,1,"")</f>
        <v>1</v>
      </c>
      <c r="B18" s="6">
        <f t="shared" ref="B18:B81" si="0">IF(Pay_Num&lt;&gt;"",DATE(YEAR(Loan_Start),MONTH(Loan_Start)+(Pay_Num)*12/Num_Pmt_Per_Year,DAY(Loan_Start)),"")</f>
        <v>44593</v>
      </c>
      <c r="C18" s="4">
        <f>IF(Values_Entered,Loan_Amount,"")</f>
        <v>1200000</v>
      </c>
      <c r="D18" s="4">
        <f t="shared" ref="D18:D81" si="1">IF(Pay_Num&lt;&gt;"",Scheduled_Monthly_Payment,"")</f>
        <v>59908.922363410937</v>
      </c>
      <c r="E18" s="5">
        <f t="shared" ref="E18:E81" si="2">IF(AND(Pay_Num&lt;&gt;"",Sched_Pay+Scheduled_Extra_Payments&lt;Beg_Bal),Scheduled_Extra_Payments,IF(AND(Pay_Num&lt;&gt;"",Beg_Bal-Sched_Pay&gt;0),Beg_Bal-Sched_Pay,IF(Pay_Num&lt;&gt;"",0,"")))</f>
        <v>0</v>
      </c>
      <c r="F18" s="4">
        <f t="shared" ref="F18:F81" si="3">IF(AND(Pay_Num&lt;&gt;"",Sched_Pay+Extra_Pay&lt;Beg_Bal),Sched_Pay+Extra_Pay,IF(Pay_Num&lt;&gt;"",Beg_Bal,""))</f>
        <v>59908.922363410937</v>
      </c>
      <c r="G18" s="4">
        <f t="shared" ref="G18:G81" si="4">IF(Pay_Num&lt;&gt;"",Total_Pay-Int,"")</f>
        <v>41908.922363410937</v>
      </c>
      <c r="H18" s="4">
        <f>IF(Pay_Num&lt;&gt;"",Beg_Bal*(Interest_Rate/Num_Pmt_Per_Year),"")</f>
        <v>18000</v>
      </c>
      <c r="I18" s="4">
        <f t="shared" ref="I18:I81" si="5">IF(AND(Pay_Num&lt;&gt;"",Sched_Pay+Extra_Pay&lt;Beg_Bal),Beg_Bal-Princ,IF(Pay_Num&lt;&gt;"",0,""))</f>
        <v>1158091.0776365891</v>
      </c>
      <c r="J18" s="4">
        <f>SUM($H$18:$H18)</f>
        <v>18000</v>
      </c>
    </row>
    <row r="19" spans="1:10" s="8" customFormat="1" ht="12.75" customHeight="1">
      <c r="A19" s="7">
        <f>IF(Values_Entered,A18+1,"")</f>
        <v>2</v>
      </c>
      <c r="B19" s="6">
        <f t="shared" si="0"/>
        <v>44621</v>
      </c>
      <c r="C19" s="4">
        <f t="shared" ref="C19:C82" si="6">IF(Pay_Num&lt;&gt;"",I18,"")</f>
        <v>1158091.0776365891</v>
      </c>
      <c r="D19" s="4">
        <f t="shared" si="1"/>
        <v>59908.922363410937</v>
      </c>
      <c r="E19" s="5">
        <f t="shared" si="2"/>
        <v>0</v>
      </c>
      <c r="F19" s="4">
        <f t="shared" si="3"/>
        <v>59908.922363410937</v>
      </c>
      <c r="G19" s="4">
        <f t="shared" si="4"/>
        <v>42537.556198862105</v>
      </c>
      <c r="H19" s="4">
        <f t="shared" ref="H19:H82" si="7">IF(Pay_Num&lt;&gt;"",Beg_Bal*Interest_Rate/Num_Pmt_Per_Year,"")</f>
        <v>17371.366164548836</v>
      </c>
      <c r="I19" s="4">
        <f t="shared" si="5"/>
        <v>1115553.5214377269</v>
      </c>
      <c r="J19" s="4">
        <f>SUM($H$18:$H19)</f>
        <v>35371.366164548832</v>
      </c>
    </row>
    <row r="20" spans="1:10" s="8" customFormat="1" ht="12.75" customHeight="1">
      <c r="A20" s="7">
        <f>IF(Values_Entered,A19+1,"")</f>
        <v>3</v>
      </c>
      <c r="B20" s="6">
        <f t="shared" si="0"/>
        <v>44652</v>
      </c>
      <c r="C20" s="4">
        <f t="shared" si="6"/>
        <v>1115553.5214377269</v>
      </c>
      <c r="D20" s="4">
        <f t="shared" si="1"/>
        <v>59908.922363410937</v>
      </c>
      <c r="E20" s="5">
        <f t="shared" si="2"/>
        <v>0</v>
      </c>
      <c r="F20" s="4">
        <f t="shared" si="3"/>
        <v>59908.922363410937</v>
      </c>
      <c r="G20" s="4">
        <f t="shared" si="4"/>
        <v>43175.619541845037</v>
      </c>
      <c r="H20" s="4">
        <f t="shared" si="7"/>
        <v>16733.302821565903</v>
      </c>
      <c r="I20" s="4">
        <f t="shared" si="5"/>
        <v>1072377.9018958819</v>
      </c>
      <c r="J20" s="4">
        <f>SUM($H$18:$H20)</f>
        <v>52104.668986114732</v>
      </c>
    </row>
    <row r="21" spans="1:10" s="8" customFormat="1">
      <c r="A21" s="7">
        <f>IF(Values_Entered,A20+1,"")</f>
        <v>4</v>
      </c>
      <c r="B21" s="6">
        <f t="shared" si="0"/>
        <v>44682</v>
      </c>
      <c r="C21" s="4">
        <f t="shared" si="6"/>
        <v>1072377.9018958819</v>
      </c>
      <c r="D21" s="4">
        <f t="shared" si="1"/>
        <v>59908.922363410937</v>
      </c>
      <c r="E21" s="5">
        <f t="shared" si="2"/>
        <v>0</v>
      </c>
      <c r="F21" s="4">
        <f t="shared" si="3"/>
        <v>59908.922363410937</v>
      </c>
      <c r="G21" s="4">
        <f t="shared" si="4"/>
        <v>43823.253834972711</v>
      </c>
      <c r="H21" s="4">
        <f t="shared" si="7"/>
        <v>16085.668528438227</v>
      </c>
      <c r="I21" s="4">
        <f t="shared" si="5"/>
        <v>1028554.6480609091</v>
      </c>
      <c r="J21" s="4">
        <f>SUM($H$18:$H21)</f>
        <v>68190.337514552957</v>
      </c>
    </row>
    <row r="22" spans="1:10" s="8" customFormat="1">
      <c r="A22" s="7">
        <f>IF(Values_Entered,A21+1,"")</f>
        <v>5</v>
      </c>
      <c r="B22" s="6">
        <f t="shared" si="0"/>
        <v>44713</v>
      </c>
      <c r="C22" s="4">
        <f t="shared" si="6"/>
        <v>1028554.6480609091</v>
      </c>
      <c r="D22" s="4">
        <f t="shared" si="1"/>
        <v>59908.922363410937</v>
      </c>
      <c r="E22" s="5">
        <f t="shared" si="2"/>
        <v>0</v>
      </c>
      <c r="F22" s="4">
        <f t="shared" si="3"/>
        <v>59908.922363410937</v>
      </c>
      <c r="G22" s="4">
        <f t="shared" si="4"/>
        <v>44480.602642497302</v>
      </c>
      <c r="H22" s="4">
        <f t="shared" si="7"/>
        <v>15428.319720913636</v>
      </c>
      <c r="I22" s="4">
        <f t="shared" si="5"/>
        <v>984074.04541841184</v>
      </c>
      <c r="J22" s="4">
        <f>SUM($H$18:$H22)</f>
        <v>83618.657235466599</v>
      </c>
    </row>
    <row r="23" spans="1:10">
      <c r="A23" s="7">
        <f>IF(Values_Entered,A22+1,"")</f>
        <v>6</v>
      </c>
      <c r="B23" s="6">
        <f t="shared" si="0"/>
        <v>44743</v>
      </c>
      <c r="C23" s="4">
        <f t="shared" si="6"/>
        <v>984074.04541841184</v>
      </c>
      <c r="D23" s="4">
        <f t="shared" si="1"/>
        <v>59908.922363410937</v>
      </c>
      <c r="E23" s="5">
        <f t="shared" si="2"/>
        <v>0</v>
      </c>
      <c r="F23" s="4">
        <f t="shared" si="3"/>
        <v>59908.922363410937</v>
      </c>
      <c r="G23" s="4">
        <f t="shared" si="4"/>
        <v>45147.811682134758</v>
      </c>
      <c r="H23" s="4">
        <f t="shared" si="7"/>
        <v>14761.110681276177</v>
      </c>
      <c r="I23" s="4">
        <f t="shared" si="5"/>
        <v>938926.23373627709</v>
      </c>
      <c r="J23" s="4">
        <f>SUM($H$18:$H23)</f>
        <v>98379.76791674277</v>
      </c>
    </row>
    <row r="24" spans="1:10">
      <c r="A24" s="7">
        <f>IF(Values_Entered,A23+1,"")</f>
        <v>7</v>
      </c>
      <c r="B24" s="6">
        <f t="shared" si="0"/>
        <v>44774</v>
      </c>
      <c r="C24" s="4">
        <f t="shared" si="6"/>
        <v>938926.23373627709</v>
      </c>
      <c r="D24" s="4">
        <f t="shared" si="1"/>
        <v>59908.922363410937</v>
      </c>
      <c r="E24" s="5">
        <f t="shared" si="2"/>
        <v>0</v>
      </c>
      <c r="F24" s="4">
        <f t="shared" si="3"/>
        <v>59908.922363410937</v>
      </c>
      <c r="G24" s="4">
        <f t="shared" si="4"/>
        <v>45825.028857366779</v>
      </c>
      <c r="H24" s="4">
        <f t="shared" si="7"/>
        <v>14083.893506044156</v>
      </c>
      <c r="I24" s="4">
        <f t="shared" si="5"/>
        <v>893101.20487891033</v>
      </c>
      <c r="J24" s="4">
        <f>SUM($H$18:$H24)</f>
        <v>112463.66142278693</v>
      </c>
    </row>
    <row r="25" spans="1:10">
      <c r="A25" s="7">
        <f>IF(Values_Entered,A24+1,"")</f>
        <v>8</v>
      </c>
      <c r="B25" s="6">
        <f t="shared" si="0"/>
        <v>44805</v>
      </c>
      <c r="C25" s="4">
        <f t="shared" si="6"/>
        <v>893101.20487891033</v>
      </c>
      <c r="D25" s="4">
        <f t="shared" si="1"/>
        <v>59908.922363410937</v>
      </c>
      <c r="E25" s="5">
        <f t="shared" si="2"/>
        <v>0</v>
      </c>
      <c r="F25" s="4">
        <f t="shared" si="3"/>
        <v>59908.922363410937</v>
      </c>
      <c r="G25" s="4">
        <f t="shared" si="4"/>
        <v>46512.404290227285</v>
      </c>
      <c r="H25" s="4">
        <f t="shared" si="7"/>
        <v>13396.518073183654</v>
      </c>
      <c r="I25" s="4">
        <f t="shared" si="5"/>
        <v>846588.80058868299</v>
      </c>
      <c r="J25" s="4">
        <f>SUM($H$18:$H25)</f>
        <v>125860.17949597059</v>
      </c>
    </row>
    <row r="26" spans="1:10">
      <c r="A26" s="7">
        <f>IF(Values_Entered,A25+1,"")</f>
        <v>9</v>
      </c>
      <c r="B26" s="6">
        <f t="shared" si="0"/>
        <v>44835</v>
      </c>
      <c r="C26" s="4">
        <f t="shared" si="6"/>
        <v>846588.80058868299</v>
      </c>
      <c r="D26" s="4">
        <f t="shared" si="1"/>
        <v>59908.922363410937</v>
      </c>
      <c r="E26" s="5">
        <f t="shared" si="2"/>
        <v>0</v>
      </c>
      <c r="F26" s="4">
        <f t="shared" si="3"/>
        <v>59908.922363410937</v>
      </c>
      <c r="G26" s="4">
        <f t="shared" si="4"/>
        <v>47210.090354580694</v>
      </c>
      <c r="H26" s="4">
        <f t="shared" si="7"/>
        <v>12698.832008830244</v>
      </c>
      <c r="I26" s="4">
        <f t="shared" si="5"/>
        <v>799378.71023410233</v>
      </c>
      <c r="J26" s="4">
        <f>SUM($H$18:$H26)</f>
        <v>138559.01150480084</v>
      </c>
    </row>
    <row r="27" spans="1:10">
      <c r="A27" s="7">
        <f>IF(Values_Entered,A26+1,"")</f>
        <v>10</v>
      </c>
      <c r="B27" s="6">
        <f t="shared" si="0"/>
        <v>44866</v>
      </c>
      <c r="C27" s="4">
        <f t="shared" si="6"/>
        <v>799378.71023410233</v>
      </c>
      <c r="D27" s="4">
        <f t="shared" si="1"/>
        <v>59908.922363410937</v>
      </c>
      <c r="E27" s="5">
        <f t="shared" si="2"/>
        <v>0</v>
      </c>
      <c r="F27" s="4">
        <f t="shared" si="3"/>
        <v>59908.922363410937</v>
      </c>
      <c r="G27" s="4">
        <f t="shared" si="4"/>
        <v>47918.241709899405</v>
      </c>
      <c r="H27" s="4">
        <f t="shared" si="7"/>
        <v>11990.680653511534</v>
      </c>
      <c r="I27" s="4">
        <f t="shared" si="5"/>
        <v>751460.46852420294</v>
      </c>
      <c r="J27" s="4">
        <f>SUM($H$18:$H27)</f>
        <v>150549.69215831239</v>
      </c>
    </row>
    <row r="28" spans="1:10">
      <c r="A28" s="7">
        <f>IF(Values_Entered,A27+1,"")</f>
        <v>11</v>
      </c>
      <c r="B28" s="6">
        <f t="shared" si="0"/>
        <v>44896</v>
      </c>
      <c r="C28" s="4">
        <f t="shared" si="6"/>
        <v>751460.46852420294</v>
      </c>
      <c r="D28" s="4">
        <f t="shared" si="1"/>
        <v>59908.922363410937</v>
      </c>
      <c r="E28" s="5">
        <f t="shared" si="2"/>
        <v>0</v>
      </c>
      <c r="F28" s="4">
        <f t="shared" si="3"/>
        <v>59908.922363410937</v>
      </c>
      <c r="G28" s="4">
        <f t="shared" si="4"/>
        <v>48637.015335547891</v>
      </c>
      <c r="H28" s="4">
        <f t="shared" si="7"/>
        <v>11271.907027863044</v>
      </c>
      <c r="I28" s="4">
        <f t="shared" si="5"/>
        <v>702823.45318865508</v>
      </c>
      <c r="J28" s="4">
        <f>SUM($H$18:$H28)</f>
        <v>161821.59918617544</v>
      </c>
    </row>
    <row r="29" spans="1:10">
      <c r="A29" s="7">
        <f>IF(Values_Entered,A28+1,"")</f>
        <v>12</v>
      </c>
      <c r="B29" s="6">
        <f t="shared" si="0"/>
        <v>44927</v>
      </c>
      <c r="C29" s="4">
        <f t="shared" si="6"/>
        <v>702823.45318865508</v>
      </c>
      <c r="D29" s="4">
        <f t="shared" si="1"/>
        <v>59908.922363410937</v>
      </c>
      <c r="E29" s="5">
        <f t="shared" si="2"/>
        <v>0</v>
      </c>
      <c r="F29" s="4">
        <f t="shared" si="3"/>
        <v>59908.922363410937</v>
      </c>
      <c r="G29" s="4">
        <f t="shared" si="4"/>
        <v>49366.570565581111</v>
      </c>
      <c r="H29" s="4">
        <f t="shared" si="7"/>
        <v>10542.351797829826</v>
      </c>
      <c r="I29" s="4">
        <f t="shared" si="5"/>
        <v>653456.88262307399</v>
      </c>
      <c r="J29" s="4">
        <f>SUM($H$18:$H29)</f>
        <v>172363.95098400526</v>
      </c>
    </row>
    <row r="30" spans="1:10">
      <c r="A30" s="7">
        <f>IF(Values_Entered,A29+1,"")</f>
        <v>13</v>
      </c>
      <c r="B30" s="6">
        <f t="shared" si="0"/>
        <v>44958</v>
      </c>
      <c r="C30" s="4">
        <f t="shared" si="6"/>
        <v>653456.88262307399</v>
      </c>
      <c r="D30" s="4">
        <f t="shared" si="1"/>
        <v>59908.922363410937</v>
      </c>
      <c r="E30" s="5">
        <f t="shared" si="2"/>
        <v>0</v>
      </c>
      <c r="F30" s="4">
        <f t="shared" si="3"/>
        <v>59908.922363410937</v>
      </c>
      <c r="G30" s="4">
        <f t="shared" si="4"/>
        <v>50107.06912406483</v>
      </c>
      <c r="H30" s="4">
        <f t="shared" si="7"/>
        <v>9801.8532393461101</v>
      </c>
      <c r="I30" s="4">
        <f t="shared" si="5"/>
        <v>603349.81349900912</v>
      </c>
      <c r="J30" s="4">
        <f>SUM($H$18:$H30)</f>
        <v>182165.80422335138</v>
      </c>
    </row>
    <row r="31" spans="1:10">
      <c r="A31" s="7">
        <f>IF(Values_Entered,A30+1,"")</f>
        <v>14</v>
      </c>
      <c r="B31" s="6">
        <f t="shared" si="0"/>
        <v>44986</v>
      </c>
      <c r="C31" s="4">
        <f t="shared" si="6"/>
        <v>603349.81349900912</v>
      </c>
      <c r="D31" s="4">
        <f t="shared" si="1"/>
        <v>59908.922363410937</v>
      </c>
      <c r="E31" s="5">
        <f t="shared" si="2"/>
        <v>0</v>
      </c>
      <c r="F31" s="4">
        <f t="shared" si="3"/>
        <v>59908.922363410937</v>
      </c>
      <c r="G31" s="4">
        <f t="shared" si="4"/>
        <v>50858.675160925799</v>
      </c>
      <c r="H31" s="4">
        <f t="shared" si="7"/>
        <v>9050.2472024851359</v>
      </c>
      <c r="I31" s="4">
        <f t="shared" si="5"/>
        <v>552491.13833808328</v>
      </c>
      <c r="J31" s="4">
        <f>SUM($H$18:$H31)</f>
        <v>191216.05142583651</v>
      </c>
    </row>
    <row r="32" spans="1:10">
      <c r="A32" s="7">
        <f>IF(Values_Entered,A31+1,"")</f>
        <v>15</v>
      </c>
      <c r="B32" s="6">
        <f t="shared" si="0"/>
        <v>45017</v>
      </c>
      <c r="C32" s="4">
        <f t="shared" si="6"/>
        <v>552491.13833808328</v>
      </c>
      <c r="D32" s="4">
        <f t="shared" si="1"/>
        <v>59908.922363410937</v>
      </c>
      <c r="E32" s="5">
        <f t="shared" si="2"/>
        <v>0</v>
      </c>
      <c r="F32" s="4">
        <f t="shared" si="3"/>
        <v>59908.922363410937</v>
      </c>
      <c r="G32" s="4">
        <f t="shared" si="4"/>
        <v>51621.555288339689</v>
      </c>
      <c r="H32" s="4">
        <f t="shared" si="7"/>
        <v>8287.3670750712499</v>
      </c>
      <c r="I32" s="4">
        <f t="shared" si="5"/>
        <v>500869.58304974361</v>
      </c>
      <c r="J32" s="4">
        <f>SUM($H$18:$H32)</f>
        <v>199503.41850090778</v>
      </c>
    </row>
    <row r="33" spans="1:10">
      <c r="A33" s="7">
        <f>IF(Values_Entered,A32+1,"")</f>
        <v>16</v>
      </c>
      <c r="B33" s="6">
        <f t="shared" si="0"/>
        <v>45047</v>
      </c>
      <c r="C33" s="4">
        <f t="shared" si="6"/>
        <v>500869.58304974361</v>
      </c>
      <c r="D33" s="4">
        <f t="shared" si="1"/>
        <v>59908.922363410937</v>
      </c>
      <c r="E33" s="5">
        <f t="shared" si="2"/>
        <v>0</v>
      </c>
      <c r="F33" s="4">
        <f t="shared" si="3"/>
        <v>59908.922363410937</v>
      </c>
      <c r="G33" s="4">
        <f t="shared" si="4"/>
        <v>52395.878617664785</v>
      </c>
      <c r="H33" s="4">
        <f t="shared" si="7"/>
        <v>7513.043745746153</v>
      </c>
      <c r="I33" s="4">
        <f t="shared" si="5"/>
        <v>448473.70443207881</v>
      </c>
      <c r="J33" s="4">
        <f>SUM($H$18:$H33)</f>
        <v>207016.46224665394</v>
      </c>
    </row>
    <row r="34" spans="1:10">
      <c r="A34" s="7">
        <f>IF(Values_Entered,A33+1,"")</f>
        <v>17</v>
      </c>
      <c r="B34" s="6">
        <f t="shared" si="0"/>
        <v>45078</v>
      </c>
      <c r="C34" s="4">
        <f t="shared" si="6"/>
        <v>448473.70443207881</v>
      </c>
      <c r="D34" s="4">
        <f t="shared" si="1"/>
        <v>59908.922363410937</v>
      </c>
      <c r="E34" s="5">
        <f t="shared" si="2"/>
        <v>0</v>
      </c>
      <c r="F34" s="4">
        <f t="shared" si="3"/>
        <v>59908.922363410937</v>
      </c>
      <c r="G34" s="4">
        <f t="shared" si="4"/>
        <v>53181.816796929757</v>
      </c>
      <c r="H34" s="4">
        <f t="shared" si="7"/>
        <v>6727.105566481182</v>
      </c>
      <c r="I34" s="4">
        <f t="shared" si="5"/>
        <v>395291.88763514906</v>
      </c>
      <c r="J34" s="4">
        <f>SUM($H$18:$H34)</f>
        <v>213743.56781313513</v>
      </c>
    </row>
    <row r="35" spans="1:10">
      <c r="A35" s="7">
        <f>IF(Values_Entered,A34+1,"")</f>
        <v>18</v>
      </c>
      <c r="B35" s="6">
        <f t="shared" si="0"/>
        <v>45108</v>
      </c>
      <c r="C35" s="4">
        <f t="shared" si="6"/>
        <v>395291.88763514906</v>
      </c>
      <c r="D35" s="4">
        <f t="shared" si="1"/>
        <v>59908.922363410937</v>
      </c>
      <c r="E35" s="5">
        <f t="shared" si="2"/>
        <v>0</v>
      </c>
      <c r="F35" s="4">
        <f t="shared" si="3"/>
        <v>59908.922363410937</v>
      </c>
      <c r="G35" s="4">
        <f t="shared" si="4"/>
        <v>53979.544048883705</v>
      </c>
      <c r="H35" s="4">
        <f t="shared" si="7"/>
        <v>5929.3783145272355</v>
      </c>
      <c r="I35" s="4">
        <f t="shared" si="5"/>
        <v>341312.34358626534</v>
      </c>
      <c r="J35" s="4">
        <f>SUM($H$18:$H35)</f>
        <v>219672.94612766238</v>
      </c>
    </row>
    <row r="36" spans="1:10">
      <c r="A36" s="7">
        <f>IF(Values_Entered,A35+1,"")</f>
        <v>19</v>
      </c>
      <c r="B36" s="6">
        <f t="shared" si="0"/>
        <v>45139</v>
      </c>
      <c r="C36" s="4">
        <f t="shared" si="6"/>
        <v>341312.34358626534</v>
      </c>
      <c r="D36" s="4">
        <f t="shared" si="1"/>
        <v>59908.922363410937</v>
      </c>
      <c r="E36" s="5">
        <f t="shared" si="2"/>
        <v>0</v>
      </c>
      <c r="F36" s="4">
        <f t="shared" si="3"/>
        <v>59908.922363410937</v>
      </c>
      <c r="G36" s="4">
        <f t="shared" si="4"/>
        <v>54789.237209616957</v>
      </c>
      <c r="H36" s="4">
        <f t="shared" si="7"/>
        <v>5119.6851537939801</v>
      </c>
      <c r="I36" s="4">
        <f t="shared" si="5"/>
        <v>286523.10637664841</v>
      </c>
      <c r="J36" s="4">
        <f>SUM($H$18:$H36)</f>
        <v>224792.63128145636</v>
      </c>
    </row>
    <row r="37" spans="1:10">
      <c r="A37" s="7">
        <f>IF(Values_Entered,A36+1,"")</f>
        <v>20</v>
      </c>
      <c r="B37" s="6">
        <f t="shared" si="0"/>
        <v>45170</v>
      </c>
      <c r="C37" s="4">
        <f t="shared" si="6"/>
        <v>286523.10637664841</v>
      </c>
      <c r="D37" s="4">
        <f t="shared" si="1"/>
        <v>59908.922363410937</v>
      </c>
      <c r="E37" s="5">
        <f t="shared" si="2"/>
        <v>0</v>
      </c>
      <c r="F37" s="4">
        <f t="shared" si="3"/>
        <v>59908.922363410937</v>
      </c>
      <c r="G37" s="4">
        <f t="shared" si="4"/>
        <v>55611.075767761213</v>
      </c>
      <c r="H37" s="4">
        <f t="shared" si="7"/>
        <v>4297.8465956497266</v>
      </c>
      <c r="I37" s="4">
        <f t="shared" si="5"/>
        <v>230912.0306088872</v>
      </c>
      <c r="J37" s="4">
        <f>SUM($H$18:$H37)</f>
        <v>229090.47787710608</v>
      </c>
    </row>
    <row r="38" spans="1:10">
      <c r="A38" s="7">
        <f>IF(Values_Entered,A37+1,"")</f>
        <v>21</v>
      </c>
      <c r="B38" s="6">
        <f t="shared" si="0"/>
        <v>45200</v>
      </c>
      <c r="C38" s="4">
        <f t="shared" si="6"/>
        <v>230912.0306088872</v>
      </c>
      <c r="D38" s="4">
        <f t="shared" si="1"/>
        <v>59908.922363410937</v>
      </c>
      <c r="E38" s="5">
        <f t="shared" si="2"/>
        <v>0</v>
      </c>
      <c r="F38" s="4">
        <f t="shared" si="3"/>
        <v>59908.922363410937</v>
      </c>
      <c r="G38" s="4">
        <f t="shared" si="4"/>
        <v>56445.241904277631</v>
      </c>
      <c r="H38" s="4">
        <f t="shared" si="7"/>
        <v>3463.680459133308</v>
      </c>
      <c r="I38" s="4">
        <f t="shared" si="5"/>
        <v>174466.78870460956</v>
      </c>
      <c r="J38" s="4">
        <f>SUM($H$18:$H38)</f>
        <v>232554.1583362394</v>
      </c>
    </row>
    <row r="39" spans="1:10">
      <c r="A39" s="7">
        <f>IF(Values_Entered,A38+1,"")</f>
        <v>22</v>
      </c>
      <c r="B39" s="6">
        <f t="shared" si="0"/>
        <v>45231</v>
      </c>
      <c r="C39" s="4">
        <f t="shared" si="6"/>
        <v>174466.78870460956</v>
      </c>
      <c r="D39" s="4">
        <f t="shared" si="1"/>
        <v>59908.922363410937</v>
      </c>
      <c r="E39" s="5">
        <f t="shared" si="2"/>
        <v>0</v>
      </c>
      <c r="F39" s="4">
        <f t="shared" si="3"/>
        <v>59908.922363410937</v>
      </c>
      <c r="G39" s="4">
        <f t="shared" si="4"/>
        <v>57291.920532841796</v>
      </c>
      <c r="H39" s="4">
        <f t="shared" si="7"/>
        <v>2617.0018305691433</v>
      </c>
      <c r="I39" s="4">
        <f t="shared" si="5"/>
        <v>117174.86817176777</v>
      </c>
      <c r="J39" s="4">
        <f>SUM($H$18:$H39)</f>
        <v>235171.16016680855</v>
      </c>
    </row>
    <row r="40" spans="1:10">
      <c r="A40" s="7">
        <f>IF(Values_Entered,A39+1,"")</f>
        <v>23</v>
      </c>
      <c r="B40" s="6">
        <f t="shared" si="0"/>
        <v>45261</v>
      </c>
      <c r="C40" s="4">
        <f t="shared" si="6"/>
        <v>117174.86817176777</v>
      </c>
      <c r="D40" s="4">
        <f t="shared" si="1"/>
        <v>59908.922363410937</v>
      </c>
      <c r="E40" s="5">
        <f t="shared" si="2"/>
        <v>0</v>
      </c>
      <c r="F40" s="4">
        <f t="shared" si="3"/>
        <v>59908.922363410937</v>
      </c>
      <c r="G40" s="4">
        <f t="shared" si="4"/>
        <v>58151.299340834419</v>
      </c>
      <c r="H40" s="4">
        <f t="shared" si="7"/>
        <v>1757.6230225765164</v>
      </c>
      <c r="I40" s="4">
        <f t="shared" si="5"/>
        <v>59023.568830933349</v>
      </c>
      <c r="J40" s="4">
        <f>SUM($H$18:$H40)</f>
        <v>236928.78318938505</v>
      </c>
    </row>
    <row r="41" spans="1:10">
      <c r="A41" s="7">
        <f>IF(Values_Entered,A40+1,"")</f>
        <v>24</v>
      </c>
      <c r="B41" s="6">
        <f t="shared" si="0"/>
        <v>45292</v>
      </c>
      <c r="C41" s="4">
        <f t="shared" si="6"/>
        <v>59023.568830933349</v>
      </c>
      <c r="D41" s="4">
        <f t="shared" si="1"/>
        <v>59908.922363410937</v>
      </c>
      <c r="E41" s="5">
        <f t="shared" si="2"/>
        <v>0</v>
      </c>
      <c r="F41" s="4">
        <f t="shared" si="3"/>
        <v>59023.568830933349</v>
      </c>
      <c r="G41" s="4">
        <f t="shared" si="4"/>
        <v>58138.215298469346</v>
      </c>
      <c r="H41" s="4">
        <f t="shared" si="7"/>
        <v>885.35353246400018</v>
      </c>
      <c r="I41" s="4">
        <f t="shared" si="5"/>
        <v>0</v>
      </c>
      <c r="J41" s="4">
        <f>SUM($H$18:$H41)</f>
        <v>237814.13672184906</v>
      </c>
    </row>
    <row r="42" spans="1:10">
      <c r="A42" s="7">
        <f>IF(Values_Entered,A41+1,"")</f>
        <v>25</v>
      </c>
      <c r="B42" s="6">
        <f t="shared" si="0"/>
        <v>45323</v>
      </c>
      <c r="C42" s="4">
        <f t="shared" si="6"/>
        <v>0</v>
      </c>
      <c r="D42" s="4">
        <f t="shared" si="1"/>
        <v>59908.922363410937</v>
      </c>
      <c r="E42" s="5">
        <f t="shared" si="2"/>
        <v>0</v>
      </c>
      <c r="F42" s="4">
        <f t="shared" si="3"/>
        <v>0</v>
      </c>
      <c r="G42" s="4">
        <f t="shared" si="4"/>
        <v>0</v>
      </c>
      <c r="H42" s="4">
        <f t="shared" si="7"/>
        <v>0</v>
      </c>
      <c r="I42" s="4">
        <f t="shared" si="5"/>
        <v>0</v>
      </c>
      <c r="J42" s="4">
        <f>SUM($H$18:$H42)</f>
        <v>237814.13672184906</v>
      </c>
    </row>
    <row r="43" spans="1:10">
      <c r="A43" s="7">
        <f>IF(Values_Entered,A42+1,"")</f>
        <v>26</v>
      </c>
      <c r="B43" s="6">
        <f t="shared" si="0"/>
        <v>45352</v>
      </c>
      <c r="C43" s="4">
        <f t="shared" si="6"/>
        <v>0</v>
      </c>
      <c r="D43" s="4">
        <f t="shared" si="1"/>
        <v>59908.922363410937</v>
      </c>
      <c r="E43" s="5">
        <f t="shared" si="2"/>
        <v>0</v>
      </c>
      <c r="F43" s="4">
        <f t="shared" si="3"/>
        <v>0</v>
      </c>
      <c r="G43" s="4">
        <f t="shared" si="4"/>
        <v>0</v>
      </c>
      <c r="H43" s="4">
        <f t="shared" si="7"/>
        <v>0</v>
      </c>
      <c r="I43" s="4">
        <f t="shared" si="5"/>
        <v>0</v>
      </c>
      <c r="J43" s="4">
        <f>SUM($H$18:$H43)</f>
        <v>237814.13672184906</v>
      </c>
    </row>
    <row r="44" spans="1:10">
      <c r="A44" s="7">
        <f>IF(Values_Entered,A43+1,"")</f>
        <v>27</v>
      </c>
      <c r="B44" s="6">
        <f t="shared" si="0"/>
        <v>45383</v>
      </c>
      <c r="C44" s="4">
        <f t="shared" si="6"/>
        <v>0</v>
      </c>
      <c r="D44" s="4">
        <f t="shared" si="1"/>
        <v>59908.922363410937</v>
      </c>
      <c r="E44" s="5">
        <f t="shared" si="2"/>
        <v>0</v>
      </c>
      <c r="F44" s="4">
        <f t="shared" si="3"/>
        <v>0</v>
      </c>
      <c r="G44" s="4">
        <f t="shared" si="4"/>
        <v>0</v>
      </c>
      <c r="H44" s="4">
        <f t="shared" si="7"/>
        <v>0</v>
      </c>
      <c r="I44" s="4">
        <f t="shared" si="5"/>
        <v>0</v>
      </c>
      <c r="J44" s="4">
        <f>SUM($H$18:$H44)</f>
        <v>237814.13672184906</v>
      </c>
    </row>
    <row r="45" spans="1:10">
      <c r="A45" s="7">
        <f>IF(Values_Entered,A44+1,"")</f>
        <v>28</v>
      </c>
      <c r="B45" s="6">
        <f t="shared" si="0"/>
        <v>45413</v>
      </c>
      <c r="C45" s="4">
        <f t="shared" si="6"/>
        <v>0</v>
      </c>
      <c r="D45" s="4">
        <f t="shared" si="1"/>
        <v>59908.922363410937</v>
      </c>
      <c r="E45" s="5">
        <f t="shared" si="2"/>
        <v>0</v>
      </c>
      <c r="F45" s="4">
        <f t="shared" si="3"/>
        <v>0</v>
      </c>
      <c r="G45" s="4">
        <f t="shared" si="4"/>
        <v>0</v>
      </c>
      <c r="H45" s="4">
        <f t="shared" si="7"/>
        <v>0</v>
      </c>
      <c r="I45" s="4">
        <f t="shared" si="5"/>
        <v>0</v>
      </c>
      <c r="J45" s="4">
        <f>SUM($H$18:$H45)</f>
        <v>237814.13672184906</v>
      </c>
    </row>
    <row r="46" spans="1:10">
      <c r="A46" s="7">
        <f>IF(Values_Entered,A45+1,"")</f>
        <v>29</v>
      </c>
      <c r="B46" s="6">
        <f t="shared" si="0"/>
        <v>45444</v>
      </c>
      <c r="C46" s="4">
        <f t="shared" si="6"/>
        <v>0</v>
      </c>
      <c r="D46" s="4">
        <f t="shared" si="1"/>
        <v>59908.922363410937</v>
      </c>
      <c r="E46" s="5">
        <f t="shared" si="2"/>
        <v>0</v>
      </c>
      <c r="F46" s="4">
        <f t="shared" si="3"/>
        <v>0</v>
      </c>
      <c r="G46" s="4">
        <f t="shared" si="4"/>
        <v>0</v>
      </c>
      <c r="H46" s="4">
        <f t="shared" si="7"/>
        <v>0</v>
      </c>
      <c r="I46" s="4">
        <f t="shared" si="5"/>
        <v>0</v>
      </c>
      <c r="J46" s="4">
        <f>SUM($H$18:$H46)</f>
        <v>237814.13672184906</v>
      </c>
    </row>
    <row r="47" spans="1:10">
      <c r="A47" s="7">
        <f>IF(Values_Entered,A46+1,"")</f>
        <v>30</v>
      </c>
      <c r="B47" s="6">
        <f t="shared" si="0"/>
        <v>45474</v>
      </c>
      <c r="C47" s="4">
        <f t="shared" si="6"/>
        <v>0</v>
      </c>
      <c r="D47" s="4">
        <f t="shared" si="1"/>
        <v>59908.922363410937</v>
      </c>
      <c r="E47" s="5">
        <f t="shared" si="2"/>
        <v>0</v>
      </c>
      <c r="F47" s="4">
        <f t="shared" si="3"/>
        <v>0</v>
      </c>
      <c r="G47" s="4">
        <f t="shared" si="4"/>
        <v>0</v>
      </c>
      <c r="H47" s="4">
        <f t="shared" si="7"/>
        <v>0</v>
      </c>
      <c r="I47" s="4">
        <f t="shared" si="5"/>
        <v>0</v>
      </c>
      <c r="J47" s="4">
        <f>SUM($H$18:$H47)</f>
        <v>237814.13672184906</v>
      </c>
    </row>
    <row r="48" spans="1:10">
      <c r="A48" s="7">
        <f>IF(Values_Entered,A47+1,"")</f>
        <v>31</v>
      </c>
      <c r="B48" s="6">
        <f t="shared" si="0"/>
        <v>45505</v>
      </c>
      <c r="C48" s="4">
        <f t="shared" si="6"/>
        <v>0</v>
      </c>
      <c r="D48" s="4">
        <f t="shared" si="1"/>
        <v>59908.922363410937</v>
      </c>
      <c r="E48" s="5">
        <f t="shared" si="2"/>
        <v>0</v>
      </c>
      <c r="F48" s="4">
        <f t="shared" si="3"/>
        <v>0</v>
      </c>
      <c r="G48" s="4">
        <f t="shared" si="4"/>
        <v>0</v>
      </c>
      <c r="H48" s="4">
        <f t="shared" si="7"/>
        <v>0</v>
      </c>
      <c r="I48" s="4">
        <f t="shared" si="5"/>
        <v>0</v>
      </c>
      <c r="J48" s="4">
        <f>SUM($H$18:$H48)</f>
        <v>237814.13672184906</v>
      </c>
    </row>
    <row r="49" spans="1:10">
      <c r="A49" s="7">
        <f>IF(Values_Entered,A48+1,"")</f>
        <v>32</v>
      </c>
      <c r="B49" s="6">
        <f t="shared" si="0"/>
        <v>45536</v>
      </c>
      <c r="C49" s="4">
        <f t="shared" si="6"/>
        <v>0</v>
      </c>
      <c r="D49" s="4">
        <f t="shared" si="1"/>
        <v>59908.922363410937</v>
      </c>
      <c r="E49" s="5">
        <f t="shared" si="2"/>
        <v>0</v>
      </c>
      <c r="F49" s="4">
        <f t="shared" si="3"/>
        <v>0</v>
      </c>
      <c r="G49" s="4">
        <f t="shared" si="4"/>
        <v>0</v>
      </c>
      <c r="H49" s="4">
        <f t="shared" si="7"/>
        <v>0</v>
      </c>
      <c r="I49" s="4">
        <f t="shared" si="5"/>
        <v>0</v>
      </c>
      <c r="J49" s="4">
        <f>SUM($H$18:$H49)</f>
        <v>237814.13672184906</v>
      </c>
    </row>
    <row r="50" spans="1:10">
      <c r="A50" s="7">
        <f>IF(Values_Entered,A49+1,"")</f>
        <v>33</v>
      </c>
      <c r="B50" s="6">
        <f t="shared" si="0"/>
        <v>45566</v>
      </c>
      <c r="C50" s="4">
        <f t="shared" si="6"/>
        <v>0</v>
      </c>
      <c r="D50" s="4">
        <f t="shared" si="1"/>
        <v>59908.922363410937</v>
      </c>
      <c r="E50" s="5">
        <f t="shared" si="2"/>
        <v>0</v>
      </c>
      <c r="F50" s="4">
        <f t="shared" si="3"/>
        <v>0</v>
      </c>
      <c r="G50" s="4">
        <f t="shared" si="4"/>
        <v>0</v>
      </c>
      <c r="H50" s="4">
        <f t="shared" si="7"/>
        <v>0</v>
      </c>
      <c r="I50" s="4">
        <f t="shared" si="5"/>
        <v>0</v>
      </c>
      <c r="J50" s="4">
        <f>SUM($H$18:$H50)</f>
        <v>237814.13672184906</v>
      </c>
    </row>
    <row r="51" spans="1:10">
      <c r="A51" s="7">
        <f>IF(Values_Entered,A50+1,"")</f>
        <v>34</v>
      </c>
      <c r="B51" s="6">
        <f t="shared" si="0"/>
        <v>45597</v>
      </c>
      <c r="C51" s="4">
        <f t="shared" si="6"/>
        <v>0</v>
      </c>
      <c r="D51" s="4">
        <f t="shared" si="1"/>
        <v>59908.922363410937</v>
      </c>
      <c r="E51" s="5">
        <f t="shared" si="2"/>
        <v>0</v>
      </c>
      <c r="F51" s="4">
        <f t="shared" si="3"/>
        <v>0</v>
      </c>
      <c r="G51" s="4">
        <f t="shared" si="4"/>
        <v>0</v>
      </c>
      <c r="H51" s="4">
        <f t="shared" si="7"/>
        <v>0</v>
      </c>
      <c r="I51" s="4">
        <f t="shared" si="5"/>
        <v>0</v>
      </c>
      <c r="J51" s="4">
        <f>SUM($H$18:$H51)</f>
        <v>237814.13672184906</v>
      </c>
    </row>
    <row r="52" spans="1:10">
      <c r="A52" s="7">
        <f>IF(Values_Entered,A51+1,"")</f>
        <v>35</v>
      </c>
      <c r="B52" s="6">
        <f t="shared" si="0"/>
        <v>45627</v>
      </c>
      <c r="C52" s="4">
        <f t="shared" si="6"/>
        <v>0</v>
      </c>
      <c r="D52" s="4">
        <f t="shared" si="1"/>
        <v>59908.922363410937</v>
      </c>
      <c r="E52" s="5">
        <f t="shared" si="2"/>
        <v>0</v>
      </c>
      <c r="F52" s="4">
        <f t="shared" si="3"/>
        <v>0</v>
      </c>
      <c r="G52" s="4">
        <f t="shared" si="4"/>
        <v>0</v>
      </c>
      <c r="H52" s="4">
        <f t="shared" si="7"/>
        <v>0</v>
      </c>
      <c r="I52" s="4">
        <f t="shared" si="5"/>
        <v>0</v>
      </c>
      <c r="J52" s="4">
        <f>SUM($H$18:$H52)</f>
        <v>237814.13672184906</v>
      </c>
    </row>
    <row r="53" spans="1:10">
      <c r="A53" s="7">
        <f>IF(Values_Entered,A52+1,"")</f>
        <v>36</v>
      </c>
      <c r="B53" s="6">
        <f t="shared" si="0"/>
        <v>45658</v>
      </c>
      <c r="C53" s="4">
        <f t="shared" si="6"/>
        <v>0</v>
      </c>
      <c r="D53" s="4">
        <f t="shared" si="1"/>
        <v>59908.922363410937</v>
      </c>
      <c r="E53" s="5">
        <f t="shared" si="2"/>
        <v>0</v>
      </c>
      <c r="F53" s="4">
        <f t="shared" si="3"/>
        <v>0</v>
      </c>
      <c r="G53" s="4">
        <f t="shared" si="4"/>
        <v>0</v>
      </c>
      <c r="H53" s="4">
        <f t="shared" si="7"/>
        <v>0</v>
      </c>
      <c r="I53" s="4">
        <f t="shared" si="5"/>
        <v>0</v>
      </c>
      <c r="J53" s="4">
        <f>SUM($H$18:$H53)</f>
        <v>237814.13672184906</v>
      </c>
    </row>
    <row r="54" spans="1:10">
      <c r="A54" s="7">
        <f>IF(Values_Entered,A53+1,"")</f>
        <v>37</v>
      </c>
      <c r="B54" s="6">
        <f t="shared" si="0"/>
        <v>45689</v>
      </c>
      <c r="C54" s="4">
        <f t="shared" si="6"/>
        <v>0</v>
      </c>
      <c r="D54" s="4">
        <f t="shared" si="1"/>
        <v>59908.922363410937</v>
      </c>
      <c r="E54" s="5">
        <f t="shared" si="2"/>
        <v>0</v>
      </c>
      <c r="F54" s="4">
        <f t="shared" si="3"/>
        <v>0</v>
      </c>
      <c r="G54" s="4">
        <f t="shared" si="4"/>
        <v>0</v>
      </c>
      <c r="H54" s="4">
        <f t="shared" si="7"/>
        <v>0</v>
      </c>
      <c r="I54" s="4">
        <f t="shared" si="5"/>
        <v>0</v>
      </c>
      <c r="J54" s="4">
        <f>SUM($H$18:$H54)</f>
        <v>237814.13672184906</v>
      </c>
    </row>
    <row r="55" spans="1:10">
      <c r="A55" s="7">
        <f>IF(Values_Entered,A54+1,"")</f>
        <v>38</v>
      </c>
      <c r="B55" s="6">
        <f t="shared" si="0"/>
        <v>45717</v>
      </c>
      <c r="C55" s="4">
        <f t="shared" si="6"/>
        <v>0</v>
      </c>
      <c r="D55" s="4">
        <f t="shared" si="1"/>
        <v>59908.922363410937</v>
      </c>
      <c r="E55" s="5">
        <f t="shared" si="2"/>
        <v>0</v>
      </c>
      <c r="F55" s="4">
        <f t="shared" si="3"/>
        <v>0</v>
      </c>
      <c r="G55" s="4">
        <f t="shared" si="4"/>
        <v>0</v>
      </c>
      <c r="H55" s="4">
        <f t="shared" si="7"/>
        <v>0</v>
      </c>
      <c r="I55" s="4">
        <f t="shared" si="5"/>
        <v>0</v>
      </c>
      <c r="J55" s="4">
        <f>SUM($H$18:$H55)</f>
        <v>237814.13672184906</v>
      </c>
    </row>
    <row r="56" spans="1:10">
      <c r="A56" s="7">
        <f>IF(Values_Entered,A55+1,"")</f>
        <v>39</v>
      </c>
      <c r="B56" s="6">
        <f t="shared" si="0"/>
        <v>45748</v>
      </c>
      <c r="C56" s="4">
        <f t="shared" si="6"/>
        <v>0</v>
      </c>
      <c r="D56" s="4">
        <f t="shared" si="1"/>
        <v>59908.922363410937</v>
      </c>
      <c r="E56" s="5">
        <f t="shared" si="2"/>
        <v>0</v>
      </c>
      <c r="F56" s="4">
        <f t="shared" si="3"/>
        <v>0</v>
      </c>
      <c r="G56" s="4">
        <f t="shared" si="4"/>
        <v>0</v>
      </c>
      <c r="H56" s="4">
        <f t="shared" si="7"/>
        <v>0</v>
      </c>
      <c r="I56" s="4">
        <f t="shared" si="5"/>
        <v>0</v>
      </c>
      <c r="J56" s="4">
        <f>SUM($H$18:$H56)</f>
        <v>237814.13672184906</v>
      </c>
    </row>
    <row r="57" spans="1:10">
      <c r="A57" s="7">
        <f>IF(Values_Entered,A56+1,"")</f>
        <v>40</v>
      </c>
      <c r="B57" s="6">
        <f t="shared" si="0"/>
        <v>45778</v>
      </c>
      <c r="C57" s="4">
        <f t="shared" si="6"/>
        <v>0</v>
      </c>
      <c r="D57" s="4">
        <f t="shared" si="1"/>
        <v>59908.922363410937</v>
      </c>
      <c r="E57" s="5">
        <f t="shared" si="2"/>
        <v>0</v>
      </c>
      <c r="F57" s="4">
        <f t="shared" si="3"/>
        <v>0</v>
      </c>
      <c r="G57" s="4">
        <f t="shared" si="4"/>
        <v>0</v>
      </c>
      <c r="H57" s="4">
        <f t="shared" si="7"/>
        <v>0</v>
      </c>
      <c r="I57" s="4">
        <f t="shared" si="5"/>
        <v>0</v>
      </c>
      <c r="J57" s="4">
        <f>SUM($H$18:$H57)</f>
        <v>237814.13672184906</v>
      </c>
    </row>
    <row r="58" spans="1:10">
      <c r="A58" s="7">
        <f>IF(Values_Entered,A57+1,"")</f>
        <v>41</v>
      </c>
      <c r="B58" s="6">
        <f t="shared" si="0"/>
        <v>45809</v>
      </c>
      <c r="C58" s="4">
        <f t="shared" si="6"/>
        <v>0</v>
      </c>
      <c r="D58" s="4">
        <f t="shared" si="1"/>
        <v>59908.922363410937</v>
      </c>
      <c r="E58" s="5">
        <f t="shared" si="2"/>
        <v>0</v>
      </c>
      <c r="F58" s="4">
        <f t="shared" si="3"/>
        <v>0</v>
      </c>
      <c r="G58" s="4">
        <f t="shared" si="4"/>
        <v>0</v>
      </c>
      <c r="H58" s="4">
        <f t="shared" si="7"/>
        <v>0</v>
      </c>
      <c r="I58" s="4">
        <f t="shared" si="5"/>
        <v>0</v>
      </c>
      <c r="J58" s="4">
        <f>SUM($H$18:$H58)</f>
        <v>237814.13672184906</v>
      </c>
    </row>
    <row r="59" spans="1:10">
      <c r="A59" s="7">
        <f>IF(Values_Entered,A58+1,"")</f>
        <v>42</v>
      </c>
      <c r="B59" s="6">
        <f t="shared" si="0"/>
        <v>45839</v>
      </c>
      <c r="C59" s="4">
        <f t="shared" si="6"/>
        <v>0</v>
      </c>
      <c r="D59" s="4">
        <f t="shared" si="1"/>
        <v>59908.922363410937</v>
      </c>
      <c r="E59" s="5">
        <f t="shared" si="2"/>
        <v>0</v>
      </c>
      <c r="F59" s="4">
        <f t="shared" si="3"/>
        <v>0</v>
      </c>
      <c r="G59" s="4">
        <f t="shared" si="4"/>
        <v>0</v>
      </c>
      <c r="H59" s="4">
        <f t="shared" si="7"/>
        <v>0</v>
      </c>
      <c r="I59" s="4">
        <f t="shared" si="5"/>
        <v>0</v>
      </c>
      <c r="J59" s="4">
        <f>SUM($H$18:$H59)</f>
        <v>237814.13672184906</v>
      </c>
    </row>
    <row r="60" spans="1:10">
      <c r="A60" s="7">
        <f>IF(Values_Entered,A59+1,"")</f>
        <v>43</v>
      </c>
      <c r="B60" s="6">
        <f t="shared" si="0"/>
        <v>45870</v>
      </c>
      <c r="C60" s="4">
        <f t="shared" si="6"/>
        <v>0</v>
      </c>
      <c r="D60" s="4">
        <f t="shared" si="1"/>
        <v>59908.922363410937</v>
      </c>
      <c r="E60" s="5">
        <f t="shared" si="2"/>
        <v>0</v>
      </c>
      <c r="F60" s="4">
        <f t="shared" si="3"/>
        <v>0</v>
      </c>
      <c r="G60" s="4">
        <f t="shared" si="4"/>
        <v>0</v>
      </c>
      <c r="H60" s="4">
        <f t="shared" si="7"/>
        <v>0</v>
      </c>
      <c r="I60" s="4">
        <f t="shared" si="5"/>
        <v>0</v>
      </c>
      <c r="J60" s="4">
        <f>SUM($H$18:$H60)</f>
        <v>237814.13672184906</v>
      </c>
    </row>
    <row r="61" spans="1:10">
      <c r="A61" s="7">
        <f>IF(Values_Entered,A60+1,"")</f>
        <v>44</v>
      </c>
      <c r="B61" s="6">
        <f t="shared" si="0"/>
        <v>45901</v>
      </c>
      <c r="C61" s="4">
        <f t="shared" si="6"/>
        <v>0</v>
      </c>
      <c r="D61" s="4">
        <f t="shared" si="1"/>
        <v>59908.922363410937</v>
      </c>
      <c r="E61" s="5">
        <f t="shared" si="2"/>
        <v>0</v>
      </c>
      <c r="F61" s="4">
        <f t="shared" si="3"/>
        <v>0</v>
      </c>
      <c r="G61" s="4">
        <f t="shared" si="4"/>
        <v>0</v>
      </c>
      <c r="H61" s="4">
        <f t="shared" si="7"/>
        <v>0</v>
      </c>
      <c r="I61" s="4">
        <f t="shared" si="5"/>
        <v>0</v>
      </c>
      <c r="J61" s="4">
        <f>SUM($H$18:$H61)</f>
        <v>237814.13672184906</v>
      </c>
    </row>
    <row r="62" spans="1:10">
      <c r="A62" s="7">
        <f>IF(Values_Entered,A61+1,"")</f>
        <v>45</v>
      </c>
      <c r="B62" s="6">
        <f t="shared" si="0"/>
        <v>45931</v>
      </c>
      <c r="C62" s="4">
        <f t="shared" si="6"/>
        <v>0</v>
      </c>
      <c r="D62" s="4">
        <f t="shared" si="1"/>
        <v>59908.922363410937</v>
      </c>
      <c r="E62" s="5">
        <f t="shared" si="2"/>
        <v>0</v>
      </c>
      <c r="F62" s="4">
        <f t="shared" si="3"/>
        <v>0</v>
      </c>
      <c r="G62" s="4">
        <f t="shared" si="4"/>
        <v>0</v>
      </c>
      <c r="H62" s="4">
        <f t="shared" si="7"/>
        <v>0</v>
      </c>
      <c r="I62" s="4">
        <f t="shared" si="5"/>
        <v>0</v>
      </c>
      <c r="J62" s="4">
        <f>SUM($H$18:$H62)</f>
        <v>237814.13672184906</v>
      </c>
    </row>
    <row r="63" spans="1:10">
      <c r="A63" s="7">
        <f>IF(Values_Entered,A62+1,"")</f>
        <v>46</v>
      </c>
      <c r="B63" s="6">
        <f t="shared" si="0"/>
        <v>45962</v>
      </c>
      <c r="C63" s="4">
        <f t="shared" si="6"/>
        <v>0</v>
      </c>
      <c r="D63" s="4">
        <f t="shared" si="1"/>
        <v>59908.922363410937</v>
      </c>
      <c r="E63" s="5">
        <f t="shared" si="2"/>
        <v>0</v>
      </c>
      <c r="F63" s="4">
        <f t="shared" si="3"/>
        <v>0</v>
      </c>
      <c r="G63" s="4">
        <f t="shared" si="4"/>
        <v>0</v>
      </c>
      <c r="H63" s="4">
        <f t="shared" si="7"/>
        <v>0</v>
      </c>
      <c r="I63" s="4">
        <f t="shared" si="5"/>
        <v>0</v>
      </c>
      <c r="J63" s="4">
        <f>SUM($H$18:$H63)</f>
        <v>237814.13672184906</v>
      </c>
    </row>
    <row r="64" spans="1:10">
      <c r="A64" s="7">
        <f>IF(Values_Entered,A63+1,"")</f>
        <v>47</v>
      </c>
      <c r="B64" s="6">
        <f t="shared" si="0"/>
        <v>45992</v>
      </c>
      <c r="C64" s="4">
        <f t="shared" si="6"/>
        <v>0</v>
      </c>
      <c r="D64" s="4">
        <f t="shared" si="1"/>
        <v>59908.922363410937</v>
      </c>
      <c r="E64" s="5">
        <f t="shared" si="2"/>
        <v>0</v>
      </c>
      <c r="F64" s="4">
        <f t="shared" si="3"/>
        <v>0</v>
      </c>
      <c r="G64" s="4">
        <f t="shared" si="4"/>
        <v>0</v>
      </c>
      <c r="H64" s="4">
        <f t="shared" si="7"/>
        <v>0</v>
      </c>
      <c r="I64" s="4">
        <f t="shared" si="5"/>
        <v>0</v>
      </c>
      <c r="J64" s="4">
        <f>SUM($H$18:$H64)</f>
        <v>237814.13672184906</v>
      </c>
    </row>
    <row r="65" spans="1:10">
      <c r="A65" s="7">
        <f>IF(Values_Entered,A64+1,"")</f>
        <v>48</v>
      </c>
      <c r="B65" s="6">
        <f t="shared" si="0"/>
        <v>46023</v>
      </c>
      <c r="C65" s="4">
        <f t="shared" si="6"/>
        <v>0</v>
      </c>
      <c r="D65" s="4">
        <f t="shared" si="1"/>
        <v>59908.922363410937</v>
      </c>
      <c r="E65" s="5">
        <f t="shared" si="2"/>
        <v>0</v>
      </c>
      <c r="F65" s="4">
        <f t="shared" si="3"/>
        <v>0</v>
      </c>
      <c r="G65" s="4">
        <f t="shared" si="4"/>
        <v>0</v>
      </c>
      <c r="H65" s="4">
        <f t="shared" si="7"/>
        <v>0</v>
      </c>
      <c r="I65" s="4">
        <f t="shared" si="5"/>
        <v>0</v>
      </c>
      <c r="J65" s="4">
        <f>SUM($H$18:$H65)</f>
        <v>237814.13672184906</v>
      </c>
    </row>
    <row r="66" spans="1:10">
      <c r="A66" s="7">
        <f>IF(Values_Entered,A65+1,"")</f>
        <v>49</v>
      </c>
      <c r="B66" s="6">
        <f t="shared" si="0"/>
        <v>46054</v>
      </c>
      <c r="C66" s="4">
        <f t="shared" si="6"/>
        <v>0</v>
      </c>
      <c r="D66" s="4">
        <f t="shared" si="1"/>
        <v>59908.922363410937</v>
      </c>
      <c r="E66" s="5">
        <f t="shared" si="2"/>
        <v>0</v>
      </c>
      <c r="F66" s="4">
        <f t="shared" si="3"/>
        <v>0</v>
      </c>
      <c r="G66" s="4">
        <f t="shared" si="4"/>
        <v>0</v>
      </c>
      <c r="H66" s="4">
        <f t="shared" si="7"/>
        <v>0</v>
      </c>
      <c r="I66" s="4">
        <f t="shared" si="5"/>
        <v>0</v>
      </c>
      <c r="J66" s="4">
        <f>SUM($H$18:$H66)</f>
        <v>237814.13672184906</v>
      </c>
    </row>
    <row r="67" spans="1:10">
      <c r="A67" s="7">
        <f>IF(Values_Entered,A66+1,"")</f>
        <v>50</v>
      </c>
      <c r="B67" s="6">
        <f t="shared" si="0"/>
        <v>46082</v>
      </c>
      <c r="C67" s="4">
        <f t="shared" si="6"/>
        <v>0</v>
      </c>
      <c r="D67" s="4">
        <f t="shared" si="1"/>
        <v>59908.922363410937</v>
      </c>
      <c r="E67" s="5">
        <f t="shared" si="2"/>
        <v>0</v>
      </c>
      <c r="F67" s="4">
        <f t="shared" si="3"/>
        <v>0</v>
      </c>
      <c r="G67" s="4">
        <f t="shared" si="4"/>
        <v>0</v>
      </c>
      <c r="H67" s="4">
        <f t="shared" si="7"/>
        <v>0</v>
      </c>
      <c r="I67" s="4">
        <f t="shared" si="5"/>
        <v>0</v>
      </c>
      <c r="J67" s="4">
        <f>SUM($H$18:$H67)</f>
        <v>237814.13672184906</v>
      </c>
    </row>
    <row r="68" spans="1:10">
      <c r="A68" s="7">
        <f>IF(Values_Entered,A67+1,"")</f>
        <v>51</v>
      </c>
      <c r="B68" s="6">
        <f t="shared" si="0"/>
        <v>46113</v>
      </c>
      <c r="C68" s="4">
        <f t="shared" si="6"/>
        <v>0</v>
      </c>
      <c r="D68" s="4">
        <f t="shared" si="1"/>
        <v>59908.922363410937</v>
      </c>
      <c r="E68" s="5">
        <f t="shared" si="2"/>
        <v>0</v>
      </c>
      <c r="F68" s="4">
        <f t="shared" si="3"/>
        <v>0</v>
      </c>
      <c r="G68" s="4">
        <f t="shared" si="4"/>
        <v>0</v>
      </c>
      <c r="H68" s="4">
        <f t="shared" si="7"/>
        <v>0</v>
      </c>
      <c r="I68" s="4">
        <f t="shared" si="5"/>
        <v>0</v>
      </c>
      <c r="J68" s="4">
        <f>SUM($H$18:$H68)</f>
        <v>237814.13672184906</v>
      </c>
    </row>
    <row r="69" spans="1:10">
      <c r="A69" s="7">
        <f>IF(Values_Entered,A68+1,"")</f>
        <v>52</v>
      </c>
      <c r="B69" s="6">
        <f t="shared" si="0"/>
        <v>46143</v>
      </c>
      <c r="C69" s="4">
        <f t="shared" si="6"/>
        <v>0</v>
      </c>
      <c r="D69" s="4">
        <f t="shared" si="1"/>
        <v>59908.922363410937</v>
      </c>
      <c r="E69" s="5">
        <f t="shared" si="2"/>
        <v>0</v>
      </c>
      <c r="F69" s="4">
        <f t="shared" si="3"/>
        <v>0</v>
      </c>
      <c r="G69" s="4">
        <f t="shared" si="4"/>
        <v>0</v>
      </c>
      <c r="H69" s="4">
        <f t="shared" si="7"/>
        <v>0</v>
      </c>
      <c r="I69" s="4">
        <f t="shared" si="5"/>
        <v>0</v>
      </c>
      <c r="J69" s="4">
        <f>SUM($H$18:$H69)</f>
        <v>237814.13672184906</v>
      </c>
    </row>
    <row r="70" spans="1:10">
      <c r="A70" s="7">
        <f>IF(Values_Entered,A69+1,"")</f>
        <v>53</v>
      </c>
      <c r="B70" s="6">
        <f t="shared" si="0"/>
        <v>46174</v>
      </c>
      <c r="C70" s="4">
        <f t="shared" si="6"/>
        <v>0</v>
      </c>
      <c r="D70" s="4">
        <f t="shared" si="1"/>
        <v>59908.922363410937</v>
      </c>
      <c r="E70" s="5">
        <f t="shared" si="2"/>
        <v>0</v>
      </c>
      <c r="F70" s="4">
        <f t="shared" si="3"/>
        <v>0</v>
      </c>
      <c r="G70" s="4">
        <f t="shared" si="4"/>
        <v>0</v>
      </c>
      <c r="H70" s="4">
        <f t="shared" si="7"/>
        <v>0</v>
      </c>
      <c r="I70" s="4">
        <f t="shared" si="5"/>
        <v>0</v>
      </c>
      <c r="J70" s="4">
        <f>SUM($H$18:$H70)</f>
        <v>237814.13672184906</v>
      </c>
    </row>
    <row r="71" spans="1:10">
      <c r="A71" s="7">
        <f>IF(Values_Entered,A70+1,"")</f>
        <v>54</v>
      </c>
      <c r="B71" s="6">
        <f t="shared" si="0"/>
        <v>46204</v>
      </c>
      <c r="C71" s="4">
        <f t="shared" si="6"/>
        <v>0</v>
      </c>
      <c r="D71" s="4">
        <f t="shared" si="1"/>
        <v>59908.922363410937</v>
      </c>
      <c r="E71" s="5">
        <f t="shared" si="2"/>
        <v>0</v>
      </c>
      <c r="F71" s="4">
        <f t="shared" si="3"/>
        <v>0</v>
      </c>
      <c r="G71" s="4">
        <f t="shared" si="4"/>
        <v>0</v>
      </c>
      <c r="H71" s="4">
        <f t="shared" si="7"/>
        <v>0</v>
      </c>
      <c r="I71" s="4">
        <f t="shared" si="5"/>
        <v>0</v>
      </c>
      <c r="J71" s="4">
        <f>SUM($H$18:$H71)</f>
        <v>237814.13672184906</v>
      </c>
    </row>
    <row r="72" spans="1:10">
      <c r="A72" s="7">
        <f>IF(Values_Entered,A71+1,"")</f>
        <v>55</v>
      </c>
      <c r="B72" s="6">
        <f t="shared" si="0"/>
        <v>46235</v>
      </c>
      <c r="C72" s="4">
        <f t="shared" si="6"/>
        <v>0</v>
      </c>
      <c r="D72" s="4">
        <f t="shared" si="1"/>
        <v>59908.922363410937</v>
      </c>
      <c r="E72" s="5">
        <f t="shared" si="2"/>
        <v>0</v>
      </c>
      <c r="F72" s="4">
        <f t="shared" si="3"/>
        <v>0</v>
      </c>
      <c r="G72" s="4">
        <f t="shared" si="4"/>
        <v>0</v>
      </c>
      <c r="H72" s="4">
        <f t="shared" si="7"/>
        <v>0</v>
      </c>
      <c r="I72" s="4">
        <f t="shared" si="5"/>
        <v>0</v>
      </c>
      <c r="J72" s="4">
        <f>SUM($H$18:$H72)</f>
        <v>237814.13672184906</v>
      </c>
    </row>
    <row r="73" spans="1:10">
      <c r="A73" s="7">
        <f>IF(Values_Entered,A72+1,"")</f>
        <v>56</v>
      </c>
      <c r="B73" s="6">
        <f t="shared" si="0"/>
        <v>46266</v>
      </c>
      <c r="C73" s="4">
        <f t="shared" si="6"/>
        <v>0</v>
      </c>
      <c r="D73" s="4">
        <f t="shared" si="1"/>
        <v>59908.922363410937</v>
      </c>
      <c r="E73" s="5">
        <f t="shared" si="2"/>
        <v>0</v>
      </c>
      <c r="F73" s="4">
        <f t="shared" si="3"/>
        <v>0</v>
      </c>
      <c r="G73" s="4">
        <f t="shared" si="4"/>
        <v>0</v>
      </c>
      <c r="H73" s="4">
        <f t="shared" si="7"/>
        <v>0</v>
      </c>
      <c r="I73" s="4">
        <f t="shared" si="5"/>
        <v>0</v>
      </c>
      <c r="J73" s="4">
        <f>SUM($H$18:$H73)</f>
        <v>237814.13672184906</v>
      </c>
    </row>
    <row r="74" spans="1:10">
      <c r="A74" s="7">
        <f>IF(Values_Entered,A73+1,"")</f>
        <v>57</v>
      </c>
      <c r="B74" s="6">
        <f t="shared" si="0"/>
        <v>46296</v>
      </c>
      <c r="C74" s="4">
        <f t="shared" si="6"/>
        <v>0</v>
      </c>
      <c r="D74" s="4">
        <f t="shared" si="1"/>
        <v>59908.922363410937</v>
      </c>
      <c r="E74" s="5">
        <f t="shared" si="2"/>
        <v>0</v>
      </c>
      <c r="F74" s="4">
        <f t="shared" si="3"/>
        <v>0</v>
      </c>
      <c r="G74" s="4">
        <f t="shared" si="4"/>
        <v>0</v>
      </c>
      <c r="H74" s="4">
        <f t="shared" si="7"/>
        <v>0</v>
      </c>
      <c r="I74" s="4">
        <f t="shared" si="5"/>
        <v>0</v>
      </c>
      <c r="J74" s="4">
        <f>SUM($H$18:$H74)</f>
        <v>237814.13672184906</v>
      </c>
    </row>
    <row r="75" spans="1:10">
      <c r="A75" s="7">
        <f>IF(Values_Entered,A74+1,"")</f>
        <v>58</v>
      </c>
      <c r="B75" s="6">
        <f t="shared" si="0"/>
        <v>46327</v>
      </c>
      <c r="C75" s="4">
        <f t="shared" si="6"/>
        <v>0</v>
      </c>
      <c r="D75" s="4">
        <f t="shared" si="1"/>
        <v>59908.922363410937</v>
      </c>
      <c r="E75" s="5">
        <f t="shared" si="2"/>
        <v>0</v>
      </c>
      <c r="F75" s="4">
        <f t="shared" si="3"/>
        <v>0</v>
      </c>
      <c r="G75" s="4">
        <f t="shared" si="4"/>
        <v>0</v>
      </c>
      <c r="H75" s="4">
        <f t="shared" si="7"/>
        <v>0</v>
      </c>
      <c r="I75" s="4">
        <f t="shared" si="5"/>
        <v>0</v>
      </c>
      <c r="J75" s="4">
        <f>SUM($H$18:$H75)</f>
        <v>237814.13672184906</v>
      </c>
    </row>
    <row r="76" spans="1:10">
      <c r="A76" s="7">
        <f>IF(Values_Entered,A75+1,"")</f>
        <v>59</v>
      </c>
      <c r="B76" s="6">
        <f t="shared" si="0"/>
        <v>46357</v>
      </c>
      <c r="C76" s="4">
        <f t="shared" si="6"/>
        <v>0</v>
      </c>
      <c r="D76" s="4">
        <f t="shared" si="1"/>
        <v>59908.922363410937</v>
      </c>
      <c r="E76" s="5">
        <f t="shared" si="2"/>
        <v>0</v>
      </c>
      <c r="F76" s="4">
        <f t="shared" si="3"/>
        <v>0</v>
      </c>
      <c r="G76" s="4">
        <f t="shared" si="4"/>
        <v>0</v>
      </c>
      <c r="H76" s="4">
        <f t="shared" si="7"/>
        <v>0</v>
      </c>
      <c r="I76" s="4">
        <f t="shared" si="5"/>
        <v>0</v>
      </c>
      <c r="J76" s="4">
        <f>SUM($H$18:$H76)</f>
        <v>237814.13672184906</v>
      </c>
    </row>
    <row r="77" spans="1:10">
      <c r="A77" s="7">
        <f>IF(Values_Entered,A76+1,"")</f>
        <v>60</v>
      </c>
      <c r="B77" s="6">
        <f t="shared" si="0"/>
        <v>46388</v>
      </c>
      <c r="C77" s="4">
        <f t="shared" si="6"/>
        <v>0</v>
      </c>
      <c r="D77" s="4">
        <f t="shared" si="1"/>
        <v>59908.922363410937</v>
      </c>
      <c r="E77" s="5">
        <f t="shared" si="2"/>
        <v>0</v>
      </c>
      <c r="F77" s="4">
        <f t="shared" si="3"/>
        <v>0</v>
      </c>
      <c r="G77" s="4">
        <f t="shared" si="4"/>
        <v>0</v>
      </c>
      <c r="H77" s="4">
        <f t="shared" si="7"/>
        <v>0</v>
      </c>
      <c r="I77" s="4">
        <f t="shared" si="5"/>
        <v>0</v>
      </c>
      <c r="J77" s="4">
        <f>SUM($H$18:$H77)</f>
        <v>237814.13672184906</v>
      </c>
    </row>
    <row r="78" spans="1:10">
      <c r="A78" s="7">
        <f>IF(Values_Entered,A77+1,"")</f>
        <v>61</v>
      </c>
      <c r="B78" s="6">
        <f t="shared" si="0"/>
        <v>46419</v>
      </c>
      <c r="C78" s="4">
        <f t="shared" si="6"/>
        <v>0</v>
      </c>
      <c r="D78" s="4">
        <f t="shared" si="1"/>
        <v>59908.922363410937</v>
      </c>
      <c r="E78" s="5">
        <f t="shared" si="2"/>
        <v>0</v>
      </c>
      <c r="F78" s="4">
        <f t="shared" si="3"/>
        <v>0</v>
      </c>
      <c r="G78" s="4">
        <f t="shared" si="4"/>
        <v>0</v>
      </c>
      <c r="H78" s="4">
        <f t="shared" si="7"/>
        <v>0</v>
      </c>
      <c r="I78" s="4">
        <f t="shared" si="5"/>
        <v>0</v>
      </c>
      <c r="J78" s="4">
        <f>SUM($H$18:$H78)</f>
        <v>237814.13672184906</v>
      </c>
    </row>
    <row r="79" spans="1:10">
      <c r="A79" s="7">
        <f>IF(Values_Entered,A78+1,"")</f>
        <v>62</v>
      </c>
      <c r="B79" s="6">
        <f t="shared" si="0"/>
        <v>46447</v>
      </c>
      <c r="C79" s="4">
        <f t="shared" si="6"/>
        <v>0</v>
      </c>
      <c r="D79" s="4">
        <f t="shared" si="1"/>
        <v>59908.922363410937</v>
      </c>
      <c r="E79" s="5">
        <f t="shared" si="2"/>
        <v>0</v>
      </c>
      <c r="F79" s="4">
        <f t="shared" si="3"/>
        <v>0</v>
      </c>
      <c r="G79" s="4">
        <f t="shared" si="4"/>
        <v>0</v>
      </c>
      <c r="H79" s="4">
        <f t="shared" si="7"/>
        <v>0</v>
      </c>
      <c r="I79" s="4">
        <f t="shared" si="5"/>
        <v>0</v>
      </c>
      <c r="J79" s="4">
        <f>SUM($H$18:$H79)</f>
        <v>237814.13672184906</v>
      </c>
    </row>
    <row r="80" spans="1:10">
      <c r="A80" s="7">
        <f>IF(Values_Entered,A79+1,"")</f>
        <v>63</v>
      </c>
      <c r="B80" s="6">
        <f t="shared" si="0"/>
        <v>46478</v>
      </c>
      <c r="C80" s="4">
        <f t="shared" si="6"/>
        <v>0</v>
      </c>
      <c r="D80" s="4">
        <f t="shared" si="1"/>
        <v>59908.922363410937</v>
      </c>
      <c r="E80" s="5">
        <f t="shared" si="2"/>
        <v>0</v>
      </c>
      <c r="F80" s="4">
        <f t="shared" si="3"/>
        <v>0</v>
      </c>
      <c r="G80" s="4">
        <f t="shared" si="4"/>
        <v>0</v>
      </c>
      <c r="H80" s="4">
        <f t="shared" si="7"/>
        <v>0</v>
      </c>
      <c r="I80" s="4">
        <f t="shared" si="5"/>
        <v>0</v>
      </c>
      <c r="J80" s="4">
        <f>SUM($H$18:$H80)</f>
        <v>237814.13672184906</v>
      </c>
    </row>
    <row r="81" spans="1:10">
      <c r="A81" s="7">
        <f>IF(Values_Entered,A80+1,"")</f>
        <v>64</v>
      </c>
      <c r="B81" s="6">
        <f t="shared" si="0"/>
        <v>46508</v>
      </c>
      <c r="C81" s="4">
        <f t="shared" si="6"/>
        <v>0</v>
      </c>
      <c r="D81" s="4">
        <f t="shared" si="1"/>
        <v>59908.922363410937</v>
      </c>
      <c r="E81" s="5">
        <f t="shared" si="2"/>
        <v>0</v>
      </c>
      <c r="F81" s="4">
        <f t="shared" si="3"/>
        <v>0</v>
      </c>
      <c r="G81" s="4">
        <f t="shared" si="4"/>
        <v>0</v>
      </c>
      <c r="H81" s="4">
        <f t="shared" si="7"/>
        <v>0</v>
      </c>
      <c r="I81" s="4">
        <f t="shared" si="5"/>
        <v>0</v>
      </c>
      <c r="J81" s="4">
        <f>SUM($H$18:$H81)</f>
        <v>237814.13672184906</v>
      </c>
    </row>
    <row r="82" spans="1:10">
      <c r="A82" s="7">
        <f>IF(Values_Entered,A81+1,"")</f>
        <v>65</v>
      </c>
      <c r="B82" s="6">
        <f t="shared" ref="B82:B145" si="8">IF(Pay_Num&lt;&gt;"",DATE(YEAR(Loan_Start),MONTH(Loan_Start)+(Pay_Num)*12/Num_Pmt_Per_Year,DAY(Loan_Start)),"")</f>
        <v>46539</v>
      </c>
      <c r="C82" s="4">
        <f t="shared" si="6"/>
        <v>0</v>
      </c>
      <c r="D82" s="4">
        <f t="shared" ref="D82:D145" si="9">IF(Pay_Num&lt;&gt;"",Scheduled_Monthly_Payment,"")</f>
        <v>59908.922363410937</v>
      </c>
      <c r="E82" s="5">
        <f t="shared" ref="E82:E145" si="10">IF(AND(Pay_Num&lt;&gt;"",Sched_Pay+Scheduled_Extra_Payments&lt;Beg_Bal),Scheduled_Extra_Payments,IF(AND(Pay_Num&lt;&gt;"",Beg_Bal-Sched_Pay&gt;0),Beg_Bal-Sched_Pay,IF(Pay_Num&lt;&gt;"",0,"")))</f>
        <v>0</v>
      </c>
      <c r="F82" s="4">
        <f t="shared" ref="F82:F145" si="11">IF(AND(Pay_Num&lt;&gt;"",Sched_Pay+Extra_Pay&lt;Beg_Bal),Sched_Pay+Extra_Pay,IF(Pay_Num&lt;&gt;"",Beg_Bal,""))</f>
        <v>0</v>
      </c>
      <c r="G82" s="4">
        <f t="shared" ref="G82:G145" si="12">IF(Pay_Num&lt;&gt;"",Total_Pay-Int,"")</f>
        <v>0</v>
      </c>
      <c r="H82" s="4">
        <f t="shared" si="7"/>
        <v>0</v>
      </c>
      <c r="I82" s="4">
        <f t="shared" ref="I82:I145" si="13">IF(AND(Pay_Num&lt;&gt;"",Sched_Pay+Extra_Pay&lt;Beg_Bal),Beg_Bal-Princ,IF(Pay_Num&lt;&gt;"",0,""))</f>
        <v>0</v>
      </c>
      <c r="J82" s="4">
        <f>SUM($H$18:$H82)</f>
        <v>237814.13672184906</v>
      </c>
    </row>
    <row r="83" spans="1:10">
      <c r="A83" s="7">
        <f>IF(Values_Entered,A82+1,"")</f>
        <v>66</v>
      </c>
      <c r="B83" s="6">
        <f t="shared" si="8"/>
        <v>46569</v>
      </c>
      <c r="C83" s="4">
        <f t="shared" ref="C83:C146" si="14">IF(Pay_Num&lt;&gt;"",I82,"")</f>
        <v>0</v>
      </c>
      <c r="D83" s="4">
        <f t="shared" si="9"/>
        <v>59908.922363410937</v>
      </c>
      <c r="E83" s="5">
        <f t="shared" si="10"/>
        <v>0</v>
      </c>
      <c r="F83" s="4">
        <f t="shared" si="11"/>
        <v>0</v>
      </c>
      <c r="G83" s="4">
        <f t="shared" si="12"/>
        <v>0</v>
      </c>
      <c r="H83" s="4">
        <f t="shared" ref="H83:H146" si="15">IF(Pay_Num&lt;&gt;"",Beg_Bal*Interest_Rate/Num_Pmt_Per_Year,"")</f>
        <v>0</v>
      </c>
      <c r="I83" s="4">
        <f t="shared" si="13"/>
        <v>0</v>
      </c>
      <c r="J83" s="4">
        <f>SUM($H$18:$H83)</f>
        <v>237814.13672184906</v>
      </c>
    </row>
    <row r="84" spans="1:10">
      <c r="A84" s="7">
        <f>IF(Values_Entered,A83+1,"")</f>
        <v>67</v>
      </c>
      <c r="B84" s="6">
        <f t="shared" si="8"/>
        <v>46600</v>
      </c>
      <c r="C84" s="4">
        <f t="shared" si="14"/>
        <v>0</v>
      </c>
      <c r="D84" s="4">
        <f t="shared" si="9"/>
        <v>59908.922363410937</v>
      </c>
      <c r="E84" s="5">
        <f t="shared" si="10"/>
        <v>0</v>
      </c>
      <c r="F84" s="4">
        <f t="shared" si="11"/>
        <v>0</v>
      </c>
      <c r="G84" s="4">
        <f t="shared" si="12"/>
        <v>0</v>
      </c>
      <c r="H84" s="4">
        <f t="shared" si="15"/>
        <v>0</v>
      </c>
      <c r="I84" s="4">
        <f t="shared" si="13"/>
        <v>0</v>
      </c>
      <c r="J84" s="4">
        <f>SUM($H$18:$H84)</f>
        <v>237814.13672184906</v>
      </c>
    </row>
    <row r="85" spans="1:10">
      <c r="A85" s="7">
        <f>IF(Values_Entered,A84+1,"")</f>
        <v>68</v>
      </c>
      <c r="B85" s="6">
        <f t="shared" si="8"/>
        <v>46631</v>
      </c>
      <c r="C85" s="4">
        <f t="shared" si="14"/>
        <v>0</v>
      </c>
      <c r="D85" s="4">
        <f t="shared" si="9"/>
        <v>59908.922363410937</v>
      </c>
      <c r="E85" s="5">
        <f t="shared" si="10"/>
        <v>0</v>
      </c>
      <c r="F85" s="4">
        <f t="shared" si="11"/>
        <v>0</v>
      </c>
      <c r="G85" s="4">
        <f t="shared" si="12"/>
        <v>0</v>
      </c>
      <c r="H85" s="4">
        <f t="shared" si="15"/>
        <v>0</v>
      </c>
      <c r="I85" s="4">
        <f t="shared" si="13"/>
        <v>0</v>
      </c>
      <c r="J85" s="4">
        <f>SUM($H$18:$H85)</f>
        <v>237814.13672184906</v>
      </c>
    </row>
    <row r="86" spans="1:10">
      <c r="A86" s="7">
        <f>IF(Values_Entered,A85+1,"")</f>
        <v>69</v>
      </c>
      <c r="B86" s="6">
        <f t="shared" si="8"/>
        <v>46661</v>
      </c>
      <c r="C86" s="4">
        <f t="shared" si="14"/>
        <v>0</v>
      </c>
      <c r="D86" s="4">
        <f t="shared" si="9"/>
        <v>59908.922363410937</v>
      </c>
      <c r="E86" s="5">
        <f t="shared" si="10"/>
        <v>0</v>
      </c>
      <c r="F86" s="4">
        <f t="shared" si="11"/>
        <v>0</v>
      </c>
      <c r="G86" s="4">
        <f t="shared" si="12"/>
        <v>0</v>
      </c>
      <c r="H86" s="4">
        <f t="shared" si="15"/>
        <v>0</v>
      </c>
      <c r="I86" s="4">
        <f t="shared" si="13"/>
        <v>0</v>
      </c>
      <c r="J86" s="4">
        <f>SUM($H$18:$H86)</f>
        <v>237814.13672184906</v>
      </c>
    </row>
    <row r="87" spans="1:10">
      <c r="A87" s="7">
        <f>IF(Values_Entered,A86+1,"")</f>
        <v>70</v>
      </c>
      <c r="B87" s="6">
        <f t="shared" si="8"/>
        <v>46692</v>
      </c>
      <c r="C87" s="4">
        <f t="shared" si="14"/>
        <v>0</v>
      </c>
      <c r="D87" s="4">
        <f t="shared" si="9"/>
        <v>59908.922363410937</v>
      </c>
      <c r="E87" s="5">
        <f t="shared" si="10"/>
        <v>0</v>
      </c>
      <c r="F87" s="4">
        <f t="shared" si="11"/>
        <v>0</v>
      </c>
      <c r="G87" s="4">
        <f t="shared" si="12"/>
        <v>0</v>
      </c>
      <c r="H87" s="4">
        <f t="shared" si="15"/>
        <v>0</v>
      </c>
      <c r="I87" s="4">
        <f t="shared" si="13"/>
        <v>0</v>
      </c>
      <c r="J87" s="4">
        <f>SUM($H$18:$H87)</f>
        <v>237814.13672184906</v>
      </c>
    </row>
    <row r="88" spans="1:10">
      <c r="A88" s="7">
        <f>IF(Values_Entered,A87+1,"")</f>
        <v>71</v>
      </c>
      <c r="B88" s="6">
        <f t="shared" si="8"/>
        <v>46722</v>
      </c>
      <c r="C88" s="4">
        <f t="shared" si="14"/>
        <v>0</v>
      </c>
      <c r="D88" s="4">
        <f t="shared" si="9"/>
        <v>59908.922363410937</v>
      </c>
      <c r="E88" s="5">
        <f t="shared" si="10"/>
        <v>0</v>
      </c>
      <c r="F88" s="4">
        <f t="shared" si="11"/>
        <v>0</v>
      </c>
      <c r="G88" s="4">
        <f t="shared" si="12"/>
        <v>0</v>
      </c>
      <c r="H88" s="4">
        <f t="shared" si="15"/>
        <v>0</v>
      </c>
      <c r="I88" s="4">
        <f t="shared" si="13"/>
        <v>0</v>
      </c>
      <c r="J88" s="4">
        <f>SUM($H$18:$H88)</f>
        <v>237814.13672184906</v>
      </c>
    </row>
    <row r="89" spans="1:10">
      <c r="A89" s="7">
        <f>IF(Values_Entered,A88+1,"")</f>
        <v>72</v>
      </c>
      <c r="B89" s="6">
        <f t="shared" si="8"/>
        <v>46753</v>
      </c>
      <c r="C89" s="4">
        <f t="shared" si="14"/>
        <v>0</v>
      </c>
      <c r="D89" s="4">
        <f t="shared" si="9"/>
        <v>59908.922363410937</v>
      </c>
      <c r="E89" s="5">
        <f t="shared" si="10"/>
        <v>0</v>
      </c>
      <c r="F89" s="4">
        <f t="shared" si="11"/>
        <v>0</v>
      </c>
      <c r="G89" s="4">
        <f t="shared" si="12"/>
        <v>0</v>
      </c>
      <c r="H89" s="4">
        <f t="shared" si="15"/>
        <v>0</v>
      </c>
      <c r="I89" s="4">
        <f t="shared" si="13"/>
        <v>0</v>
      </c>
      <c r="J89" s="4">
        <f>SUM($H$18:$H89)</f>
        <v>237814.13672184906</v>
      </c>
    </row>
    <row r="90" spans="1:10">
      <c r="A90" s="7">
        <f>IF(Values_Entered,A89+1,"")</f>
        <v>73</v>
      </c>
      <c r="B90" s="6">
        <f t="shared" si="8"/>
        <v>46784</v>
      </c>
      <c r="C90" s="4">
        <f t="shared" si="14"/>
        <v>0</v>
      </c>
      <c r="D90" s="4">
        <f t="shared" si="9"/>
        <v>59908.922363410937</v>
      </c>
      <c r="E90" s="5">
        <f t="shared" si="10"/>
        <v>0</v>
      </c>
      <c r="F90" s="4">
        <f t="shared" si="11"/>
        <v>0</v>
      </c>
      <c r="G90" s="4">
        <f t="shared" si="12"/>
        <v>0</v>
      </c>
      <c r="H90" s="4">
        <f t="shared" si="15"/>
        <v>0</v>
      </c>
      <c r="I90" s="4">
        <f t="shared" si="13"/>
        <v>0</v>
      </c>
      <c r="J90" s="4">
        <f>SUM($H$18:$H90)</f>
        <v>237814.13672184906</v>
      </c>
    </row>
    <row r="91" spans="1:10">
      <c r="A91" s="7">
        <f>IF(Values_Entered,A90+1,"")</f>
        <v>74</v>
      </c>
      <c r="B91" s="6">
        <f t="shared" si="8"/>
        <v>46813</v>
      </c>
      <c r="C91" s="4">
        <f t="shared" si="14"/>
        <v>0</v>
      </c>
      <c r="D91" s="4">
        <f t="shared" si="9"/>
        <v>59908.922363410937</v>
      </c>
      <c r="E91" s="5">
        <f t="shared" si="10"/>
        <v>0</v>
      </c>
      <c r="F91" s="4">
        <f t="shared" si="11"/>
        <v>0</v>
      </c>
      <c r="G91" s="4">
        <f t="shared" si="12"/>
        <v>0</v>
      </c>
      <c r="H91" s="4">
        <f t="shared" si="15"/>
        <v>0</v>
      </c>
      <c r="I91" s="4">
        <f t="shared" si="13"/>
        <v>0</v>
      </c>
      <c r="J91" s="4">
        <f>SUM($H$18:$H91)</f>
        <v>237814.13672184906</v>
      </c>
    </row>
    <row r="92" spans="1:10">
      <c r="A92" s="7">
        <f>IF(Values_Entered,A91+1,"")</f>
        <v>75</v>
      </c>
      <c r="B92" s="6">
        <f t="shared" si="8"/>
        <v>46844</v>
      </c>
      <c r="C92" s="4">
        <f t="shared" si="14"/>
        <v>0</v>
      </c>
      <c r="D92" s="4">
        <f t="shared" si="9"/>
        <v>59908.922363410937</v>
      </c>
      <c r="E92" s="5">
        <f t="shared" si="10"/>
        <v>0</v>
      </c>
      <c r="F92" s="4">
        <f t="shared" si="11"/>
        <v>0</v>
      </c>
      <c r="G92" s="4">
        <f t="shared" si="12"/>
        <v>0</v>
      </c>
      <c r="H92" s="4">
        <f t="shared" si="15"/>
        <v>0</v>
      </c>
      <c r="I92" s="4">
        <f t="shared" si="13"/>
        <v>0</v>
      </c>
      <c r="J92" s="4">
        <f>SUM($H$18:$H92)</f>
        <v>237814.13672184906</v>
      </c>
    </row>
    <row r="93" spans="1:10">
      <c r="A93" s="7">
        <f>IF(Values_Entered,A92+1,"")</f>
        <v>76</v>
      </c>
      <c r="B93" s="6">
        <f t="shared" si="8"/>
        <v>46874</v>
      </c>
      <c r="C93" s="4">
        <f t="shared" si="14"/>
        <v>0</v>
      </c>
      <c r="D93" s="4">
        <f t="shared" si="9"/>
        <v>59908.922363410937</v>
      </c>
      <c r="E93" s="5">
        <f t="shared" si="10"/>
        <v>0</v>
      </c>
      <c r="F93" s="4">
        <f t="shared" si="11"/>
        <v>0</v>
      </c>
      <c r="G93" s="4">
        <f t="shared" si="12"/>
        <v>0</v>
      </c>
      <c r="H93" s="4">
        <f t="shared" si="15"/>
        <v>0</v>
      </c>
      <c r="I93" s="4">
        <f t="shared" si="13"/>
        <v>0</v>
      </c>
      <c r="J93" s="4">
        <f>SUM($H$18:$H93)</f>
        <v>237814.13672184906</v>
      </c>
    </row>
    <row r="94" spans="1:10">
      <c r="A94" s="7">
        <f>IF(Values_Entered,A93+1,"")</f>
        <v>77</v>
      </c>
      <c r="B94" s="6">
        <f t="shared" si="8"/>
        <v>46905</v>
      </c>
      <c r="C94" s="4">
        <f t="shared" si="14"/>
        <v>0</v>
      </c>
      <c r="D94" s="4">
        <f t="shared" si="9"/>
        <v>59908.922363410937</v>
      </c>
      <c r="E94" s="5">
        <f t="shared" si="10"/>
        <v>0</v>
      </c>
      <c r="F94" s="4">
        <f t="shared" si="11"/>
        <v>0</v>
      </c>
      <c r="G94" s="4">
        <f t="shared" si="12"/>
        <v>0</v>
      </c>
      <c r="H94" s="4">
        <f t="shared" si="15"/>
        <v>0</v>
      </c>
      <c r="I94" s="4">
        <f t="shared" si="13"/>
        <v>0</v>
      </c>
      <c r="J94" s="4">
        <f>SUM($H$18:$H94)</f>
        <v>237814.13672184906</v>
      </c>
    </row>
    <row r="95" spans="1:10">
      <c r="A95" s="7">
        <f>IF(Values_Entered,A94+1,"")</f>
        <v>78</v>
      </c>
      <c r="B95" s="6">
        <f t="shared" si="8"/>
        <v>46935</v>
      </c>
      <c r="C95" s="4">
        <f t="shared" si="14"/>
        <v>0</v>
      </c>
      <c r="D95" s="4">
        <f t="shared" si="9"/>
        <v>59908.922363410937</v>
      </c>
      <c r="E95" s="5">
        <f t="shared" si="10"/>
        <v>0</v>
      </c>
      <c r="F95" s="4">
        <f t="shared" si="11"/>
        <v>0</v>
      </c>
      <c r="G95" s="4">
        <f t="shared" si="12"/>
        <v>0</v>
      </c>
      <c r="H95" s="4">
        <f t="shared" si="15"/>
        <v>0</v>
      </c>
      <c r="I95" s="4">
        <f t="shared" si="13"/>
        <v>0</v>
      </c>
      <c r="J95" s="4">
        <f>SUM($H$18:$H95)</f>
        <v>237814.13672184906</v>
      </c>
    </row>
    <row r="96" spans="1:10">
      <c r="A96" s="7">
        <f>IF(Values_Entered,A95+1,"")</f>
        <v>79</v>
      </c>
      <c r="B96" s="6">
        <f t="shared" si="8"/>
        <v>46966</v>
      </c>
      <c r="C96" s="4">
        <f t="shared" si="14"/>
        <v>0</v>
      </c>
      <c r="D96" s="4">
        <f t="shared" si="9"/>
        <v>59908.922363410937</v>
      </c>
      <c r="E96" s="5">
        <f t="shared" si="10"/>
        <v>0</v>
      </c>
      <c r="F96" s="4">
        <f t="shared" si="11"/>
        <v>0</v>
      </c>
      <c r="G96" s="4">
        <f t="shared" si="12"/>
        <v>0</v>
      </c>
      <c r="H96" s="4">
        <f t="shared" si="15"/>
        <v>0</v>
      </c>
      <c r="I96" s="4">
        <f t="shared" si="13"/>
        <v>0</v>
      </c>
      <c r="J96" s="4">
        <f>SUM($H$18:$H96)</f>
        <v>237814.13672184906</v>
      </c>
    </row>
    <row r="97" spans="1:10">
      <c r="A97" s="7">
        <f>IF(Values_Entered,A96+1,"")</f>
        <v>80</v>
      </c>
      <c r="B97" s="6">
        <f t="shared" si="8"/>
        <v>46997</v>
      </c>
      <c r="C97" s="4">
        <f t="shared" si="14"/>
        <v>0</v>
      </c>
      <c r="D97" s="4">
        <f t="shared" si="9"/>
        <v>59908.922363410937</v>
      </c>
      <c r="E97" s="5">
        <f t="shared" si="10"/>
        <v>0</v>
      </c>
      <c r="F97" s="4">
        <f t="shared" si="11"/>
        <v>0</v>
      </c>
      <c r="G97" s="4">
        <f t="shared" si="12"/>
        <v>0</v>
      </c>
      <c r="H97" s="4">
        <f t="shared" si="15"/>
        <v>0</v>
      </c>
      <c r="I97" s="4">
        <f t="shared" si="13"/>
        <v>0</v>
      </c>
      <c r="J97" s="4">
        <f>SUM($H$18:$H97)</f>
        <v>237814.13672184906</v>
      </c>
    </row>
    <row r="98" spans="1:10">
      <c r="A98" s="7">
        <f>IF(Values_Entered,A97+1,"")</f>
        <v>81</v>
      </c>
      <c r="B98" s="6">
        <f t="shared" si="8"/>
        <v>47027</v>
      </c>
      <c r="C98" s="4">
        <f t="shared" si="14"/>
        <v>0</v>
      </c>
      <c r="D98" s="4">
        <f t="shared" si="9"/>
        <v>59908.922363410937</v>
      </c>
      <c r="E98" s="5">
        <f t="shared" si="10"/>
        <v>0</v>
      </c>
      <c r="F98" s="4">
        <f t="shared" si="11"/>
        <v>0</v>
      </c>
      <c r="G98" s="4">
        <f t="shared" si="12"/>
        <v>0</v>
      </c>
      <c r="H98" s="4">
        <f t="shared" si="15"/>
        <v>0</v>
      </c>
      <c r="I98" s="4">
        <f t="shared" si="13"/>
        <v>0</v>
      </c>
      <c r="J98" s="4">
        <f>SUM($H$18:$H98)</f>
        <v>237814.13672184906</v>
      </c>
    </row>
    <row r="99" spans="1:10">
      <c r="A99" s="7">
        <f>IF(Values_Entered,A98+1,"")</f>
        <v>82</v>
      </c>
      <c r="B99" s="6">
        <f t="shared" si="8"/>
        <v>47058</v>
      </c>
      <c r="C99" s="4">
        <f t="shared" si="14"/>
        <v>0</v>
      </c>
      <c r="D99" s="4">
        <f t="shared" si="9"/>
        <v>59908.922363410937</v>
      </c>
      <c r="E99" s="5">
        <f t="shared" si="10"/>
        <v>0</v>
      </c>
      <c r="F99" s="4">
        <f t="shared" si="11"/>
        <v>0</v>
      </c>
      <c r="G99" s="4">
        <f t="shared" si="12"/>
        <v>0</v>
      </c>
      <c r="H99" s="4">
        <f t="shared" si="15"/>
        <v>0</v>
      </c>
      <c r="I99" s="4">
        <f t="shared" si="13"/>
        <v>0</v>
      </c>
      <c r="J99" s="4">
        <f>SUM($H$18:$H99)</f>
        <v>237814.13672184906</v>
      </c>
    </row>
    <row r="100" spans="1:10">
      <c r="A100" s="7">
        <f>IF(Values_Entered,A99+1,"")</f>
        <v>83</v>
      </c>
      <c r="B100" s="6">
        <f t="shared" si="8"/>
        <v>47088</v>
      </c>
      <c r="C100" s="4">
        <f t="shared" si="14"/>
        <v>0</v>
      </c>
      <c r="D100" s="4">
        <f t="shared" si="9"/>
        <v>59908.922363410937</v>
      </c>
      <c r="E100" s="5">
        <f t="shared" si="10"/>
        <v>0</v>
      </c>
      <c r="F100" s="4">
        <f t="shared" si="11"/>
        <v>0</v>
      </c>
      <c r="G100" s="4">
        <f t="shared" si="12"/>
        <v>0</v>
      </c>
      <c r="H100" s="4">
        <f t="shared" si="15"/>
        <v>0</v>
      </c>
      <c r="I100" s="4">
        <f t="shared" si="13"/>
        <v>0</v>
      </c>
      <c r="J100" s="4">
        <f>SUM($H$18:$H100)</f>
        <v>237814.13672184906</v>
      </c>
    </row>
    <row r="101" spans="1:10">
      <c r="A101" s="7">
        <f>IF(Values_Entered,A100+1,"")</f>
        <v>84</v>
      </c>
      <c r="B101" s="6">
        <f t="shared" si="8"/>
        <v>47119</v>
      </c>
      <c r="C101" s="4">
        <f t="shared" si="14"/>
        <v>0</v>
      </c>
      <c r="D101" s="4">
        <f t="shared" si="9"/>
        <v>59908.922363410937</v>
      </c>
      <c r="E101" s="5">
        <f t="shared" si="10"/>
        <v>0</v>
      </c>
      <c r="F101" s="4">
        <f t="shared" si="11"/>
        <v>0</v>
      </c>
      <c r="G101" s="4">
        <f t="shared" si="12"/>
        <v>0</v>
      </c>
      <c r="H101" s="4">
        <f t="shared" si="15"/>
        <v>0</v>
      </c>
      <c r="I101" s="4">
        <f t="shared" si="13"/>
        <v>0</v>
      </c>
      <c r="J101" s="4">
        <f>SUM($H$18:$H101)</f>
        <v>237814.13672184906</v>
      </c>
    </row>
    <row r="102" spans="1:10">
      <c r="A102" s="7">
        <f>IF(Values_Entered,A101+1,"")</f>
        <v>85</v>
      </c>
      <c r="B102" s="6">
        <f t="shared" si="8"/>
        <v>47150</v>
      </c>
      <c r="C102" s="4">
        <f t="shared" si="14"/>
        <v>0</v>
      </c>
      <c r="D102" s="4">
        <f t="shared" si="9"/>
        <v>59908.922363410937</v>
      </c>
      <c r="E102" s="5">
        <f t="shared" si="10"/>
        <v>0</v>
      </c>
      <c r="F102" s="4">
        <f t="shared" si="11"/>
        <v>0</v>
      </c>
      <c r="G102" s="4">
        <f t="shared" si="12"/>
        <v>0</v>
      </c>
      <c r="H102" s="4">
        <f t="shared" si="15"/>
        <v>0</v>
      </c>
      <c r="I102" s="4">
        <f t="shared" si="13"/>
        <v>0</v>
      </c>
      <c r="J102" s="4">
        <f>SUM($H$18:$H102)</f>
        <v>237814.13672184906</v>
      </c>
    </row>
    <row r="103" spans="1:10">
      <c r="A103" s="7">
        <f>IF(Values_Entered,A102+1,"")</f>
        <v>86</v>
      </c>
      <c r="B103" s="6">
        <f t="shared" si="8"/>
        <v>47178</v>
      </c>
      <c r="C103" s="4">
        <f t="shared" si="14"/>
        <v>0</v>
      </c>
      <c r="D103" s="4">
        <f t="shared" si="9"/>
        <v>59908.922363410937</v>
      </c>
      <c r="E103" s="5">
        <f t="shared" si="10"/>
        <v>0</v>
      </c>
      <c r="F103" s="4">
        <f t="shared" si="11"/>
        <v>0</v>
      </c>
      <c r="G103" s="4">
        <f t="shared" si="12"/>
        <v>0</v>
      </c>
      <c r="H103" s="4">
        <f t="shared" si="15"/>
        <v>0</v>
      </c>
      <c r="I103" s="4">
        <f t="shared" si="13"/>
        <v>0</v>
      </c>
      <c r="J103" s="4">
        <f>SUM($H$18:$H103)</f>
        <v>237814.13672184906</v>
      </c>
    </row>
    <row r="104" spans="1:10">
      <c r="A104" s="7">
        <f>IF(Values_Entered,A103+1,"")</f>
        <v>87</v>
      </c>
      <c r="B104" s="6">
        <f t="shared" si="8"/>
        <v>47209</v>
      </c>
      <c r="C104" s="4">
        <f t="shared" si="14"/>
        <v>0</v>
      </c>
      <c r="D104" s="4">
        <f t="shared" si="9"/>
        <v>59908.922363410937</v>
      </c>
      <c r="E104" s="5">
        <f t="shared" si="10"/>
        <v>0</v>
      </c>
      <c r="F104" s="4">
        <f t="shared" si="11"/>
        <v>0</v>
      </c>
      <c r="G104" s="4">
        <f t="shared" si="12"/>
        <v>0</v>
      </c>
      <c r="H104" s="4">
        <f t="shared" si="15"/>
        <v>0</v>
      </c>
      <c r="I104" s="4">
        <f t="shared" si="13"/>
        <v>0</v>
      </c>
      <c r="J104" s="4">
        <f>SUM($H$18:$H104)</f>
        <v>237814.13672184906</v>
      </c>
    </row>
    <row r="105" spans="1:10">
      <c r="A105" s="7">
        <f>IF(Values_Entered,A104+1,"")</f>
        <v>88</v>
      </c>
      <c r="B105" s="6">
        <f t="shared" si="8"/>
        <v>47239</v>
      </c>
      <c r="C105" s="4">
        <f t="shared" si="14"/>
        <v>0</v>
      </c>
      <c r="D105" s="4">
        <f t="shared" si="9"/>
        <v>59908.922363410937</v>
      </c>
      <c r="E105" s="5">
        <f t="shared" si="10"/>
        <v>0</v>
      </c>
      <c r="F105" s="4">
        <f t="shared" si="11"/>
        <v>0</v>
      </c>
      <c r="G105" s="4">
        <f t="shared" si="12"/>
        <v>0</v>
      </c>
      <c r="H105" s="4">
        <f t="shared" si="15"/>
        <v>0</v>
      </c>
      <c r="I105" s="4">
        <f t="shared" si="13"/>
        <v>0</v>
      </c>
      <c r="J105" s="4">
        <f>SUM($H$18:$H105)</f>
        <v>237814.13672184906</v>
      </c>
    </row>
    <row r="106" spans="1:10">
      <c r="A106" s="7">
        <f>IF(Values_Entered,A105+1,"")</f>
        <v>89</v>
      </c>
      <c r="B106" s="6">
        <f t="shared" si="8"/>
        <v>47270</v>
      </c>
      <c r="C106" s="4">
        <f t="shared" si="14"/>
        <v>0</v>
      </c>
      <c r="D106" s="4">
        <f t="shared" si="9"/>
        <v>59908.922363410937</v>
      </c>
      <c r="E106" s="5">
        <f t="shared" si="10"/>
        <v>0</v>
      </c>
      <c r="F106" s="4">
        <f t="shared" si="11"/>
        <v>0</v>
      </c>
      <c r="G106" s="4">
        <f t="shared" si="12"/>
        <v>0</v>
      </c>
      <c r="H106" s="4">
        <f t="shared" si="15"/>
        <v>0</v>
      </c>
      <c r="I106" s="4">
        <f t="shared" si="13"/>
        <v>0</v>
      </c>
      <c r="J106" s="4">
        <f>SUM($H$18:$H106)</f>
        <v>237814.13672184906</v>
      </c>
    </row>
    <row r="107" spans="1:10">
      <c r="A107" s="7">
        <f>IF(Values_Entered,A106+1,"")</f>
        <v>90</v>
      </c>
      <c r="B107" s="6">
        <f t="shared" si="8"/>
        <v>47300</v>
      </c>
      <c r="C107" s="4">
        <f t="shared" si="14"/>
        <v>0</v>
      </c>
      <c r="D107" s="4">
        <f t="shared" si="9"/>
        <v>59908.922363410937</v>
      </c>
      <c r="E107" s="5">
        <f t="shared" si="10"/>
        <v>0</v>
      </c>
      <c r="F107" s="4">
        <f t="shared" si="11"/>
        <v>0</v>
      </c>
      <c r="G107" s="4">
        <f t="shared" si="12"/>
        <v>0</v>
      </c>
      <c r="H107" s="4">
        <f t="shared" si="15"/>
        <v>0</v>
      </c>
      <c r="I107" s="4">
        <f t="shared" si="13"/>
        <v>0</v>
      </c>
      <c r="J107" s="4">
        <f>SUM($H$18:$H107)</f>
        <v>237814.13672184906</v>
      </c>
    </row>
    <row r="108" spans="1:10">
      <c r="A108" s="7">
        <f>IF(Values_Entered,A107+1,"")</f>
        <v>91</v>
      </c>
      <c r="B108" s="6">
        <f t="shared" si="8"/>
        <v>47331</v>
      </c>
      <c r="C108" s="4">
        <f t="shared" si="14"/>
        <v>0</v>
      </c>
      <c r="D108" s="4">
        <f t="shared" si="9"/>
        <v>59908.922363410937</v>
      </c>
      <c r="E108" s="5">
        <f t="shared" si="10"/>
        <v>0</v>
      </c>
      <c r="F108" s="4">
        <f t="shared" si="11"/>
        <v>0</v>
      </c>
      <c r="G108" s="4">
        <f t="shared" si="12"/>
        <v>0</v>
      </c>
      <c r="H108" s="4">
        <f t="shared" si="15"/>
        <v>0</v>
      </c>
      <c r="I108" s="4">
        <f t="shared" si="13"/>
        <v>0</v>
      </c>
      <c r="J108" s="4">
        <f>SUM($H$18:$H108)</f>
        <v>237814.13672184906</v>
      </c>
    </row>
    <row r="109" spans="1:10">
      <c r="A109" s="7">
        <f>IF(Values_Entered,A108+1,"")</f>
        <v>92</v>
      </c>
      <c r="B109" s="6">
        <f t="shared" si="8"/>
        <v>47362</v>
      </c>
      <c r="C109" s="4">
        <f t="shared" si="14"/>
        <v>0</v>
      </c>
      <c r="D109" s="4">
        <f t="shared" si="9"/>
        <v>59908.922363410937</v>
      </c>
      <c r="E109" s="5">
        <f t="shared" si="10"/>
        <v>0</v>
      </c>
      <c r="F109" s="4">
        <f t="shared" si="11"/>
        <v>0</v>
      </c>
      <c r="G109" s="4">
        <f t="shared" si="12"/>
        <v>0</v>
      </c>
      <c r="H109" s="4">
        <f t="shared" si="15"/>
        <v>0</v>
      </c>
      <c r="I109" s="4">
        <f t="shared" si="13"/>
        <v>0</v>
      </c>
      <c r="J109" s="4">
        <f>SUM($H$18:$H109)</f>
        <v>237814.13672184906</v>
      </c>
    </row>
    <row r="110" spans="1:10">
      <c r="A110" s="7">
        <f>IF(Values_Entered,A109+1,"")</f>
        <v>93</v>
      </c>
      <c r="B110" s="6">
        <f t="shared" si="8"/>
        <v>47392</v>
      </c>
      <c r="C110" s="4">
        <f t="shared" si="14"/>
        <v>0</v>
      </c>
      <c r="D110" s="4">
        <f t="shared" si="9"/>
        <v>59908.922363410937</v>
      </c>
      <c r="E110" s="5">
        <f t="shared" si="10"/>
        <v>0</v>
      </c>
      <c r="F110" s="4">
        <f t="shared" si="11"/>
        <v>0</v>
      </c>
      <c r="G110" s="4">
        <f t="shared" si="12"/>
        <v>0</v>
      </c>
      <c r="H110" s="4">
        <f t="shared" si="15"/>
        <v>0</v>
      </c>
      <c r="I110" s="4">
        <f t="shared" si="13"/>
        <v>0</v>
      </c>
      <c r="J110" s="4">
        <f>SUM($H$18:$H110)</f>
        <v>237814.13672184906</v>
      </c>
    </row>
    <row r="111" spans="1:10">
      <c r="A111" s="7">
        <f>IF(Values_Entered,A110+1,"")</f>
        <v>94</v>
      </c>
      <c r="B111" s="6">
        <f t="shared" si="8"/>
        <v>47423</v>
      </c>
      <c r="C111" s="4">
        <f t="shared" si="14"/>
        <v>0</v>
      </c>
      <c r="D111" s="4">
        <f t="shared" si="9"/>
        <v>59908.922363410937</v>
      </c>
      <c r="E111" s="5">
        <f t="shared" si="10"/>
        <v>0</v>
      </c>
      <c r="F111" s="4">
        <f t="shared" si="11"/>
        <v>0</v>
      </c>
      <c r="G111" s="4">
        <f t="shared" si="12"/>
        <v>0</v>
      </c>
      <c r="H111" s="4">
        <f t="shared" si="15"/>
        <v>0</v>
      </c>
      <c r="I111" s="4">
        <f t="shared" si="13"/>
        <v>0</v>
      </c>
      <c r="J111" s="4">
        <f>SUM($H$18:$H111)</f>
        <v>237814.13672184906</v>
      </c>
    </row>
    <row r="112" spans="1:10">
      <c r="A112" s="7">
        <f>IF(Values_Entered,A111+1,"")</f>
        <v>95</v>
      </c>
      <c r="B112" s="6">
        <f t="shared" si="8"/>
        <v>47453</v>
      </c>
      <c r="C112" s="4">
        <f t="shared" si="14"/>
        <v>0</v>
      </c>
      <c r="D112" s="4">
        <f t="shared" si="9"/>
        <v>59908.922363410937</v>
      </c>
      <c r="E112" s="5">
        <f t="shared" si="10"/>
        <v>0</v>
      </c>
      <c r="F112" s="4">
        <f t="shared" si="11"/>
        <v>0</v>
      </c>
      <c r="G112" s="4">
        <f t="shared" si="12"/>
        <v>0</v>
      </c>
      <c r="H112" s="4">
        <f t="shared" si="15"/>
        <v>0</v>
      </c>
      <c r="I112" s="4">
        <f t="shared" si="13"/>
        <v>0</v>
      </c>
      <c r="J112" s="4">
        <f>SUM($H$18:$H112)</f>
        <v>237814.13672184906</v>
      </c>
    </row>
    <row r="113" spans="1:10">
      <c r="A113" s="7">
        <f>IF(Values_Entered,A112+1,"")</f>
        <v>96</v>
      </c>
      <c r="B113" s="6">
        <f t="shared" si="8"/>
        <v>47484</v>
      </c>
      <c r="C113" s="4">
        <f t="shared" si="14"/>
        <v>0</v>
      </c>
      <c r="D113" s="4">
        <f t="shared" si="9"/>
        <v>59908.922363410937</v>
      </c>
      <c r="E113" s="5">
        <f t="shared" si="10"/>
        <v>0</v>
      </c>
      <c r="F113" s="4">
        <f t="shared" si="11"/>
        <v>0</v>
      </c>
      <c r="G113" s="4">
        <f t="shared" si="12"/>
        <v>0</v>
      </c>
      <c r="H113" s="4">
        <f t="shared" si="15"/>
        <v>0</v>
      </c>
      <c r="I113" s="4">
        <f t="shared" si="13"/>
        <v>0</v>
      </c>
      <c r="J113" s="4">
        <f>SUM($H$18:$H113)</f>
        <v>237814.13672184906</v>
      </c>
    </row>
    <row r="114" spans="1:10">
      <c r="A114" s="7">
        <f>IF(Values_Entered,A113+1,"")</f>
        <v>97</v>
      </c>
      <c r="B114" s="6">
        <f t="shared" si="8"/>
        <v>47515</v>
      </c>
      <c r="C114" s="4">
        <f t="shared" si="14"/>
        <v>0</v>
      </c>
      <c r="D114" s="4">
        <f t="shared" si="9"/>
        <v>59908.922363410937</v>
      </c>
      <c r="E114" s="5">
        <f t="shared" si="10"/>
        <v>0</v>
      </c>
      <c r="F114" s="4">
        <f t="shared" si="11"/>
        <v>0</v>
      </c>
      <c r="G114" s="4">
        <f t="shared" si="12"/>
        <v>0</v>
      </c>
      <c r="H114" s="4">
        <f t="shared" si="15"/>
        <v>0</v>
      </c>
      <c r="I114" s="4">
        <f t="shared" si="13"/>
        <v>0</v>
      </c>
      <c r="J114" s="4">
        <f>SUM($H$18:$H114)</f>
        <v>237814.13672184906</v>
      </c>
    </row>
    <row r="115" spans="1:10">
      <c r="A115" s="7">
        <f>IF(Values_Entered,A114+1,"")</f>
        <v>98</v>
      </c>
      <c r="B115" s="6">
        <f t="shared" si="8"/>
        <v>47543</v>
      </c>
      <c r="C115" s="4">
        <f t="shared" si="14"/>
        <v>0</v>
      </c>
      <c r="D115" s="4">
        <f t="shared" si="9"/>
        <v>59908.922363410937</v>
      </c>
      <c r="E115" s="5">
        <f t="shared" si="10"/>
        <v>0</v>
      </c>
      <c r="F115" s="4">
        <f t="shared" si="11"/>
        <v>0</v>
      </c>
      <c r="G115" s="4">
        <f t="shared" si="12"/>
        <v>0</v>
      </c>
      <c r="H115" s="4">
        <f t="shared" si="15"/>
        <v>0</v>
      </c>
      <c r="I115" s="4">
        <f t="shared" si="13"/>
        <v>0</v>
      </c>
      <c r="J115" s="4">
        <f>SUM($H$18:$H115)</f>
        <v>237814.13672184906</v>
      </c>
    </row>
    <row r="116" spans="1:10">
      <c r="A116" s="7">
        <f>IF(Values_Entered,A115+1,"")</f>
        <v>99</v>
      </c>
      <c r="B116" s="6">
        <f t="shared" si="8"/>
        <v>47574</v>
      </c>
      <c r="C116" s="4">
        <f t="shared" si="14"/>
        <v>0</v>
      </c>
      <c r="D116" s="4">
        <f t="shared" si="9"/>
        <v>59908.922363410937</v>
      </c>
      <c r="E116" s="5">
        <f t="shared" si="10"/>
        <v>0</v>
      </c>
      <c r="F116" s="4">
        <f t="shared" si="11"/>
        <v>0</v>
      </c>
      <c r="G116" s="4">
        <f t="shared" si="12"/>
        <v>0</v>
      </c>
      <c r="H116" s="4">
        <f t="shared" si="15"/>
        <v>0</v>
      </c>
      <c r="I116" s="4">
        <f t="shared" si="13"/>
        <v>0</v>
      </c>
      <c r="J116" s="4">
        <f>SUM($H$18:$H116)</f>
        <v>237814.13672184906</v>
      </c>
    </row>
    <row r="117" spans="1:10">
      <c r="A117" s="7">
        <f>IF(Values_Entered,A116+1,"")</f>
        <v>100</v>
      </c>
      <c r="B117" s="6">
        <f t="shared" si="8"/>
        <v>47604</v>
      </c>
      <c r="C117" s="4">
        <f t="shared" si="14"/>
        <v>0</v>
      </c>
      <c r="D117" s="4">
        <f t="shared" si="9"/>
        <v>59908.922363410937</v>
      </c>
      <c r="E117" s="5">
        <f t="shared" si="10"/>
        <v>0</v>
      </c>
      <c r="F117" s="4">
        <f t="shared" si="11"/>
        <v>0</v>
      </c>
      <c r="G117" s="4">
        <f t="shared" si="12"/>
        <v>0</v>
      </c>
      <c r="H117" s="4">
        <f t="shared" si="15"/>
        <v>0</v>
      </c>
      <c r="I117" s="4">
        <f t="shared" si="13"/>
        <v>0</v>
      </c>
      <c r="J117" s="4">
        <f>SUM($H$18:$H117)</f>
        <v>237814.13672184906</v>
      </c>
    </row>
    <row r="118" spans="1:10">
      <c r="A118" s="7">
        <f>IF(Values_Entered,A117+1,"")</f>
        <v>101</v>
      </c>
      <c r="B118" s="6">
        <f t="shared" si="8"/>
        <v>47635</v>
      </c>
      <c r="C118" s="4">
        <f t="shared" si="14"/>
        <v>0</v>
      </c>
      <c r="D118" s="4">
        <f t="shared" si="9"/>
        <v>59908.922363410937</v>
      </c>
      <c r="E118" s="5">
        <f t="shared" si="10"/>
        <v>0</v>
      </c>
      <c r="F118" s="4">
        <f t="shared" si="11"/>
        <v>0</v>
      </c>
      <c r="G118" s="4">
        <f t="shared" si="12"/>
        <v>0</v>
      </c>
      <c r="H118" s="4">
        <f t="shared" si="15"/>
        <v>0</v>
      </c>
      <c r="I118" s="4">
        <f t="shared" si="13"/>
        <v>0</v>
      </c>
      <c r="J118" s="4">
        <f>SUM($H$18:$H118)</f>
        <v>237814.13672184906</v>
      </c>
    </row>
    <row r="119" spans="1:10">
      <c r="A119" s="7">
        <f>IF(Values_Entered,A118+1,"")</f>
        <v>102</v>
      </c>
      <c r="B119" s="6">
        <f t="shared" si="8"/>
        <v>47665</v>
      </c>
      <c r="C119" s="4">
        <f t="shared" si="14"/>
        <v>0</v>
      </c>
      <c r="D119" s="4">
        <f t="shared" si="9"/>
        <v>59908.922363410937</v>
      </c>
      <c r="E119" s="5">
        <f t="shared" si="10"/>
        <v>0</v>
      </c>
      <c r="F119" s="4">
        <f t="shared" si="11"/>
        <v>0</v>
      </c>
      <c r="G119" s="4">
        <f t="shared" si="12"/>
        <v>0</v>
      </c>
      <c r="H119" s="4">
        <f t="shared" si="15"/>
        <v>0</v>
      </c>
      <c r="I119" s="4">
        <f t="shared" si="13"/>
        <v>0</v>
      </c>
      <c r="J119" s="4">
        <f>SUM($H$18:$H119)</f>
        <v>237814.13672184906</v>
      </c>
    </row>
    <row r="120" spans="1:10">
      <c r="A120" s="7">
        <f>IF(Values_Entered,A119+1,"")</f>
        <v>103</v>
      </c>
      <c r="B120" s="6">
        <f t="shared" si="8"/>
        <v>47696</v>
      </c>
      <c r="C120" s="4">
        <f t="shared" si="14"/>
        <v>0</v>
      </c>
      <c r="D120" s="4">
        <f t="shared" si="9"/>
        <v>59908.922363410937</v>
      </c>
      <c r="E120" s="5">
        <f t="shared" si="10"/>
        <v>0</v>
      </c>
      <c r="F120" s="4">
        <f t="shared" si="11"/>
        <v>0</v>
      </c>
      <c r="G120" s="4">
        <f t="shared" si="12"/>
        <v>0</v>
      </c>
      <c r="H120" s="4">
        <f t="shared" si="15"/>
        <v>0</v>
      </c>
      <c r="I120" s="4">
        <f t="shared" si="13"/>
        <v>0</v>
      </c>
      <c r="J120" s="4">
        <f>SUM($H$18:$H120)</f>
        <v>237814.13672184906</v>
      </c>
    </row>
    <row r="121" spans="1:10">
      <c r="A121" s="7">
        <f>IF(Values_Entered,A120+1,"")</f>
        <v>104</v>
      </c>
      <c r="B121" s="6">
        <f t="shared" si="8"/>
        <v>47727</v>
      </c>
      <c r="C121" s="4">
        <f t="shared" si="14"/>
        <v>0</v>
      </c>
      <c r="D121" s="4">
        <f t="shared" si="9"/>
        <v>59908.922363410937</v>
      </c>
      <c r="E121" s="5">
        <f t="shared" si="10"/>
        <v>0</v>
      </c>
      <c r="F121" s="4">
        <f t="shared" si="11"/>
        <v>0</v>
      </c>
      <c r="G121" s="4">
        <f t="shared" si="12"/>
        <v>0</v>
      </c>
      <c r="H121" s="4">
        <f t="shared" si="15"/>
        <v>0</v>
      </c>
      <c r="I121" s="4">
        <f t="shared" si="13"/>
        <v>0</v>
      </c>
      <c r="J121" s="4">
        <f>SUM($H$18:$H121)</f>
        <v>237814.13672184906</v>
      </c>
    </row>
    <row r="122" spans="1:10">
      <c r="A122" s="7">
        <f>IF(Values_Entered,A121+1,"")</f>
        <v>105</v>
      </c>
      <c r="B122" s="6">
        <f t="shared" si="8"/>
        <v>47757</v>
      </c>
      <c r="C122" s="4">
        <f t="shared" si="14"/>
        <v>0</v>
      </c>
      <c r="D122" s="4">
        <f t="shared" si="9"/>
        <v>59908.922363410937</v>
      </c>
      <c r="E122" s="5">
        <f t="shared" si="10"/>
        <v>0</v>
      </c>
      <c r="F122" s="4">
        <f t="shared" si="11"/>
        <v>0</v>
      </c>
      <c r="G122" s="4">
        <f t="shared" si="12"/>
        <v>0</v>
      </c>
      <c r="H122" s="4">
        <f t="shared" si="15"/>
        <v>0</v>
      </c>
      <c r="I122" s="4">
        <f t="shared" si="13"/>
        <v>0</v>
      </c>
      <c r="J122" s="4">
        <f>SUM($H$18:$H122)</f>
        <v>237814.13672184906</v>
      </c>
    </row>
    <row r="123" spans="1:10">
      <c r="A123" s="7">
        <f>IF(Values_Entered,A122+1,"")</f>
        <v>106</v>
      </c>
      <c r="B123" s="6">
        <f t="shared" si="8"/>
        <v>47788</v>
      </c>
      <c r="C123" s="4">
        <f t="shared" si="14"/>
        <v>0</v>
      </c>
      <c r="D123" s="4">
        <f t="shared" si="9"/>
        <v>59908.922363410937</v>
      </c>
      <c r="E123" s="5">
        <f t="shared" si="10"/>
        <v>0</v>
      </c>
      <c r="F123" s="4">
        <f t="shared" si="11"/>
        <v>0</v>
      </c>
      <c r="G123" s="4">
        <f t="shared" si="12"/>
        <v>0</v>
      </c>
      <c r="H123" s="4">
        <f t="shared" si="15"/>
        <v>0</v>
      </c>
      <c r="I123" s="4">
        <f t="shared" si="13"/>
        <v>0</v>
      </c>
      <c r="J123" s="4">
        <f>SUM($H$18:$H123)</f>
        <v>237814.13672184906</v>
      </c>
    </row>
    <row r="124" spans="1:10">
      <c r="A124" s="7">
        <f>IF(Values_Entered,A123+1,"")</f>
        <v>107</v>
      </c>
      <c r="B124" s="6">
        <f t="shared" si="8"/>
        <v>47818</v>
      </c>
      <c r="C124" s="4">
        <f t="shared" si="14"/>
        <v>0</v>
      </c>
      <c r="D124" s="4">
        <f t="shared" si="9"/>
        <v>59908.922363410937</v>
      </c>
      <c r="E124" s="5">
        <f t="shared" si="10"/>
        <v>0</v>
      </c>
      <c r="F124" s="4">
        <f t="shared" si="11"/>
        <v>0</v>
      </c>
      <c r="G124" s="4">
        <f t="shared" si="12"/>
        <v>0</v>
      </c>
      <c r="H124" s="4">
        <f t="shared" si="15"/>
        <v>0</v>
      </c>
      <c r="I124" s="4">
        <f t="shared" si="13"/>
        <v>0</v>
      </c>
      <c r="J124" s="4">
        <f>SUM($H$18:$H124)</f>
        <v>237814.13672184906</v>
      </c>
    </row>
    <row r="125" spans="1:10">
      <c r="A125" s="7">
        <f>IF(Values_Entered,A124+1,"")</f>
        <v>108</v>
      </c>
      <c r="B125" s="6">
        <f t="shared" si="8"/>
        <v>47849</v>
      </c>
      <c r="C125" s="4">
        <f t="shared" si="14"/>
        <v>0</v>
      </c>
      <c r="D125" s="4">
        <f t="shared" si="9"/>
        <v>59908.922363410937</v>
      </c>
      <c r="E125" s="5">
        <f t="shared" si="10"/>
        <v>0</v>
      </c>
      <c r="F125" s="4">
        <f t="shared" si="11"/>
        <v>0</v>
      </c>
      <c r="G125" s="4">
        <f t="shared" si="12"/>
        <v>0</v>
      </c>
      <c r="H125" s="4">
        <f t="shared" si="15"/>
        <v>0</v>
      </c>
      <c r="I125" s="4">
        <f t="shared" si="13"/>
        <v>0</v>
      </c>
      <c r="J125" s="4">
        <f>SUM($H$18:$H125)</f>
        <v>237814.13672184906</v>
      </c>
    </row>
    <row r="126" spans="1:10">
      <c r="A126" s="7">
        <f>IF(Values_Entered,A125+1,"")</f>
        <v>109</v>
      </c>
      <c r="B126" s="6">
        <f t="shared" si="8"/>
        <v>47880</v>
      </c>
      <c r="C126" s="4">
        <f t="shared" si="14"/>
        <v>0</v>
      </c>
      <c r="D126" s="4">
        <f t="shared" si="9"/>
        <v>59908.922363410937</v>
      </c>
      <c r="E126" s="5">
        <f t="shared" si="10"/>
        <v>0</v>
      </c>
      <c r="F126" s="4">
        <f t="shared" si="11"/>
        <v>0</v>
      </c>
      <c r="G126" s="4">
        <f t="shared" si="12"/>
        <v>0</v>
      </c>
      <c r="H126" s="4">
        <f t="shared" si="15"/>
        <v>0</v>
      </c>
      <c r="I126" s="4">
        <f t="shared" si="13"/>
        <v>0</v>
      </c>
      <c r="J126" s="4">
        <f>SUM($H$18:$H126)</f>
        <v>237814.13672184906</v>
      </c>
    </row>
    <row r="127" spans="1:10">
      <c r="A127" s="7">
        <f>IF(Values_Entered,A126+1,"")</f>
        <v>110</v>
      </c>
      <c r="B127" s="6">
        <f t="shared" si="8"/>
        <v>47908</v>
      </c>
      <c r="C127" s="4">
        <f t="shared" si="14"/>
        <v>0</v>
      </c>
      <c r="D127" s="4">
        <f t="shared" si="9"/>
        <v>59908.922363410937</v>
      </c>
      <c r="E127" s="5">
        <f t="shared" si="10"/>
        <v>0</v>
      </c>
      <c r="F127" s="4">
        <f t="shared" si="11"/>
        <v>0</v>
      </c>
      <c r="G127" s="4">
        <f t="shared" si="12"/>
        <v>0</v>
      </c>
      <c r="H127" s="4">
        <f t="shared" si="15"/>
        <v>0</v>
      </c>
      <c r="I127" s="4">
        <f t="shared" si="13"/>
        <v>0</v>
      </c>
      <c r="J127" s="4">
        <f>SUM($H$18:$H127)</f>
        <v>237814.13672184906</v>
      </c>
    </row>
    <row r="128" spans="1:10">
      <c r="A128" s="7">
        <f>IF(Values_Entered,A127+1,"")</f>
        <v>111</v>
      </c>
      <c r="B128" s="6">
        <f t="shared" si="8"/>
        <v>47939</v>
      </c>
      <c r="C128" s="4">
        <f t="shared" si="14"/>
        <v>0</v>
      </c>
      <c r="D128" s="4">
        <f t="shared" si="9"/>
        <v>59908.922363410937</v>
      </c>
      <c r="E128" s="5">
        <f t="shared" si="10"/>
        <v>0</v>
      </c>
      <c r="F128" s="4">
        <f t="shared" si="11"/>
        <v>0</v>
      </c>
      <c r="G128" s="4">
        <f t="shared" si="12"/>
        <v>0</v>
      </c>
      <c r="H128" s="4">
        <f t="shared" si="15"/>
        <v>0</v>
      </c>
      <c r="I128" s="4">
        <f t="shared" si="13"/>
        <v>0</v>
      </c>
      <c r="J128" s="4">
        <f>SUM($H$18:$H128)</f>
        <v>237814.13672184906</v>
      </c>
    </row>
    <row r="129" spans="1:10">
      <c r="A129" s="7">
        <f>IF(Values_Entered,A128+1,"")</f>
        <v>112</v>
      </c>
      <c r="B129" s="6">
        <f t="shared" si="8"/>
        <v>47969</v>
      </c>
      <c r="C129" s="4">
        <f t="shared" si="14"/>
        <v>0</v>
      </c>
      <c r="D129" s="4">
        <f t="shared" si="9"/>
        <v>59908.922363410937</v>
      </c>
      <c r="E129" s="5">
        <f t="shared" si="10"/>
        <v>0</v>
      </c>
      <c r="F129" s="4">
        <f t="shared" si="11"/>
        <v>0</v>
      </c>
      <c r="G129" s="4">
        <f t="shared" si="12"/>
        <v>0</v>
      </c>
      <c r="H129" s="4">
        <f t="shared" si="15"/>
        <v>0</v>
      </c>
      <c r="I129" s="4">
        <f t="shared" si="13"/>
        <v>0</v>
      </c>
      <c r="J129" s="4">
        <f>SUM($H$18:$H129)</f>
        <v>237814.13672184906</v>
      </c>
    </row>
    <row r="130" spans="1:10">
      <c r="A130" s="7">
        <f>IF(Values_Entered,A129+1,"")</f>
        <v>113</v>
      </c>
      <c r="B130" s="6">
        <f t="shared" si="8"/>
        <v>48000</v>
      </c>
      <c r="C130" s="4">
        <f t="shared" si="14"/>
        <v>0</v>
      </c>
      <c r="D130" s="4">
        <f t="shared" si="9"/>
        <v>59908.922363410937</v>
      </c>
      <c r="E130" s="5">
        <f t="shared" si="10"/>
        <v>0</v>
      </c>
      <c r="F130" s="4">
        <f t="shared" si="11"/>
        <v>0</v>
      </c>
      <c r="G130" s="4">
        <f t="shared" si="12"/>
        <v>0</v>
      </c>
      <c r="H130" s="4">
        <f t="shared" si="15"/>
        <v>0</v>
      </c>
      <c r="I130" s="4">
        <f t="shared" si="13"/>
        <v>0</v>
      </c>
      <c r="J130" s="4">
        <f>SUM($H$18:$H130)</f>
        <v>237814.13672184906</v>
      </c>
    </row>
    <row r="131" spans="1:10">
      <c r="A131" s="7">
        <f>IF(Values_Entered,A130+1,"")</f>
        <v>114</v>
      </c>
      <c r="B131" s="6">
        <f t="shared" si="8"/>
        <v>48030</v>
      </c>
      <c r="C131" s="4">
        <f t="shared" si="14"/>
        <v>0</v>
      </c>
      <c r="D131" s="4">
        <f t="shared" si="9"/>
        <v>59908.922363410937</v>
      </c>
      <c r="E131" s="5">
        <f t="shared" si="10"/>
        <v>0</v>
      </c>
      <c r="F131" s="4">
        <f t="shared" si="11"/>
        <v>0</v>
      </c>
      <c r="G131" s="4">
        <f t="shared" si="12"/>
        <v>0</v>
      </c>
      <c r="H131" s="4">
        <f t="shared" si="15"/>
        <v>0</v>
      </c>
      <c r="I131" s="4">
        <f t="shared" si="13"/>
        <v>0</v>
      </c>
      <c r="J131" s="4">
        <f>SUM($H$18:$H131)</f>
        <v>237814.13672184906</v>
      </c>
    </row>
    <row r="132" spans="1:10">
      <c r="A132" s="7">
        <f>IF(Values_Entered,A131+1,"")</f>
        <v>115</v>
      </c>
      <c r="B132" s="6">
        <f t="shared" si="8"/>
        <v>48061</v>
      </c>
      <c r="C132" s="4">
        <f t="shared" si="14"/>
        <v>0</v>
      </c>
      <c r="D132" s="4">
        <f t="shared" si="9"/>
        <v>59908.922363410937</v>
      </c>
      <c r="E132" s="5">
        <f t="shared" si="10"/>
        <v>0</v>
      </c>
      <c r="F132" s="4">
        <f t="shared" si="11"/>
        <v>0</v>
      </c>
      <c r="G132" s="4">
        <f t="shared" si="12"/>
        <v>0</v>
      </c>
      <c r="H132" s="4">
        <f t="shared" si="15"/>
        <v>0</v>
      </c>
      <c r="I132" s="4">
        <f t="shared" si="13"/>
        <v>0</v>
      </c>
      <c r="J132" s="4">
        <f>SUM($H$18:$H132)</f>
        <v>237814.13672184906</v>
      </c>
    </row>
    <row r="133" spans="1:10">
      <c r="A133" s="7">
        <f>IF(Values_Entered,A132+1,"")</f>
        <v>116</v>
      </c>
      <c r="B133" s="6">
        <f t="shared" si="8"/>
        <v>48092</v>
      </c>
      <c r="C133" s="4">
        <f t="shared" si="14"/>
        <v>0</v>
      </c>
      <c r="D133" s="4">
        <f t="shared" si="9"/>
        <v>59908.922363410937</v>
      </c>
      <c r="E133" s="5">
        <f t="shared" si="10"/>
        <v>0</v>
      </c>
      <c r="F133" s="4">
        <f t="shared" si="11"/>
        <v>0</v>
      </c>
      <c r="G133" s="4">
        <f t="shared" si="12"/>
        <v>0</v>
      </c>
      <c r="H133" s="4">
        <f t="shared" si="15"/>
        <v>0</v>
      </c>
      <c r="I133" s="4">
        <f t="shared" si="13"/>
        <v>0</v>
      </c>
      <c r="J133" s="4">
        <f>SUM($H$18:$H133)</f>
        <v>237814.13672184906</v>
      </c>
    </row>
    <row r="134" spans="1:10">
      <c r="A134" s="7">
        <f>IF(Values_Entered,A133+1,"")</f>
        <v>117</v>
      </c>
      <c r="B134" s="6">
        <f t="shared" si="8"/>
        <v>48122</v>
      </c>
      <c r="C134" s="4">
        <f t="shared" si="14"/>
        <v>0</v>
      </c>
      <c r="D134" s="4">
        <f t="shared" si="9"/>
        <v>59908.922363410937</v>
      </c>
      <c r="E134" s="5">
        <f t="shared" si="10"/>
        <v>0</v>
      </c>
      <c r="F134" s="4">
        <f t="shared" si="11"/>
        <v>0</v>
      </c>
      <c r="G134" s="4">
        <f t="shared" si="12"/>
        <v>0</v>
      </c>
      <c r="H134" s="4">
        <f t="shared" si="15"/>
        <v>0</v>
      </c>
      <c r="I134" s="4">
        <f t="shared" si="13"/>
        <v>0</v>
      </c>
      <c r="J134" s="4">
        <f>SUM($H$18:$H134)</f>
        <v>237814.13672184906</v>
      </c>
    </row>
    <row r="135" spans="1:10">
      <c r="A135" s="7">
        <f>IF(Values_Entered,A134+1,"")</f>
        <v>118</v>
      </c>
      <c r="B135" s="6">
        <f t="shared" si="8"/>
        <v>48153</v>
      </c>
      <c r="C135" s="4">
        <f t="shared" si="14"/>
        <v>0</v>
      </c>
      <c r="D135" s="4">
        <f t="shared" si="9"/>
        <v>59908.922363410937</v>
      </c>
      <c r="E135" s="5">
        <f t="shared" si="10"/>
        <v>0</v>
      </c>
      <c r="F135" s="4">
        <f t="shared" si="11"/>
        <v>0</v>
      </c>
      <c r="G135" s="4">
        <f t="shared" si="12"/>
        <v>0</v>
      </c>
      <c r="H135" s="4">
        <f t="shared" si="15"/>
        <v>0</v>
      </c>
      <c r="I135" s="4">
        <f t="shared" si="13"/>
        <v>0</v>
      </c>
      <c r="J135" s="4">
        <f>SUM($H$18:$H135)</f>
        <v>237814.13672184906</v>
      </c>
    </row>
    <row r="136" spans="1:10">
      <c r="A136" s="7">
        <f>IF(Values_Entered,A135+1,"")</f>
        <v>119</v>
      </c>
      <c r="B136" s="6">
        <f t="shared" si="8"/>
        <v>48183</v>
      </c>
      <c r="C136" s="4">
        <f t="shared" si="14"/>
        <v>0</v>
      </c>
      <c r="D136" s="4">
        <f t="shared" si="9"/>
        <v>59908.922363410937</v>
      </c>
      <c r="E136" s="5">
        <f t="shared" si="10"/>
        <v>0</v>
      </c>
      <c r="F136" s="4">
        <f t="shared" si="11"/>
        <v>0</v>
      </c>
      <c r="G136" s="4">
        <f t="shared" si="12"/>
        <v>0</v>
      </c>
      <c r="H136" s="4">
        <f t="shared" si="15"/>
        <v>0</v>
      </c>
      <c r="I136" s="4">
        <f t="shared" si="13"/>
        <v>0</v>
      </c>
      <c r="J136" s="4">
        <f>SUM($H$18:$H136)</f>
        <v>237814.13672184906</v>
      </c>
    </row>
    <row r="137" spans="1:10">
      <c r="A137" s="7">
        <f>IF(Values_Entered,A136+1,"")</f>
        <v>120</v>
      </c>
      <c r="B137" s="6">
        <f t="shared" si="8"/>
        <v>48214</v>
      </c>
      <c r="C137" s="4">
        <f t="shared" si="14"/>
        <v>0</v>
      </c>
      <c r="D137" s="4">
        <f t="shared" si="9"/>
        <v>59908.922363410937</v>
      </c>
      <c r="E137" s="5">
        <f t="shared" si="10"/>
        <v>0</v>
      </c>
      <c r="F137" s="4">
        <f t="shared" si="11"/>
        <v>0</v>
      </c>
      <c r="G137" s="4">
        <f t="shared" si="12"/>
        <v>0</v>
      </c>
      <c r="H137" s="4">
        <f t="shared" si="15"/>
        <v>0</v>
      </c>
      <c r="I137" s="4">
        <f t="shared" si="13"/>
        <v>0</v>
      </c>
      <c r="J137" s="4">
        <f>SUM($H$18:$H137)</f>
        <v>237814.13672184906</v>
      </c>
    </row>
    <row r="138" spans="1:10">
      <c r="A138" s="7">
        <f>IF(Values_Entered,A137+1,"")</f>
        <v>121</v>
      </c>
      <c r="B138" s="6">
        <f t="shared" si="8"/>
        <v>48245</v>
      </c>
      <c r="C138" s="4">
        <f t="shared" si="14"/>
        <v>0</v>
      </c>
      <c r="D138" s="4">
        <f t="shared" si="9"/>
        <v>59908.922363410937</v>
      </c>
      <c r="E138" s="5">
        <f t="shared" si="10"/>
        <v>0</v>
      </c>
      <c r="F138" s="4">
        <f t="shared" si="11"/>
        <v>0</v>
      </c>
      <c r="G138" s="4">
        <f t="shared" si="12"/>
        <v>0</v>
      </c>
      <c r="H138" s="4">
        <f t="shared" si="15"/>
        <v>0</v>
      </c>
      <c r="I138" s="4">
        <f t="shared" si="13"/>
        <v>0</v>
      </c>
      <c r="J138" s="4">
        <f>SUM($H$18:$H138)</f>
        <v>237814.13672184906</v>
      </c>
    </row>
    <row r="139" spans="1:10">
      <c r="A139" s="7">
        <f>IF(Values_Entered,A138+1,"")</f>
        <v>122</v>
      </c>
      <c r="B139" s="6">
        <f t="shared" si="8"/>
        <v>48274</v>
      </c>
      <c r="C139" s="4">
        <f t="shared" si="14"/>
        <v>0</v>
      </c>
      <c r="D139" s="4">
        <f t="shared" si="9"/>
        <v>59908.922363410937</v>
      </c>
      <c r="E139" s="5">
        <f t="shared" si="10"/>
        <v>0</v>
      </c>
      <c r="F139" s="4">
        <f t="shared" si="11"/>
        <v>0</v>
      </c>
      <c r="G139" s="4">
        <f t="shared" si="12"/>
        <v>0</v>
      </c>
      <c r="H139" s="4">
        <f t="shared" si="15"/>
        <v>0</v>
      </c>
      <c r="I139" s="4">
        <f t="shared" si="13"/>
        <v>0</v>
      </c>
      <c r="J139" s="4">
        <f>SUM($H$18:$H139)</f>
        <v>237814.13672184906</v>
      </c>
    </row>
    <row r="140" spans="1:10">
      <c r="A140" s="7">
        <f>IF(Values_Entered,A139+1,"")</f>
        <v>123</v>
      </c>
      <c r="B140" s="6">
        <f t="shared" si="8"/>
        <v>48305</v>
      </c>
      <c r="C140" s="4">
        <f t="shared" si="14"/>
        <v>0</v>
      </c>
      <c r="D140" s="4">
        <f t="shared" si="9"/>
        <v>59908.922363410937</v>
      </c>
      <c r="E140" s="5">
        <f t="shared" si="10"/>
        <v>0</v>
      </c>
      <c r="F140" s="4">
        <f t="shared" si="11"/>
        <v>0</v>
      </c>
      <c r="G140" s="4">
        <f t="shared" si="12"/>
        <v>0</v>
      </c>
      <c r="H140" s="4">
        <f t="shared" si="15"/>
        <v>0</v>
      </c>
      <c r="I140" s="4">
        <f t="shared" si="13"/>
        <v>0</v>
      </c>
      <c r="J140" s="4">
        <f>SUM($H$18:$H140)</f>
        <v>237814.13672184906</v>
      </c>
    </row>
    <row r="141" spans="1:10">
      <c r="A141" s="7">
        <f>IF(Values_Entered,A140+1,"")</f>
        <v>124</v>
      </c>
      <c r="B141" s="6">
        <f t="shared" si="8"/>
        <v>48335</v>
      </c>
      <c r="C141" s="4">
        <f t="shared" si="14"/>
        <v>0</v>
      </c>
      <c r="D141" s="4">
        <f t="shared" si="9"/>
        <v>59908.922363410937</v>
      </c>
      <c r="E141" s="5">
        <f t="shared" si="10"/>
        <v>0</v>
      </c>
      <c r="F141" s="4">
        <f t="shared" si="11"/>
        <v>0</v>
      </c>
      <c r="G141" s="4">
        <f t="shared" si="12"/>
        <v>0</v>
      </c>
      <c r="H141" s="4">
        <f t="shared" si="15"/>
        <v>0</v>
      </c>
      <c r="I141" s="4">
        <f t="shared" si="13"/>
        <v>0</v>
      </c>
      <c r="J141" s="4">
        <f>SUM($H$18:$H141)</f>
        <v>237814.13672184906</v>
      </c>
    </row>
    <row r="142" spans="1:10">
      <c r="A142" s="7">
        <f>IF(Values_Entered,A141+1,"")</f>
        <v>125</v>
      </c>
      <c r="B142" s="6">
        <f t="shared" si="8"/>
        <v>48366</v>
      </c>
      <c r="C142" s="4">
        <f t="shared" si="14"/>
        <v>0</v>
      </c>
      <c r="D142" s="4">
        <f t="shared" si="9"/>
        <v>59908.922363410937</v>
      </c>
      <c r="E142" s="5">
        <f t="shared" si="10"/>
        <v>0</v>
      </c>
      <c r="F142" s="4">
        <f t="shared" si="11"/>
        <v>0</v>
      </c>
      <c r="G142" s="4">
        <f t="shared" si="12"/>
        <v>0</v>
      </c>
      <c r="H142" s="4">
        <f t="shared" si="15"/>
        <v>0</v>
      </c>
      <c r="I142" s="4">
        <f t="shared" si="13"/>
        <v>0</v>
      </c>
      <c r="J142" s="4">
        <f>SUM($H$18:$H142)</f>
        <v>237814.13672184906</v>
      </c>
    </row>
    <row r="143" spans="1:10">
      <c r="A143" s="7">
        <f>IF(Values_Entered,A142+1,"")</f>
        <v>126</v>
      </c>
      <c r="B143" s="6">
        <f t="shared" si="8"/>
        <v>48396</v>
      </c>
      <c r="C143" s="4">
        <f t="shared" si="14"/>
        <v>0</v>
      </c>
      <c r="D143" s="4">
        <f t="shared" si="9"/>
        <v>59908.922363410937</v>
      </c>
      <c r="E143" s="5">
        <f t="shared" si="10"/>
        <v>0</v>
      </c>
      <c r="F143" s="4">
        <f t="shared" si="11"/>
        <v>0</v>
      </c>
      <c r="G143" s="4">
        <f t="shared" si="12"/>
        <v>0</v>
      </c>
      <c r="H143" s="4">
        <f t="shared" si="15"/>
        <v>0</v>
      </c>
      <c r="I143" s="4">
        <f t="shared" si="13"/>
        <v>0</v>
      </c>
      <c r="J143" s="4">
        <f>SUM($H$18:$H143)</f>
        <v>237814.13672184906</v>
      </c>
    </row>
    <row r="144" spans="1:10">
      <c r="A144" s="7">
        <f>IF(Values_Entered,A143+1,"")</f>
        <v>127</v>
      </c>
      <c r="B144" s="6">
        <f t="shared" si="8"/>
        <v>48427</v>
      </c>
      <c r="C144" s="4">
        <f t="shared" si="14"/>
        <v>0</v>
      </c>
      <c r="D144" s="4">
        <f t="shared" si="9"/>
        <v>59908.922363410937</v>
      </c>
      <c r="E144" s="5">
        <f t="shared" si="10"/>
        <v>0</v>
      </c>
      <c r="F144" s="4">
        <f t="shared" si="11"/>
        <v>0</v>
      </c>
      <c r="G144" s="4">
        <f t="shared" si="12"/>
        <v>0</v>
      </c>
      <c r="H144" s="4">
        <f t="shared" si="15"/>
        <v>0</v>
      </c>
      <c r="I144" s="4">
        <f t="shared" si="13"/>
        <v>0</v>
      </c>
      <c r="J144" s="4">
        <f>SUM($H$18:$H144)</f>
        <v>237814.13672184906</v>
      </c>
    </row>
    <row r="145" spans="1:10">
      <c r="A145" s="7">
        <f>IF(Values_Entered,A144+1,"")</f>
        <v>128</v>
      </c>
      <c r="B145" s="6">
        <f t="shared" si="8"/>
        <v>48458</v>
      </c>
      <c r="C145" s="4">
        <f t="shared" si="14"/>
        <v>0</v>
      </c>
      <c r="D145" s="4">
        <f t="shared" si="9"/>
        <v>59908.922363410937</v>
      </c>
      <c r="E145" s="5">
        <f t="shared" si="10"/>
        <v>0</v>
      </c>
      <c r="F145" s="4">
        <f t="shared" si="11"/>
        <v>0</v>
      </c>
      <c r="G145" s="4">
        <f t="shared" si="12"/>
        <v>0</v>
      </c>
      <c r="H145" s="4">
        <f t="shared" si="15"/>
        <v>0</v>
      </c>
      <c r="I145" s="4">
        <f t="shared" si="13"/>
        <v>0</v>
      </c>
      <c r="J145" s="4">
        <f>SUM($H$18:$H145)</f>
        <v>237814.13672184906</v>
      </c>
    </row>
    <row r="146" spans="1:10">
      <c r="A146" s="7">
        <f>IF(Values_Entered,A145+1,"")</f>
        <v>129</v>
      </c>
      <c r="B146" s="6">
        <f t="shared" ref="B146:B209" si="16">IF(Pay_Num&lt;&gt;"",DATE(YEAR(Loan_Start),MONTH(Loan_Start)+(Pay_Num)*12/Num_Pmt_Per_Year,DAY(Loan_Start)),"")</f>
        <v>48488</v>
      </c>
      <c r="C146" s="4">
        <f t="shared" si="14"/>
        <v>0</v>
      </c>
      <c r="D146" s="4">
        <f t="shared" ref="D146:D209" si="17">IF(Pay_Num&lt;&gt;"",Scheduled_Monthly_Payment,"")</f>
        <v>59908.922363410937</v>
      </c>
      <c r="E146" s="5">
        <f t="shared" ref="E146:E209" si="18">IF(AND(Pay_Num&lt;&gt;"",Sched_Pay+Scheduled_Extra_Payments&lt;Beg_Bal),Scheduled_Extra_Payments,IF(AND(Pay_Num&lt;&gt;"",Beg_Bal-Sched_Pay&gt;0),Beg_Bal-Sched_Pay,IF(Pay_Num&lt;&gt;"",0,"")))</f>
        <v>0</v>
      </c>
      <c r="F146" s="4">
        <f t="shared" ref="F146:F209" si="19">IF(AND(Pay_Num&lt;&gt;"",Sched_Pay+Extra_Pay&lt;Beg_Bal),Sched_Pay+Extra_Pay,IF(Pay_Num&lt;&gt;"",Beg_Bal,""))</f>
        <v>0</v>
      </c>
      <c r="G146" s="4">
        <f t="shared" ref="G146:G209" si="20">IF(Pay_Num&lt;&gt;"",Total_Pay-Int,"")</f>
        <v>0</v>
      </c>
      <c r="H146" s="4">
        <f t="shared" si="15"/>
        <v>0</v>
      </c>
      <c r="I146" s="4">
        <f t="shared" ref="I146:I209" si="21">IF(AND(Pay_Num&lt;&gt;"",Sched_Pay+Extra_Pay&lt;Beg_Bal),Beg_Bal-Princ,IF(Pay_Num&lt;&gt;"",0,""))</f>
        <v>0</v>
      </c>
      <c r="J146" s="4">
        <f>SUM($H$18:$H146)</f>
        <v>237814.13672184906</v>
      </c>
    </row>
    <row r="147" spans="1:10">
      <c r="A147" s="7">
        <f>IF(Values_Entered,A146+1,"")</f>
        <v>130</v>
      </c>
      <c r="B147" s="6">
        <f t="shared" si="16"/>
        <v>48519</v>
      </c>
      <c r="C147" s="4">
        <f t="shared" ref="C147:C210" si="22">IF(Pay_Num&lt;&gt;"",I146,"")</f>
        <v>0</v>
      </c>
      <c r="D147" s="4">
        <f t="shared" si="17"/>
        <v>59908.922363410937</v>
      </c>
      <c r="E147" s="5">
        <f t="shared" si="18"/>
        <v>0</v>
      </c>
      <c r="F147" s="4">
        <f t="shared" si="19"/>
        <v>0</v>
      </c>
      <c r="G147" s="4">
        <f t="shared" si="20"/>
        <v>0</v>
      </c>
      <c r="H147" s="4">
        <f t="shared" ref="H147:H210" si="23">IF(Pay_Num&lt;&gt;"",Beg_Bal*Interest_Rate/Num_Pmt_Per_Year,"")</f>
        <v>0</v>
      </c>
      <c r="I147" s="4">
        <f t="shared" si="21"/>
        <v>0</v>
      </c>
      <c r="J147" s="4">
        <f>SUM($H$18:$H147)</f>
        <v>237814.13672184906</v>
      </c>
    </row>
    <row r="148" spans="1:10">
      <c r="A148" s="7">
        <f>IF(Values_Entered,A147+1,"")</f>
        <v>131</v>
      </c>
      <c r="B148" s="6">
        <f t="shared" si="16"/>
        <v>48549</v>
      </c>
      <c r="C148" s="4">
        <f t="shared" si="22"/>
        <v>0</v>
      </c>
      <c r="D148" s="4">
        <f t="shared" si="17"/>
        <v>59908.922363410937</v>
      </c>
      <c r="E148" s="5">
        <f t="shared" si="18"/>
        <v>0</v>
      </c>
      <c r="F148" s="4">
        <f t="shared" si="19"/>
        <v>0</v>
      </c>
      <c r="G148" s="4">
        <f t="shared" si="20"/>
        <v>0</v>
      </c>
      <c r="H148" s="4">
        <f t="shared" si="23"/>
        <v>0</v>
      </c>
      <c r="I148" s="4">
        <f t="shared" si="21"/>
        <v>0</v>
      </c>
      <c r="J148" s="4">
        <f>SUM($H$18:$H148)</f>
        <v>237814.13672184906</v>
      </c>
    </row>
    <row r="149" spans="1:10">
      <c r="A149" s="7">
        <f>IF(Values_Entered,A148+1,"")</f>
        <v>132</v>
      </c>
      <c r="B149" s="6">
        <f t="shared" si="16"/>
        <v>48580</v>
      </c>
      <c r="C149" s="4">
        <f t="shared" si="22"/>
        <v>0</v>
      </c>
      <c r="D149" s="4">
        <f t="shared" si="17"/>
        <v>59908.922363410937</v>
      </c>
      <c r="E149" s="5">
        <f t="shared" si="18"/>
        <v>0</v>
      </c>
      <c r="F149" s="4">
        <f t="shared" si="19"/>
        <v>0</v>
      </c>
      <c r="G149" s="4">
        <f t="shared" si="20"/>
        <v>0</v>
      </c>
      <c r="H149" s="4">
        <f t="shared" si="23"/>
        <v>0</v>
      </c>
      <c r="I149" s="4">
        <f t="shared" si="21"/>
        <v>0</v>
      </c>
      <c r="J149" s="4">
        <f>SUM($H$18:$H149)</f>
        <v>237814.13672184906</v>
      </c>
    </row>
    <row r="150" spans="1:10">
      <c r="A150" s="7">
        <f>IF(Values_Entered,A149+1,"")</f>
        <v>133</v>
      </c>
      <c r="B150" s="6">
        <f t="shared" si="16"/>
        <v>48611</v>
      </c>
      <c r="C150" s="4">
        <f t="shared" si="22"/>
        <v>0</v>
      </c>
      <c r="D150" s="4">
        <f t="shared" si="17"/>
        <v>59908.922363410937</v>
      </c>
      <c r="E150" s="5">
        <f t="shared" si="18"/>
        <v>0</v>
      </c>
      <c r="F150" s="4">
        <f t="shared" si="19"/>
        <v>0</v>
      </c>
      <c r="G150" s="4">
        <f t="shared" si="20"/>
        <v>0</v>
      </c>
      <c r="H150" s="4">
        <f t="shared" si="23"/>
        <v>0</v>
      </c>
      <c r="I150" s="4">
        <f t="shared" si="21"/>
        <v>0</v>
      </c>
      <c r="J150" s="4">
        <f>SUM($H$18:$H150)</f>
        <v>237814.13672184906</v>
      </c>
    </row>
    <row r="151" spans="1:10">
      <c r="A151" s="7">
        <f>IF(Values_Entered,A150+1,"")</f>
        <v>134</v>
      </c>
      <c r="B151" s="6">
        <f t="shared" si="16"/>
        <v>48639</v>
      </c>
      <c r="C151" s="4">
        <f t="shared" si="22"/>
        <v>0</v>
      </c>
      <c r="D151" s="4">
        <f t="shared" si="17"/>
        <v>59908.922363410937</v>
      </c>
      <c r="E151" s="5">
        <f t="shared" si="18"/>
        <v>0</v>
      </c>
      <c r="F151" s="4">
        <f t="shared" si="19"/>
        <v>0</v>
      </c>
      <c r="G151" s="4">
        <f t="shared" si="20"/>
        <v>0</v>
      </c>
      <c r="H151" s="4">
        <f t="shared" si="23"/>
        <v>0</v>
      </c>
      <c r="I151" s="4">
        <f t="shared" si="21"/>
        <v>0</v>
      </c>
      <c r="J151" s="4">
        <f>SUM($H$18:$H151)</f>
        <v>237814.13672184906</v>
      </c>
    </row>
    <row r="152" spans="1:10">
      <c r="A152" s="7">
        <f>IF(Values_Entered,A151+1,"")</f>
        <v>135</v>
      </c>
      <c r="B152" s="6">
        <f t="shared" si="16"/>
        <v>48670</v>
      </c>
      <c r="C152" s="4">
        <f t="shared" si="22"/>
        <v>0</v>
      </c>
      <c r="D152" s="4">
        <f t="shared" si="17"/>
        <v>59908.922363410937</v>
      </c>
      <c r="E152" s="5">
        <f t="shared" si="18"/>
        <v>0</v>
      </c>
      <c r="F152" s="4">
        <f t="shared" si="19"/>
        <v>0</v>
      </c>
      <c r="G152" s="4">
        <f t="shared" si="20"/>
        <v>0</v>
      </c>
      <c r="H152" s="4">
        <f t="shared" si="23"/>
        <v>0</v>
      </c>
      <c r="I152" s="4">
        <f t="shared" si="21"/>
        <v>0</v>
      </c>
      <c r="J152" s="4">
        <f>SUM($H$18:$H152)</f>
        <v>237814.13672184906</v>
      </c>
    </row>
    <row r="153" spans="1:10">
      <c r="A153" s="7">
        <f>IF(Values_Entered,A152+1,"")</f>
        <v>136</v>
      </c>
      <c r="B153" s="6">
        <f t="shared" si="16"/>
        <v>48700</v>
      </c>
      <c r="C153" s="4">
        <f t="shared" si="22"/>
        <v>0</v>
      </c>
      <c r="D153" s="4">
        <f t="shared" si="17"/>
        <v>59908.922363410937</v>
      </c>
      <c r="E153" s="5">
        <f t="shared" si="18"/>
        <v>0</v>
      </c>
      <c r="F153" s="4">
        <f t="shared" si="19"/>
        <v>0</v>
      </c>
      <c r="G153" s="4">
        <f t="shared" si="20"/>
        <v>0</v>
      </c>
      <c r="H153" s="4">
        <f t="shared" si="23"/>
        <v>0</v>
      </c>
      <c r="I153" s="4">
        <f t="shared" si="21"/>
        <v>0</v>
      </c>
      <c r="J153" s="4">
        <f>SUM($H$18:$H153)</f>
        <v>237814.13672184906</v>
      </c>
    </row>
    <row r="154" spans="1:10">
      <c r="A154" s="7">
        <f>IF(Values_Entered,A153+1,"")</f>
        <v>137</v>
      </c>
      <c r="B154" s="6">
        <f t="shared" si="16"/>
        <v>48731</v>
      </c>
      <c r="C154" s="4">
        <f t="shared" si="22"/>
        <v>0</v>
      </c>
      <c r="D154" s="4">
        <f t="shared" si="17"/>
        <v>59908.922363410937</v>
      </c>
      <c r="E154" s="5">
        <f t="shared" si="18"/>
        <v>0</v>
      </c>
      <c r="F154" s="4">
        <f t="shared" si="19"/>
        <v>0</v>
      </c>
      <c r="G154" s="4">
        <f t="shared" si="20"/>
        <v>0</v>
      </c>
      <c r="H154" s="4">
        <f t="shared" si="23"/>
        <v>0</v>
      </c>
      <c r="I154" s="4">
        <f t="shared" si="21"/>
        <v>0</v>
      </c>
      <c r="J154" s="4">
        <f>SUM($H$18:$H154)</f>
        <v>237814.13672184906</v>
      </c>
    </row>
    <row r="155" spans="1:10">
      <c r="A155" s="7">
        <f>IF(Values_Entered,A154+1,"")</f>
        <v>138</v>
      </c>
      <c r="B155" s="6">
        <f t="shared" si="16"/>
        <v>48761</v>
      </c>
      <c r="C155" s="4">
        <f t="shared" si="22"/>
        <v>0</v>
      </c>
      <c r="D155" s="4">
        <f t="shared" si="17"/>
        <v>59908.922363410937</v>
      </c>
      <c r="E155" s="5">
        <f t="shared" si="18"/>
        <v>0</v>
      </c>
      <c r="F155" s="4">
        <f t="shared" si="19"/>
        <v>0</v>
      </c>
      <c r="G155" s="4">
        <f t="shared" si="20"/>
        <v>0</v>
      </c>
      <c r="H155" s="4">
        <f t="shared" si="23"/>
        <v>0</v>
      </c>
      <c r="I155" s="4">
        <f t="shared" si="21"/>
        <v>0</v>
      </c>
      <c r="J155" s="4">
        <f>SUM($H$18:$H155)</f>
        <v>237814.13672184906</v>
      </c>
    </row>
    <row r="156" spans="1:10">
      <c r="A156" s="7">
        <f>IF(Values_Entered,A155+1,"")</f>
        <v>139</v>
      </c>
      <c r="B156" s="6">
        <f t="shared" si="16"/>
        <v>48792</v>
      </c>
      <c r="C156" s="4">
        <f t="shared" si="22"/>
        <v>0</v>
      </c>
      <c r="D156" s="4">
        <f t="shared" si="17"/>
        <v>59908.922363410937</v>
      </c>
      <c r="E156" s="5">
        <f t="shared" si="18"/>
        <v>0</v>
      </c>
      <c r="F156" s="4">
        <f t="shared" si="19"/>
        <v>0</v>
      </c>
      <c r="G156" s="4">
        <f t="shared" si="20"/>
        <v>0</v>
      </c>
      <c r="H156" s="4">
        <f t="shared" si="23"/>
        <v>0</v>
      </c>
      <c r="I156" s="4">
        <f t="shared" si="21"/>
        <v>0</v>
      </c>
      <c r="J156" s="4">
        <f>SUM($H$18:$H156)</f>
        <v>237814.13672184906</v>
      </c>
    </row>
    <row r="157" spans="1:10">
      <c r="A157" s="7">
        <f>IF(Values_Entered,A156+1,"")</f>
        <v>140</v>
      </c>
      <c r="B157" s="6">
        <f t="shared" si="16"/>
        <v>48823</v>
      </c>
      <c r="C157" s="4">
        <f t="shared" si="22"/>
        <v>0</v>
      </c>
      <c r="D157" s="4">
        <f t="shared" si="17"/>
        <v>59908.922363410937</v>
      </c>
      <c r="E157" s="5">
        <f t="shared" si="18"/>
        <v>0</v>
      </c>
      <c r="F157" s="4">
        <f t="shared" si="19"/>
        <v>0</v>
      </c>
      <c r="G157" s="4">
        <f t="shared" si="20"/>
        <v>0</v>
      </c>
      <c r="H157" s="4">
        <f t="shared" si="23"/>
        <v>0</v>
      </c>
      <c r="I157" s="4">
        <f t="shared" si="21"/>
        <v>0</v>
      </c>
      <c r="J157" s="4">
        <f>SUM($H$18:$H157)</f>
        <v>237814.13672184906</v>
      </c>
    </row>
    <row r="158" spans="1:10">
      <c r="A158" s="7">
        <f>IF(Values_Entered,A157+1,"")</f>
        <v>141</v>
      </c>
      <c r="B158" s="6">
        <f t="shared" si="16"/>
        <v>48853</v>
      </c>
      <c r="C158" s="4">
        <f t="shared" si="22"/>
        <v>0</v>
      </c>
      <c r="D158" s="4">
        <f t="shared" si="17"/>
        <v>59908.922363410937</v>
      </c>
      <c r="E158" s="5">
        <f t="shared" si="18"/>
        <v>0</v>
      </c>
      <c r="F158" s="4">
        <f t="shared" si="19"/>
        <v>0</v>
      </c>
      <c r="G158" s="4">
        <f t="shared" si="20"/>
        <v>0</v>
      </c>
      <c r="H158" s="4">
        <f t="shared" si="23"/>
        <v>0</v>
      </c>
      <c r="I158" s="4">
        <f t="shared" si="21"/>
        <v>0</v>
      </c>
      <c r="J158" s="4">
        <f>SUM($H$18:$H158)</f>
        <v>237814.13672184906</v>
      </c>
    </row>
    <row r="159" spans="1:10">
      <c r="A159" s="7">
        <f>IF(Values_Entered,A158+1,"")</f>
        <v>142</v>
      </c>
      <c r="B159" s="6">
        <f t="shared" si="16"/>
        <v>48884</v>
      </c>
      <c r="C159" s="4">
        <f t="shared" si="22"/>
        <v>0</v>
      </c>
      <c r="D159" s="4">
        <f t="shared" si="17"/>
        <v>59908.922363410937</v>
      </c>
      <c r="E159" s="5">
        <f t="shared" si="18"/>
        <v>0</v>
      </c>
      <c r="F159" s="4">
        <f t="shared" si="19"/>
        <v>0</v>
      </c>
      <c r="G159" s="4">
        <f t="shared" si="20"/>
        <v>0</v>
      </c>
      <c r="H159" s="4">
        <f t="shared" si="23"/>
        <v>0</v>
      </c>
      <c r="I159" s="4">
        <f t="shared" si="21"/>
        <v>0</v>
      </c>
      <c r="J159" s="4">
        <f>SUM($H$18:$H159)</f>
        <v>237814.13672184906</v>
      </c>
    </row>
    <row r="160" spans="1:10">
      <c r="A160" s="7">
        <f>IF(Values_Entered,A159+1,"")</f>
        <v>143</v>
      </c>
      <c r="B160" s="6">
        <f t="shared" si="16"/>
        <v>48914</v>
      </c>
      <c r="C160" s="4">
        <f t="shared" si="22"/>
        <v>0</v>
      </c>
      <c r="D160" s="4">
        <f t="shared" si="17"/>
        <v>59908.922363410937</v>
      </c>
      <c r="E160" s="5">
        <f t="shared" si="18"/>
        <v>0</v>
      </c>
      <c r="F160" s="4">
        <f t="shared" si="19"/>
        <v>0</v>
      </c>
      <c r="G160" s="4">
        <f t="shared" si="20"/>
        <v>0</v>
      </c>
      <c r="H160" s="4">
        <f t="shared" si="23"/>
        <v>0</v>
      </c>
      <c r="I160" s="4">
        <f t="shared" si="21"/>
        <v>0</v>
      </c>
      <c r="J160" s="4">
        <f>SUM($H$18:$H160)</f>
        <v>237814.13672184906</v>
      </c>
    </row>
    <row r="161" spans="1:10">
      <c r="A161" s="7">
        <f>IF(Values_Entered,A160+1,"")</f>
        <v>144</v>
      </c>
      <c r="B161" s="6">
        <f t="shared" si="16"/>
        <v>48945</v>
      </c>
      <c r="C161" s="4">
        <f t="shared" si="22"/>
        <v>0</v>
      </c>
      <c r="D161" s="4">
        <f t="shared" si="17"/>
        <v>59908.922363410937</v>
      </c>
      <c r="E161" s="5">
        <f t="shared" si="18"/>
        <v>0</v>
      </c>
      <c r="F161" s="4">
        <f t="shared" si="19"/>
        <v>0</v>
      </c>
      <c r="G161" s="4">
        <f t="shared" si="20"/>
        <v>0</v>
      </c>
      <c r="H161" s="4">
        <f t="shared" si="23"/>
        <v>0</v>
      </c>
      <c r="I161" s="4">
        <f t="shared" si="21"/>
        <v>0</v>
      </c>
      <c r="J161" s="4">
        <f>SUM($H$18:$H161)</f>
        <v>237814.13672184906</v>
      </c>
    </row>
    <row r="162" spans="1:10">
      <c r="A162" s="7">
        <f>IF(Values_Entered,A161+1,"")</f>
        <v>145</v>
      </c>
      <c r="B162" s="6">
        <f t="shared" si="16"/>
        <v>48976</v>
      </c>
      <c r="C162" s="4">
        <f t="shared" si="22"/>
        <v>0</v>
      </c>
      <c r="D162" s="4">
        <f t="shared" si="17"/>
        <v>59908.922363410937</v>
      </c>
      <c r="E162" s="5">
        <f t="shared" si="18"/>
        <v>0</v>
      </c>
      <c r="F162" s="4">
        <f t="shared" si="19"/>
        <v>0</v>
      </c>
      <c r="G162" s="4">
        <f t="shared" si="20"/>
        <v>0</v>
      </c>
      <c r="H162" s="4">
        <f t="shared" si="23"/>
        <v>0</v>
      </c>
      <c r="I162" s="4">
        <f t="shared" si="21"/>
        <v>0</v>
      </c>
      <c r="J162" s="4">
        <f>SUM($H$18:$H162)</f>
        <v>237814.13672184906</v>
      </c>
    </row>
    <row r="163" spans="1:10">
      <c r="A163" s="7">
        <f>IF(Values_Entered,A162+1,"")</f>
        <v>146</v>
      </c>
      <c r="B163" s="6">
        <f t="shared" si="16"/>
        <v>49004</v>
      </c>
      <c r="C163" s="4">
        <f t="shared" si="22"/>
        <v>0</v>
      </c>
      <c r="D163" s="4">
        <f t="shared" si="17"/>
        <v>59908.922363410937</v>
      </c>
      <c r="E163" s="5">
        <f t="shared" si="18"/>
        <v>0</v>
      </c>
      <c r="F163" s="4">
        <f t="shared" si="19"/>
        <v>0</v>
      </c>
      <c r="G163" s="4">
        <f t="shared" si="20"/>
        <v>0</v>
      </c>
      <c r="H163" s="4">
        <f t="shared" si="23"/>
        <v>0</v>
      </c>
      <c r="I163" s="4">
        <f t="shared" si="21"/>
        <v>0</v>
      </c>
      <c r="J163" s="4">
        <f>SUM($H$18:$H163)</f>
        <v>237814.13672184906</v>
      </c>
    </row>
    <row r="164" spans="1:10">
      <c r="A164" s="7">
        <f>IF(Values_Entered,A163+1,"")</f>
        <v>147</v>
      </c>
      <c r="B164" s="6">
        <f t="shared" si="16"/>
        <v>49035</v>
      </c>
      <c r="C164" s="4">
        <f t="shared" si="22"/>
        <v>0</v>
      </c>
      <c r="D164" s="4">
        <f t="shared" si="17"/>
        <v>59908.922363410937</v>
      </c>
      <c r="E164" s="5">
        <f t="shared" si="18"/>
        <v>0</v>
      </c>
      <c r="F164" s="4">
        <f t="shared" si="19"/>
        <v>0</v>
      </c>
      <c r="G164" s="4">
        <f t="shared" si="20"/>
        <v>0</v>
      </c>
      <c r="H164" s="4">
        <f t="shared" si="23"/>
        <v>0</v>
      </c>
      <c r="I164" s="4">
        <f t="shared" si="21"/>
        <v>0</v>
      </c>
      <c r="J164" s="4">
        <f>SUM($H$18:$H164)</f>
        <v>237814.13672184906</v>
      </c>
    </row>
    <row r="165" spans="1:10">
      <c r="A165" s="7">
        <f>IF(Values_Entered,A164+1,"")</f>
        <v>148</v>
      </c>
      <c r="B165" s="6">
        <f t="shared" si="16"/>
        <v>49065</v>
      </c>
      <c r="C165" s="4">
        <f t="shared" si="22"/>
        <v>0</v>
      </c>
      <c r="D165" s="4">
        <f t="shared" si="17"/>
        <v>59908.922363410937</v>
      </c>
      <c r="E165" s="5">
        <f t="shared" si="18"/>
        <v>0</v>
      </c>
      <c r="F165" s="4">
        <f t="shared" si="19"/>
        <v>0</v>
      </c>
      <c r="G165" s="4">
        <f t="shared" si="20"/>
        <v>0</v>
      </c>
      <c r="H165" s="4">
        <f t="shared" si="23"/>
        <v>0</v>
      </c>
      <c r="I165" s="4">
        <f t="shared" si="21"/>
        <v>0</v>
      </c>
      <c r="J165" s="4">
        <f>SUM($H$18:$H165)</f>
        <v>237814.13672184906</v>
      </c>
    </row>
    <row r="166" spans="1:10">
      <c r="A166" s="7">
        <f>IF(Values_Entered,A165+1,"")</f>
        <v>149</v>
      </c>
      <c r="B166" s="6">
        <f t="shared" si="16"/>
        <v>49096</v>
      </c>
      <c r="C166" s="4">
        <f t="shared" si="22"/>
        <v>0</v>
      </c>
      <c r="D166" s="4">
        <f t="shared" si="17"/>
        <v>59908.922363410937</v>
      </c>
      <c r="E166" s="5">
        <f t="shared" si="18"/>
        <v>0</v>
      </c>
      <c r="F166" s="4">
        <f t="shared" si="19"/>
        <v>0</v>
      </c>
      <c r="G166" s="4">
        <f t="shared" si="20"/>
        <v>0</v>
      </c>
      <c r="H166" s="4">
        <f t="shared" si="23"/>
        <v>0</v>
      </c>
      <c r="I166" s="4">
        <f t="shared" si="21"/>
        <v>0</v>
      </c>
      <c r="J166" s="4">
        <f>SUM($H$18:$H166)</f>
        <v>237814.13672184906</v>
      </c>
    </row>
    <row r="167" spans="1:10">
      <c r="A167" s="7">
        <f>IF(Values_Entered,A166+1,"")</f>
        <v>150</v>
      </c>
      <c r="B167" s="6">
        <f t="shared" si="16"/>
        <v>49126</v>
      </c>
      <c r="C167" s="4">
        <f t="shared" si="22"/>
        <v>0</v>
      </c>
      <c r="D167" s="4">
        <f t="shared" si="17"/>
        <v>59908.922363410937</v>
      </c>
      <c r="E167" s="5">
        <f t="shared" si="18"/>
        <v>0</v>
      </c>
      <c r="F167" s="4">
        <f t="shared" si="19"/>
        <v>0</v>
      </c>
      <c r="G167" s="4">
        <f t="shared" si="20"/>
        <v>0</v>
      </c>
      <c r="H167" s="4">
        <f t="shared" si="23"/>
        <v>0</v>
      </c>
      <c r="I167" s="4">
        <f t="shared" si="21"/>
        <v>0</v>
      </c>
      <c r="J167" s="4">
        <f>SUM($H$18:$H167)</f>
        <v>237814.13672184906</v>
      </c>
    </row>
    <row r="168" spans="1:10">
      <c r="A168" s="7">
        <f>IF(Values_Entered,A167+1,"")</f>
        <v>151</v>
      </c>
      <c r="B168" s="6">
        <f t="shared" si="16"/>
        <v>49157</v>
      </c>
      <c r="C168" s="4">
        <f t="shared" si="22"/>
        <v>0</v>
      </c>
      <c r="D168" s="4">
        <f t="shared" si="17"/>
        <v>59908.922363410937</v>
      </c>
      <c r="E168" s="5">
        <f t="shared" si="18"/>
        <v>0</v>
      </c>
      <c r="F168" s="4">
        <f t="shared" si="19"/>
        <v>0</v>
      </c>
      <c r="G168" s="4">
        <f t="shared" si="20"/>
        <v>0</v>
      </c>
      <c r="H168" s="4">
        <f t="shared" si="23"/>
        <v>0</v>
      </c>
      <c r="I168" s="4">
        <f t="shared" si="21"/>
        <v>0</v>
      </c>
      <c r="J168" s="4">
        <f>SUM($H$18:$H168)</f>
        <v>237814.13672184906</v>
      </c>
    </row>
    <row r="169" spans="1:10">
      <c r="A169" s="7">
        <f>IF(Values_Entered,A168+1,"")</f>
        <v>152</v>
      </c>
      <c r="B169" s="6">
        <f t="shared" si="16"/>
        <v>49188</v>
      </c>
      <c r="C169" s="4">
        <f t="shared" si="22"/>
        <v>0</v>
      </c>
      <c r="D169" s="4">
        <f t="shared" si="17"/>
        <v>59908.922363410937</v>
      </c>
      <c r="E169" s="5">
        <f t="shared" si="18"/>
        <v>0</v>
      </c>
      <c r="F169" s="4">
        <f t="shared" si="19"/>
        <v>0</v>
      </c>
      <c r="G169" s="4">
        <f t="shared" si="20"/>
        <v>0</v>
      </c>
      <c r="H169" s="4">
        <f t="shared" si="23"/>
        <v>0</v>
      </c>
      <c r="I169" s="4">
        <f t="shared" si="21"/>
        <v>0</v>
      </c>
      <c r="J169" s="4">
        <f>SUM($H$18:$H169)</f>
        <v>237814.13672184906</v>
      </c>
    </row>
    <row r="170" spans="1:10">
      <c r="A170" s="7">
        <f>IF(Values_Entered,A169+1,"")</f>
        <v>153</v>
      </c>
      <c r="B170" s="6">
        <f t="shared" si="16"/>
        <v>49218</v>
      </c>
      <c r="C170" s="4">
        <f t="shared" si="22"/>
        <v>0</v>
      </c>
      <c r="D170" s="4">
        <f t="shared" si="17"/>
        <v>59908.922363410937</v>
      </c>
      <c r="E170" s="5">
        <f t="shared" si="18"/>
        <v>0</v>
      </c>
      <c r="F170" s="4">
        <f t="shared" si="19"/>
        <v>0</v>
      </c>
      <c r="G170" s="4">
        <f t="shared" si="20"/>
        <v>0</v>
      </c>
      <c r="H170" s="4">
        <f t="shared" si="23"/>
        <v>0</v>
      </c>
      <c r="I170" s="4">
        <f t="shared" si="21"/>
        <v>0</v>
      </c>
      <c r="J170" s="4">
        <f>SUM($H$18:$H170)</f>
        <v>237814.13672184906</v>
      </c>
    </row>
    <row r="171" spans="1:10">
      <c r="A171" s="7">
        <f>IF(Values_Entered,A170+1,"")</f>
        <v>154</v>
      </c>
      <c r="B171" s="6">
        <f t="shared" si="16"/>
        <v>49249</v>
      </c>
      <c r="C171" s="4">
        <f t="shared" si="22"/>
        <v>0</v>
      </c>
      <c r="D171" s="4">
        <f t="shared" si="17"/>
        <v>59908.922363410937</v>
      </c>
      <c r="E171" s="5">
        <f t="shared" si="18"/>
        <v>0</v>
      </c>
      <c r="F171" s="4">
        <f t="shared" si="19"/>
        <v>0</v>
      </c>
      <c r="G171" s="4">
        <f t="shared" si="20"/>
        <v>0</v>
      </c>
      <c r="H171" s="4">
        <f t="shared" si="23"/>
        <v>0</v>
      </c>
      <c r="I171" s="4">
        <f t="shared" si="21"/>
        <v>0</v>
      </c>
      <c r="J171" s="4">
        <f>SUM($H$18:$H171)</f>
        <v>237814.13672184906</v>
      </c>
    </row>
    <row r="172" spans="1:10">
      <c r="A172" s="7">
        <f>IF(Values_Entered,A171+1,"")</f>
        <v>155</v>
      </c>
      <c r="B172" s="6">
        <f t="shared" si="16"/>
        <v>49279</v>
      </c>
      <c r="C172" s="4">
        <f t="shared" si="22"/>
        <v>0</v>
      </c>
      <c r="D172" s="4">
        <f t="shared" si="17"/>
        <v>59908.922363410937</v>
      </c>
      <c r="E172" s="5">
        <f t="shared" si="18"/>
        <v>0</v>
      </c>
      <c r="F172" s="4">
        <f t="shared" si="19"/>
        <v>0</v>
      </c>
      <c r="G172" s="4">
        <f t="shared" si="20"/>
        <v>0</v>
      </c>
      <c r="H172" s="4">
        <f t="shared" si="23"/>
        <v>0</v>
      </c>
      <c r="I172" s="4">
        <f t="shared" si="21"/>
        <v>0</v>
      </c>
      <c r="J172" s="4">
        <f>SUM($H$18:$H172)</f>
        <v>237814.13672184906</v>
      </c>
    </row>
    <row r="173" spans="1:10">
      <c r="A173" s="7">
        <f>IF(Values_Entered,A172+1,"")</f>
        <v>156</v>
      </c>
      <c r="B173" s="6">
        <f t="shared" si="16"/>
        <v>49310</v>
      </c>
      <c r="C173" s="4">
        <f t="shared" si="22"/>
        <v>0</v>
      </c>
      <c r="D173" s="4">
        <f t="shared" si="17"/>
        <v>59908.922363410937</v>
      </c>
      <c r="E173" s="5">
        <f t="shared" si="18"/>
        <v>0</v>
      </c>
      <c r="F173" s="4">
        <f t="shared" si="19"/>
        <v>0</v>
      </c>
      <c r="G173" s="4">
        <f t="shared" si="20"/>
        <v>0</v>
      </c>
      <c r="H173" s="4">
        <f t="shared" si="23"/>
        <v>0</v>
      </c>
      <c r="I173" s="4">
        <f t="shared" si="21"/>
        <v>0</v>
      </c>
      <c r="J173" s="4">
        <f>SUM($H$18:$H173)</f>
        <v>237814.13672184906</v>
      </c>
    </row>
    <row r="174" spans="1:10">
      <c r="A174" s="7">
        <f>IF(Values_Entered,A173+1,"")</f>
        <v>157</v>
      </c>
      <c r="B174" s="6">
        <f t="shared" si="16"/>
        <v>49341</v>
      </c>
      <c r="C174" s="4">
        <f t="shared" si="22"/>
        <v>0</v>
      </c>
      <c r="D174" s="4">
        <f t="shared" si="17"/>
        <v>59908.922363410937</v>
      </c>
      <c r="E174" s="5">
        <f t="shared" si="18"/>
        <v>0</v>
      </c>
      <c r="F174" s="4">
        <f t="shared" si="19"/>
        <v>0</v>
      </c>
      <c r="G174" s="4">
        <f t="shared" si="20"/>
        <v>0</v>
      </c>
      <c r="H174" s="4">
        <f t="shared" si="23"/>
        <v>0</v>
      </c>
      <c r="I174" s="4">
        <f t="shared" si="21"/>
        <v>0</v>
      </c>
      <c r="J174" s="4">
        <f>SUM($H$18:$H174)</f>
        <v>237814.13672184906</v>
      </c>
    </row>
    <row r="175" spans="1:10">
      <c r="A175" s="7">
        <f>IF(Values_Entered,A174+1,"")</f>
        <v>158</v>
      </c>
      <c r="B175" s="6">
        <f t="shared" si="16"/>
        <v>49369</v>
      </c>
      <c r="C175" s="4">
        <f t="shared" si="22"/>
        <v>0</v>
      </c>
      <c r="D175" s="4">
        <f t="shared" si="17"/>
        <v>59908.922363410937</v>
      </c>
      <c r="E175" s="5">
        <f t="shared" si="18"/>
        <v>0</v>
      </c>
      <c r="F175" s="4">
        <f t="shared" si="19"/>
        <v>0</v>
      </c>
      <c r="G175" s="4">
        <f t="shared" si="20"/>
        <v>0</v>
      </c>
      <c r="H175" s="4">
        <f t="shared" si="23"/>
        <v>0</v>
      </c>
      <c r="I175" s="4">
        <f t="shared" si="21"/>
        <v>0</v>
      </c>
      <c r="J175" s="4">
        <f>SUM($H$18:$H175)</f>
        <v>237814.13672184906</v>
      </c>
    </row>
    <row r="176" spans="1:10">
      <c r="A176" s="7">
        <f>IF(Values_Entered,A175+1,"")</f>
        <v>159</v>
      </c>
      <c r="B176" s="6">
        <f t="shared" si="16"/>
        <v>49400</v>
      </c>
      <c r="C176" s="4">
        <f t="shared" si="22"/>
        <v>0</v>
      </c>
      <c r="D176" s="4">
        <f t="shared" si="17"/>
        <v>59908.922363410937</v>
      </c>
      <c r="E176" s="5">
        <f t="shared" si="18"/>
        <v>0</v>
      </c>
      <c r="F176" s="4">
        <f t="shared" si="19"/>
        <v>0</v>
      </c>
      <c r="G176" s="4">
        <f t="shared" si="20"/>
        <v>0</v>
      </c>
      <c r="H176" s="4">
        <f t="shared" si="23"/>
        <v>0</v>
      </c>
      <c r="I176" s="4">
        <f t="shared" si="21"/>
        <v>0</v>
      </c>
      <c r="J176" s="4">
        <f>SUM($H$18:$H176)</f>
        <v>237814.13672184906</v>
      </c>
    </row>
    <row r="177" spans="1:10">
      <c r="A177" s="7">
        <f>IF(Values_Entered,A176+1,"")</f>
        <v>160</v>
      </c>
      <c r="B177" s="6">
        <f t="shared" si="16"/>
        <v>49430</v>
      </c>
      <c r="C177" s="4">
        <f t="shared" si="22"/>
        <v>0</v>
      </c>
      <c r="D177" s="4">
        <f t="shared" si="17"/>
        <v>59908.922363410937</v>
      </c>
      <c r="E177" s="5">
        <f t="shared" si="18"/>
        <v>0</v>
      </c>
      <c r="F177" s="4">
        <f t="shared" si="19"/>
        <v>0</v>
      </c>
      <c r="G177" s="4">
        <f t="shared" si="20"/>
        <v>0</v>
      </c>
      <c r="H177" s="4">
        <f t="shared" si="23"/>
        <v>0</v>
      </c>
      <c r="I177" s="4">
        <f t="shared" si="21"/>
        <v>0</v>
      </c>
      <c r="J177" s="4">
        <f>SUM($H$18:$H177)</f>
        <v>237814.13672184906</v>
      </c>
    </row>
    <row r="178" spans="1:10">
      <c r="A178" s="7">
        <f>IF(Values_Entered,A177+1,"")</f>
        <v>161</v>
      </c>
      <c r="B178" s="6">
        <f t="shared" si="16"/>
        <v>49461</v>
      </c>
      <c r="C178" s="4">
        <f t="shared" si="22"/>
        <v>0</v>
      </c>
      <c r="D178" s="4">
        <f t="shared" si="17"/>
        <v>59908.922363410937</v>
      </c>
      <c r="E178" s="5">
        <f t="shared" si="18"/>
        <v>0</v>
      </c>
      <c r="F178" s="4">
        <f t="shared" si="19"/>
        <v>0</v>
      </c>
      <c r="G178" s="4">
        <f t="shared" si="20"/>
        <v>0</v>
      </c>
      <c r="H178" s="4">
        <f t="shared" si="23"/>
        <v>0</v>
      </c>
      <c r="I178" s="4">
        <f t="shared" si="21"/>
        <v>0</v>
      </c>
      <c r="J178" s="4">
        <f>SUM($H$18:$H178)</f>
        <v>237814.13672184906</v>
      </c>
    </row>
    <row r="179" spans="1:10">
      <c r="A179" s="7">
        <f>IF(Values_Entered,A178+1,"")</f>
        <v>162</v>
      </c>
      <c r="B179" s="6">
        <f t="shared" si="16"/>
        <v>49491</v>
      </c>
      <c r="C179" s="4">
        <f t="shared" si="22"/>
        <v>0</v>
      </c>
      <c r="D179" s="4">
        <f t="shared" si="17"/>
        <v>59908.922363410937</v>
      </c>
      <c r="E179" s="5">
        <f t="shared" si="18"/>
        <v>0</v>
      </c>
      <c r="F179" s="4">
        <f t="shared" si="19"/>
        <v>0</v>
      </c>
      <c r="G179" s="4">
        <f t="shared" si="20"/>
        <v>0</v>
      </c>
      <c r="H179" s="4">
        <f t="shared" si="23"/>
        <v>0</v>
      </c>
      <c r="I179" s="4">
        <f t="shared" si="21"/>
        <v>0</v>
      </c>
      <c r="J179" s="4">
        <f>SUM($H$18:$H179)</f>
        <v>237814.13672184906</v>
      </c>
    </row>
    <row r="180" spans="1:10">
      <c r="A180" s="7">
        <f>IF(Values_Entered,A179+1,"")</f>
        <v>163</v>
      </c>
      <c r="B180" s="6">
        <f t="shared" si="16"/>
        <v>49522</v>
      </c>
      <c r="C180" s="4">
        <f t="shared" si="22"/>
        <v>0</v>
      </c>
      <c r="D180" s="4">
        <f t="shared" si="17"/>
        <v>59908.922363410937</v>
      </c>
      <c r="E180" s="5">
        <f t="shared" si="18"/>
        <v>0</v>
      </c>
      <c r="F180" s="4">
        <f t="shared" si="19"/>
        <v>0</v>
      </c>
      <c r="G180" s="4">
        <f t="shared" si="20"/>
        <v>0</v>
      </c>
      <c r="H180" s="4">
        <f t="shared" si="23"/>
        <v>0</v>
      </c>
      <c r="I180" s="4">
        <f t="shared" si="21"/>
        <v>0</v>
      </c>
      <c r="J180" s="4">
        <f>SUM($H$18:$H180)</f>
        <v>237814.13672184906</v>
      </c>
    </row>
    <row r="181" spans="1:10">
      <c r="A181" s="7">
        <f>IF(Values_Entered,A180+1,"")</f>
        <v>164</v>
      </c>
      <c r="B181" s="6">
        <f t="shared" si="16"/>
        <v>49553</v>
      </c>
      <c r="C181" s="4">
        <f t="shared" si="22"/>
        <v>0</v>
      </c>
      <c r="D181" s="4">
        <f t="shared" si="17"/>
        <v>59908.922363410937</v>
      </c>
      <c r="E181" s="5">
        <f t="shared" si="18"/>
        <v>0</v>
      </c>
      <c r="F181" s="4">
        <f t="shared" si="19"/>
        <v>0</v>
      </c>
      <c r="G181" s="4">
        <f t="shared" si="20"/>
        <v>0</v>
      </c>
      <c r="H181" s="4">
        <f t="shared" si="23"/>
        <v>0</v>
      </c>
      <c r="I181" s="4">
        <f t="shared" si="21"/>
        <v>0</v>
      </c>
      <c r="J181" s="4">
        <f>SUM($H$18:$H181)</f>
        <v>237814.13672184906</v>
      </c>
    </row>
    <row r="182" spans="1:10">
      <c r="A182" s="7">
        <f>IF(Values_Entered,A181+1,"")</f>
        <v>165</v>
      </c>
      <c r="B182" s="6">
        <f t="shared" si="16"/>
        <v>49583</v>
      </c>
      <c r="C182" s="4">
        <f t="shared" si="22"/>
        <v>0</v>
      </c>
      <c r="D182" s="4">
        <f t="shared" si="17"/>
        <v>59908.922363410937</v>
      </c>
      <c r="E182" s="5">
        <f t="shared" si="18"/>
        <v>0</v>
      </c>
      <c r="F182" s="4">
        <f t="shared" si="19"/>
        <v>0</v>
      </c>
      <c r="G182" s="4">
        <f t="shared" si="20"/>
        <v>0</v>
      </c>
      <c r="H182" s="4">
        <f t="shared" si="23"/>
        <v>0</v>
      </c>
      <c r="I182" s="4">
        <f t="shared" si="21"/>
        <v>0</v>
      </c>
      <c r="J182" s="4">
        <f>SUM($H$18:$H182)</f>
        <v>237814.13672184906</v>
      </c>
    </row>
    <row r="183" spans="1:10">
      <c r="A183" s="7">
        <f>IF(Values_Entered,A182+1,"")</f>
        <v>166</v>
      </c>
      <c r="B183" s="6">
        <f t="shared" si="16"/>
        <v>49614</v>
      </c>
      <c r="C183" s="4">
        <f t="shared" si="22"/>
        <v>0</v>
      </c>
      <c r="D183" s="4">
        <f t="shared" si="17"/>
        <v>59908.922363410937</v>
      </c>
      <c r="E183" s="5">
        <f t="shared" si="18"/>
        <v>0</v>
      </c>
      <c r="F183" s="4">
        <f t="shared" si="19"/>
        <v>0</v>
      </c>
      <c r="G183" s="4">
        <f t="shared" si="20"/>
        <v>0</v>
      </c>
      <c r="H183" s="4">
        <f t="shared" si="23"/>
        <v>0</v>
      </c>
      <c r="I183" s="4">
        <f t="shared" si="21"/>
        <v>0</v>
      </c>
      <c r="J183" s="4">
        <f>SUM($H$18:$H183)</f>
        <v>237814.13672184906</v>
      </c>
    </row>
    <row r="184" spans="1:10">
      <c r="A184" s="7">
        <f>IF(Values_Entered,A183+1,"")</f>
        <v>167</v>
      </c>
      <c r="B184" s="6">
        <f t="shared" si="16"/>
        <v>49644</v>
      </c>
      <c r="C184" s="4">
        <f t="shared" si="22"/>
        <v>0</v>
      </c>
      <c r="D184" s="4">
        <f t="shared" si="17"/>
        <v>59908.922363410937</v>
      </c>
      <c r="E184" s="5">
        <f t="shared" si="18"/>
        <v>0</v>
      </c>
      <c r="F184" s="4">
        <f t="shared" si="19"/>
        <v>0</v>
      </c>
      <c r="G184" s="4">
        <f t="shared" si="20"/>
        <v>0</v>
      </c>
      <c r="H184" s="4">
        <f t="shared" si="23"/>
        <v>0</v>
      </c>
      <c r="I184" s="4">
        <f t="shared" si="21"/>
        <v>0</v>
      </c>
      <c r="J184" s="4">
        <f>SUM($H$18:$H184)</f>
        <v>237814.13672184906</v>
      </c>
    </row>
    <row r="185" spans="1:10">
      <c r="A185" s="7">
        <f>IF(Values_Entered,A184+1,"")</f>
        <v>168</v>
      </c>
      <c r="B185" s="6">
        <f t="shared" si="16"/>
        <v>49675</v>
      </c>
      <c r="C185" s="4">
        <f t="shared" si="22"/>
        <v>0</v>
      </c>
      <c r="D185" s="4">
        <f t="shared" si="17"/>
        <v>59908.922363410937</v>
      </c>
      <c r="E185" s="5">
        <f t="shared" si="18"/>
        <v>0</v>
      </c>
      <c r="F185" s="4">
        <f t="shared" si="19"/>
        <v>0</v>
      </c>
      <c r="G185" s="4">
        <f t="shared" si="20"/>
        <v>0</v>
      </c>
      <c r="H185" s="4">
        <f t="shared" si="23"/>
        <v>0</v>
      </c>
      <c r="I185" s="4">
        <f t="shared" si="21"/>
        <v>0</v>
      </c>
      <c r="J185" s="4">
        <f>SUM($H$18:$H185)</f>
        <v>237814.13672184906</v>
      </c>
    </row>
    <row r="186" spans="1:10">
      <c r="A186" s="7">
        <f>IF(Values_Entered,A185+1,"")</f>
        <v>169</v>
      </c>
      <c r="B186" s="6">
        <f t="shared" si="16"/>
        <v>49706</v>
      </c>
      <c r="C186" s="4">
        <f t="shared" si="22"/>
        <v>0</v>
      </c>
      <c r="D186" s="4">
        <f t="shared" si="17"/>
        <v>59908.922363410937</v>
      </c>
      <c r="E186" s="5">
        <f t="shared" si="18"/>
        <v>0</v>
      </c>
      <c r="F186" s="4">
        <f t="shared" si="19"/>
        <v>0</v>
      </c>
      <c r="G186" s="4">
        <f t="shared" si="20"/>
        <v>0</v>
      </c>
      <c r="H186" s="4">
        <f t="shared" si="23"/>
        <v>0</v>
      </c>
      <c r="I186" s="4">
        <f t="shared" si="21"/>
        <v>0</v>
      </c>
      <c r="J186" s="4">
        <f>SUM($H$18:$H186)</f>
        <v>237814.13672184906</v>
      </c>
    </row>
    <row r="187" spans="1:10">
      <c r="A187" s="7">
        <f>IF(Values_Entered,A186+1,"")</f>
        <v>170</v>
      </c>
      <c r="B187" s="6">
        <f t="shared" si="16"/>
        <v>49735</v>
      </c>
      <c r="C187" s="4">
        <f t="shared" si="22"/>
        <v>0</v>
      </c>
      <c r="D187" s="4">
        <f t="shared" si="17"/>
        <v>59908.922363410937</v>
      </c>
      <c r="E187" s="5">
        <f t="shared" si="18"/>
        <v>0</v>
      </c>
      <c r="F187" s="4">
        <f t="shared" si="19"/>
        <v>0</v>
      </c>
      <c r="G187" s="4">
        <f t="shared" si="20"/>
        <v>0</v>
      </c>
      <c r="H187" s="4">
        <f t="shared" si="23"/>
        <v>0</v>
      </c>
      <c r="I187" s="4">
        <f t="shared" si="21"/>
        <v>0</v>
      </c>
      <c r="J187" s="4">
        <f>SUM($H$18:$H187)</f>
        <v>237814.13672184906</v>
      </c>
    </row>
    <row r="188" spans="1:10">
      <c r="A188" s="7">
        <f>IF(Values_Entered,A187+1,"")</f>
        <v>171</v>
      </c>
      <c r="B188" s="6">
        <f t="shared" si="16"/>
        <v>49766</v>
      </c>
      <c r="C188" s="4">
        <f t="shared" si="22"/>
        <v>0</v>
      </c>
      <c r="D188" s="4">
        <f t="shared" si="17"/>
        <v>59908.922363410937</v>
      </c>
      <c r="E188" s="5">
        <f t="shared" si="18"/>
        <v>0</v>
      </c>
      <c r="F188" s="4">
        <f t="shared" si="19"/>
        <v>0</v>
      </c>
      <c r="G188" s="4">
        <f t="shared" si="20"/>
        <v>0</v>
      </c>
      <c r="H188" s="4">
        <f t="shared" si="23"/>
        <v>0</v>
      </c>
      <c r="I188" s="4">
        <f t="shared" si="21"/>
        <v>0</v>
      </c>
      <c r="J188" s="4">
        <f>SUM($H$18:$H188)</f>
        <v>237814.13672184906</v>
      </c>
    </row>
    <row r="189" spans="1:10">
      <c r="A189" s="7">
        <f>IF(Values_Entered,A188+1,"")</f>
        <v>172</v>
      </c>
      <c r="B189" s="6">
        <f t="shared" si="16"/>
        <v>49796</v>
      </c>
      <c r="C189" s="4">
        <f t="shared" si="22"/>
        <v>0</v>
      </c>
      <c r="D189" s="4">
        <f t="shared" si="17"/>
        <v>59908.922363410937</v>
      </c>
      <c r="E189" s="5">
        <f t="shared" si="18"/>
        <v>0</v>
      </c>
      <c r="F189" s="4">
        <f t="shared" si="19"/>
        <v>0</v>
      </c>
      <c r="G189" s="4">
        <f t="shared" si="20"/>
        <v>0</v>
      </c>
      <c r="H189" s="4">
        <f t="shared" si="23"/>
        <v>0</v>
      </c>
      <c r="I189" s="4">
        <f t="shared" si="21"/>
        <v>0</v>
      </c>
      <c r="J189" s="4">
        <f>SUM($H$18:$H189)</f>
        <v>237814.13672184906</v>
      </c>
    </row>
    <row r="190" spans="1:10">
      <c r="A190" s="7">
        <f>IF(Values_Entered,A189+1,"")</f>
        <v>173</v>
      </c>
      <c r="B190" s="6">
        <f t="shared" si="16"/>
        <v>49827</v>
      </c>
      <c r="C190" s="4">
        <f t="shared" si="22"/>
        <v>0</v>
      </c>
      <c r="D190" s="4">
        <f t="shared" si="17"/>
        <v>59908.922363410937</v>
      </c>
      <c r="E190" s="5">
        <f t="shared" si="18"/>
        <v>0</v>
      </c>
      <c r="F190" s="4">
        <f t="shared" si="19"/>
        <v>0</v>
      </c>
      <c r="G190" s="4">
        <f t="shared" si="20"/>
        <v>0</v>
      </c>
      <c r="H190" s="4">
        <f t="shared" si="23"/>
        <v>0</v>
      </c>
      <c r="I190" s="4">
        <f t="shared" si="21"/>
        <v>0</v>
      </c>
      <c r="J190" s="4">
        <f>SUM($H$18:$H190)</f>
        <v>237814.13672184906</v>
      </c>
    </row>
    <row r="191" spans="1:10">
      <c r="A191" s="7">
        <f>IF(Values_Entered,A190+1,"")</f>
        <v>174</v>
      </c>
      <c r="B191" s="6">
        <f t="shared" si="16"/>
        <v>49857</v>
      </c>
      <c r="C191" s="4">
        <f t="shared" si="22"/>
        <v>0</v>
      </c>
      <c r="D191" s="4">
        <f t="shared" si="17"/>
        <v>59908.922363410937</v>
      </c>
      <c r="E191" s="5">
        <f t="shared" si="18"/>
        <v>0</v>
      </c>
      <c r="F191" s="4">
        <f t="shared" si="19"/>
        <v>0</v>
      </c>
      <c r="G191" s="4">
        <f t="shared" si="20"/>
        <v>0</v>
      </c>
      <c r="H191" s="4">
        <f t="shared" si="23"/>
        <v>0</v>
      </c>
      <c r="I191" s="4">
        <f t="shared" si="21"/>
        <v>0</v>
      </c>
      <c r="J191" s="4">
        <f>SUM($H$18:$H191)</f>
        <v>237814.13672184906</v>
      </c>
    </row>
    <row r="192" spans="1:10">
      <c r="A192" s="7">
        <f>IF(Values_Entered,A191+1,"")</f>
        <v>175</v>
      </c>
      <c r="B192" s="6">
        <f t="shared" si="16"/>
        <v>49888</v>
      </c>
      <c r="C192" s="4">
        <f t="shared" si="22"/>
        <v>0</v>
      </c>
      <c r="D192" s="4">
        <f t="shared" si="17"/>
        <v>59908.922363410937</v>
      </c>
      <c r="E192" s="5">
        <f t="shared" si="18"/>
        <v>0</v>
      </c>
      <c r="F192" s="4">
        <f t="shared" si="19"/>
        <v>0</v>
      </c>
      <c r="G192" s="4">
        <f t="shared" si="20"/>
        <v>0</v>
      </c>
      <c r="H192" s="4">
        <f t="shared" si="23"/>
        <v>0</v>
      </c>
      <c r="I192" s="4">
        <f t="shared" si="21"/>
        <v>0</v>
      </c>
      <c r="J192" s="4">
        <f>SUM($H$18:$H192)</f>
        <v>237814.13672184906</v>
      </c>
    </row>
    <row r="193" spans="1:10">
      <c r="A193" s="7">
        <f>IF(Values_Entered,A192+1,"")</f>
        <v>176</v>
      </c>
      <c r="B193" s="6">
        <f t="shared" si="16"/>
        <v>49919</v>
      </c>
      <c r="C193" s="4">
        <f t="shared" si="22"/>
        <v>0</v>
      </c>
      <c r="D193" s="4">
        <f t="shared" si="17"/>
        <v>59908.922363410937</v>
      </c>
      <c r="E193" s="5">
        <f t="shared" si="18"/>
        <v>0</v>
      </c>
      <c r="F193" s="4">
        <f t="shared" si="19"/>
        <v>0</v>
      </c>
      <c r="G193" s="4">
        <f t="shared" si="20"/>
        <v>0</v>
      </c>
      <c r="H193" s="4">
        <f t="shared" si="23"/>
        <v>0</v>
      </c>
      <c r="I193" s="4">
        <f t="shared" si="21"/>
        <v>0</v>
      </c>
      <c r="J193" s="4">
        <f>SUM($H$18:$H193)</f>
        <v>237814.13672184906</v>
      </c>
    </row>
    <row r="194" spans="1:10">
      <c r="A194" s="7">
        <f>IF(Values_Entered,A193+1,"")</f>
        <v>177</v>
      </c>
      <c r="B194" s="6">
        <f t="shared" si="16"/>
        <v>49949</v>
      </c>
      <c r="C194" s="4">
        <f t="shared" si="22"/>
        <v>0</v>
      </c>
      <c r="D194" s="4">
        <f t="shared" si="17"/>
        <v>59908.922363410937</v>
      </c>
      <c r="E194" s="5">
        <f t="shared" si="18"/>
        <v>0</v>
      </c>
      <c r="F194" s="4">
        <f t="shared" si="19"/>
        <v>0</v>
      </c>
      <c r="G194" s="4">
        <f t="shared" si="20"/>
        <v>0</v>
      </c>
      <c r="H194" s="4">
        <f t="shared" si="23"/>
        <v>0</v>
      </c>
      <c r="I194" s="4">
        <f t="shared" si="21"/>
        <v>0</v>
      </c>
      <c r="J194" s="4">
        <f>SUM($H$18:$H194)</f>
        <v>237814.13672184906</v>
      </c>
    </row>
    <row r="195" spans="1:10">
      <c r="A195" s="7">
        <f>IF(Values_Entered,A194+1,"")</f>
        <v>178</v>
      </c>
      <c r="B195" s="6">
        <f t="shared" si="16"/>
        <v>49980</v>
      </c>
      <c r="C195" s="4">
        <f t="shared" si="22"/>
        <v>0</v>
      </c>
      <c r="D195" s="4">
        <f t="shared" si="17"/>
        <v>59908.922363410937</v>
      </c>
      <c r="E195" s="5">
        <f t="shared" si="18"/>
        <v>0</v>
      </c>
      <c r="F195" s="4">
        <f t="shared" si="19"/>
        <v>0</v>
      </c>
      <c r="G195" s="4">
        <f t="shared" si="20"/>
        <v>0</v>
      </c>
      <c r="H195" s="4">
        <f t="shared" si="23"/>
        <v>0</v>
      </c>
      <c r="I195" s="4">
        <f t="shared" si="21"/>
        <v>0</v>
      </c>
      <c r="J195" s="4">
        <f>SUM($H$18:$H195)</f>
        <v>237814.13672184906</v>
      </c>
    </row>
    <row r="196" spans="1:10">
      <c r="A196" s="7">
        <f>IF(Values_Entered,A195+1,"")</f>
        <v>179</v>
      </c>
      <c r="B196" s="6">
        <f t="shared" si="16"/>
        <v>50010</v>
      </c>
      <c r="C196" s="4">
        <f t="shared" si="22"/>
        <v>0</v>
      </c>
      <c r="D196" s="4">
        <f t="shared" si="17"/>
        <v>59908.922363410937</v>
      </c>
      <c r="E196" s="5">
        <f t="shared" si="18"/>
        <v>0</v>
      </c>
      <c r="F196" s="4">
        <f t="shared" si="19"/>
        <v>0</v>
      </c>
      <c r="G196" s="4">
        <f t="shared" si="20"/>
        <v>0</v>
      </c>
      <c r="H196" s="4">
        <f t="shared" si="23"/>
        <v>0</v>
      </c>
      <c r="I196" s="4">
        <f t="shared" si="21"/>
        <v>0</v>
      </c>
      <c r="J196" s="4">
        <f>SUM($H$18:$H196)</f>
        <v>237814.13672184906</v>
      </c>
    </row>
    <row r="197" spans="1:10">
      <c r="A197" s="7">
        <f>IF(Values_Entered,A196+1,"")</f>
        <v>180</v>
      </c>
      <c r="B197" s="6">
        <f t="shared" si="16"/>
        <v>50041</v>
      </c>
      <c r="C197" s="4">
        <f t="shared" si="22"/>
        <v>0</v>
      </c>
      <c r="D197" s="4">
        <f t="shared" si="17"/>
        <v>59908.922363410937</v>
      </c>
      <c r="E197" s="5">
        <f t="shared" si="18"/>
        <v>0</v>
      </c>
      <c r="F197" s="4">
        <f t="shared" si="19"/>
        <v>0</v>
      </c>
      <c r="G197" s="4">
        <f t="shared" si="20"/>
        <v>0</v>
      </c>
      <c r="H197" s="4">
        <f t="shared" si="23"/>
        <v>0</v>
      </c>
      <c r="I197" s="4">
        <f t="shared" si="21"/>
        <v>0</v>
      </c>
      <c r="J197" s="4">
        <f>SUM($H$18:$H197)</f>
        <v>237814.13672184906</v>
      </c>
    </row>
    <row r="198" spans="1:10">
      <c r="A198" s="7">
        <f>IF(Values_Entered,A197+1,"")</f>
        <v>181</v>
      </c>
      <c r="B198" s="6">
        <f t="shared" si="16"/>
        <v>50072</v>
      </c>
      <c r="C198" s="4">
        <f t="shared" si="22"/>
        <v>0</v>
      </c>
      <c r="D198" s="4">
        <f t="shared" si="17"/>
        <v>59908.922363410937</v>
      </c>
      <c r="E198" s="5">
        <f t="shared" si="18"/>
        <v>0</v>
      </c>
      <c r="F198" s="4">
        <f t="shared" si="19"/>
        <v>0</v>
      </c>
      <c r="G198" s="4">
        <f t="shared" si="20"/>
        <v>0</v>
      </c>
      <c r="H198" s="4">
        <f t="shared" si="23"/>
        <v>0</v>
      </c>
      <c r="I198" s="4">
        <f t="shared" si="21"/>
        <v>0</v>
      </c>
      <c r="J198" s="4">
        <f>SUM($H$18:$H198)</f>
        <v>237814.13672184906</v>
      </c>
    </row>
    <row r="199" spans="1:10">
      <c r="A199" s="7">
        <f>IF(Values_Entered,A198+1,"")</f>
        <v>182</v>
      </c>
      <c r="B199" s="6">
        <f t="shared" si="16"/>
        <v>50100</v>
      </c>
      <c r="C199" s="4">
        <f t="shared" si="22"/>
        <v>0</v>
      </c>
      <c r="D199" s="4">
        <f t="shared" si="17"/>
        <v>59908.922363410937</v>
      </c>
      <c r="E199" s="5">
        <f t="shared" si="18"/>
        <v>0</v>
      </c>
      <c r="F199" s="4">
        <f t="shared" si="19"/>
        <v>0</v>
      </c>
      <c r="G199" s="4">
        <f t="shared" si="20"/>
        <v>0</v>
      </c>
      <c r="H199" s="4">
        <f t="shared" si="23"/>
        <v>0</v>
      </c>
      <c r="I199" s="4">
        <f t="shared" si="21"/>
        <v>0</v>
      </c>
      <c r="J199" s="4">
        <f>SUM($H$18:$H199)</f>
        <v>237814.13672184906</v>
      </c>
    </row>
    <row r="200" spans="1:10">
      <c r="A200" s="7">
        <f>IF(Values_Entered,A199+1,"")</f>
        <v>183</v>
      </c>
      <c r="B200" s="6">
        <f t="shared" si="16"/>
        <v>50131</v>
      </c>
      <c r="C200" s="4">
        <f t="shared" si="22"/>
        <v>0</v>
      </c>
      <c r="D200" s="4">
        <f t="shared" si="17"/>
        <v>59908.922363410937</v>
      </c>
      <c r="E200" s="5">
        <f t="shared" si="18"/>
        <v>0</v>
      </c>
      <c r="F200" s="4">
        <f t="shared" si="19"/>
        <v>0</v>
      </c>
      <c r="G200" s="4">
        <f t="shared" si="20"/>
        <v>0</v>
      </c>
      <c r="H200" s="4">
        <f t="shared" si="23"/>
        <v>0</v>
      </c>
      <c r="I200" s="4">
        <f t="shared" si="21"/>
        <v>0</v>
      </c>
      <c r="J200" s="4">
        <f>SUM($H$18:$H200)</f>
        <v>237814.13672184906</v>
      </c>
    </row>
    <row r="201" spans="1:10">
      <c r="A201" s="7">
        <f>IF(Values_Entered,A200+1,"")</f>
        <v>184</v>
      </c>
      <c r="B201" s="6">
        <f t="shared" si="16"/>
        <v>50161</v>
      </c>
      <c r="C201" s="4">
        <f t="shared" si="22"/>
        <v>0</v>
      </c>
      <c r="D201" s="4">
        <f t="shared" si="17"/>
        <v>59908.922363410937</v>
      </c>
      <c r="E201" s="5">
        <f t="shared" si="18"/>
        <v>0</v>
      </c>
      <c r="F201" s="4">
        <f t="shared" si="19"/>
        <v>0</v>
      </c>
      <c r="G201" s="4">
        <f t="shared" si="20"/>
        <v>0</v>
      </c>
      <c r="H201" s="4">
        <f t="shared" si="23"/>
        <v>0</v>
      </c>
      <c r="I201" s="4">
        <f t="shared" si="21"/>
        <v>0</v>
      </c>
      <c r="J201" s="4">
        <f>SUM($H$18:$H201)</f>
        <v>237814.13672184906</v>
      </c>
    </row>
    <row r="202" spans="1:10">
      <c r="A202" s="7">
        <f>IF(Values_Entered,A201+1,"")</f>
        <v>185</v>
      </c>
      <c r="B202" s="6">
        <f t="shared" si="16"/>
        <v>50192</v>
      </c>
      <c r="C202" s="4">
        <f t="shared" si="22"/>
        <v>0</v>
      </c>
      <c r="D202" s="4">
        <f t="shared" si="17"/>
        <v>59908.922363410937</v>
      </c>
      <c r="E202" s="5">
        <f t="shared" si="18"/>
        <v>0</v>
      </c>
      <c r="F202" s="4">
        <f t="shared" si="19"/>
        <v>0</v>
      </c>
      <c r="G202" s="4">
        <f t="shared" si="20"/>
        <v>0</v>
      </c>
      <c r="H202" s="4">
        <f t="shared" si="23"/>
        <v>0</v>
      </c>
      <c r="I202" s="4">
        <f t="shared" si="21"/>
        <v>0</v>
      </c>
      <c r="J202" s="4">
        <f>SUM($H$18:$H202)</f>
        <v>237814.13672184906</v>
      </c>
    </row>
    <row r="203" spans="1:10">
      <c r="A203" s="7">
        <f>IF(Values_Entered,A202+1,"")</f>
        <v>186</v>
      </c>
      <c r="B203" s="6">
        <f t="shared" si="16"/>
        <v>50222</v>
      </c>
      <c r="C203" s="4">
        <f t="shared" si="22"/>
        <v>0</v>
      </c>
      <c r="D203" s="4">
        <f t="shared" si="17"/>
        <v>59908.922363410937</v>
      </c>
      <c r="E203" s="5">
        <f t="shared" si="18"/>
        <v>0</v>
      </c>
      <c r="F203" s="4">
        <f t="shared" si="19"/>
        <v>0</v>
      </c>
      <c r="G203" s="4">
        <f t="shared" si="20"/>
        <v>0</v>
      </c>
      <c r="H203" s="4">
        <f t="shared" si="23"/>
        <v>0</v>
      </c>
      <c r="I203" s="4">
        <f t="shared" si="21"/>
        <v>0</v>
      </c>
      <c r="J203" s="4">
        <f>SUM($H$18:$H203)</f>
        <v>237814.13672184906</v>
      </c>
    </row>
    <row r="204" spans="1:10">
      <c r="A204" s="7">
        <f>IF(Values_Entered,A203+1,"")</f>
        <v>187</v>
      </c>
      <c r="B204" s="6">
        <f t="shared" si="16"/>
        <v>50253</v>
      </c>
      <c r="C204" s="4">
        <f t="shared" si="22"/>
        <v>0</v>
      </c>
      <c r="D204" s="4">
        <f t="shared" si="17"/>
        <v>59908.922363410937</v>
      </c>
      <c r="E204" s="5">
        <f t="shared" si="18"/>
        <v>0</v>
      </c>
      <c r="F204" s="4">
        <f t="shared" si="19"/>
        <v>0</v>
      </c>
      <c r="G204" s="4">
        <f t="shared" si="20"/>
        <v>0</v>
      </c>
      <c r="H204" s="4">
        <f t="shared" si="23"/>
        <v>0</v>
      </c>
      <c r="I204" s="4">
        <f t="shared" si="21"/>
        <v>0</v>
      </c>
      <c r="J204" s="4">
        <f>SUM($H$18:$H204)</f>
        <v>237814.13672184906</v>
      </c>
    </row>
    <row r="205" spans="1:10">
      <c r="A205" s="7">
        <f>IF(Values_Entered,A204+1,"")</f>
        <v>188</v>
      </c>
      <c r="B205" s="6">
        <f t="shared" si="16"/>
        <v>50284</v>
      </c>
      <c r="C205" s="4">
        <f t="shared" si="22"/>
        <v>0</v>
      </c>
      <c r="D205" s="4">
        <f t="shared" si="17"/>
        <v>59908.922363410937</v>
      </c>
      <c r="E205" s="5">
        <f t="shared" si="18"/>
        <v>0</v>
      </c>
      <c r="F205" s="4">
        <f t="shared" si="19"/>
        <v>0</v>
      </c>
      <c r="G205" s="4">
        <f t="shared" si="20"/>
        <v>0</v>
      </c>
      <c r="H205" s="4">
        <f t="shared" si="23"/>
        <v>0</v>
      </c>
      <c r="I205" s="4">
        <f t="shared" si="21"/>
        <v>0</v>
      </c>
      <c r="J205" s="4">
        <f>SUM($H$18:$H205)</f>
        <v>237814.13672184906</v>
      </c>
    </row>
    <row r="206" spans="1:10">
      <c r="A206" s="7">
        <f>IF(Values_Entered,A205+1,"")</f>
        <v>189</v>
      </c>
      <c r="B206" s="6">
        <f t="shared" si="16"/>
        <v>50314</v>
      </c>
      <c r="C206" s="4">
        <f t="shared" si="22"/>
        <v>0</v>
      </c>
      <c r="D206" s="4">
        <f t="shared" si="17"/>
        <v>59908.922363410937</v>
      </c>
      <c r="E206" s="5">
        <f t="shared" si="18"/>
        <v>0</v>
      </c>
      <c r="F206" s="4">
        <f t="shared" si="19"/>
        <v>0</v>
      </c>
      <c r="G206" s="4">
        <f t="shared" si="20"/>
        <v>0</v>
      </c>
      <c r="H206" s="4">
        <f t="shared" si="23"/>
        <v>0</v>
      </c>
      <c r="I206" s="4">
        <f t="shared" si="21"/>
        <v>0</v>
      </c>
      <c r="J206" s="4">
        <f>SUM($H$18:$H206)</f>
        <v>237814.13672184906</v>
      </c>
    </row>
    <row r="207" spans="1:10">
      <c r="A207" s="7">
        <f>IF(Values_Entered,A206+1,"")</f>
        <v>190</v>
      </c>
      <c r="B207" s="6">
        <f t="shared" si="16"/>
        <v>50345</v>
      </c>
      <c r="C207" s="4">
        <f t="shared" si="22"/>
        <v>0</v>
      </c>
      <c r="D207" s="4">
        <f t="shared" si="17"/>
        <v>59908.922363410937</v>
      </c>
      <c r="E207" s="5">
        <f t="shared" si="18"/>
        <v>0</v>
      </c>
      <c r="F207" s="4">
        <f t="shared" si="19"/>
        <v>0</v>
      </c>
      <c r="G207" s="4">
        <f t="shared" si="20"/>
        <v>0</v>
      </c>
      <c r="H207" s="4">
        <f t="shared" si="23"/>
        <v>0</v>
      </c>
      <c r="I207" s="4">
        <f t="shared" si="21"/>
        <v>0</v>
      </c>
      <c r="J207" s="4">
        <f>SUM($H$18:$H207)</f>
        <v>237814.13672184906</v>
      </c>
    </row>
    <row r="208" spans="1:10">
      <c r="A208" s="7">
        <f>IF(Values_Entered,A207+1,"")</f>
        <v>191</v>
      </c>
      <c r="B208" s="6">
        <f t="shared" si="16"/>
        <v>50375</v>
      </c>
      <c r="C208" s="4">
        <f t="shared" si="22"/>
        <v>0</v>
      </c>
      <c r="D208" s="4">
        <f t="shared" si="17"/>
        <v>59908.922363410937</v>
      </c>
      <c r="E208" s="5">
        <f t="shared" si="18"/>
        <v>0</v>
      </c>
      <c r="F208" s="4">
        <f t="shared" si="19"/>
        <v>0</v>
      </c>
      <c r="G208" s="4">
        <f t="shared" si="20"/>
        <v>0</v>
      </c>
      <c r="H208" s="4">
        <f t="shared" si="23"/>
        <v>0</v>
      </c>
      <c r="I208" s="4">
        <f t="shared" si="21"/>
        <v>0</v>
      </c>
      <c r="J208" s="4">
        <f>SUM($H$18:$H208)</f>
        <v>237814.13672184906</v>
      </c>
    </row>
    <row r="209" spans="1:10">
      <c r="A209" s="7">
        <f>IF(Values_Entered,A208+1,"")</f>
        <v>192</v>
      </c>
      <c r="B209" s="6">
        <f t="shared" si="16"/>
        <v>50406</v>
      </c>
      <c r="C209" s="4">
        <f t="shared" si="22"/>
        <v>0</v>
      </c>
      <c r="D209" s="4">
        <f t="shared" si="17"/>
        <v>59908.922363410937</v>
      </c>
      <c r="E209" s="5">
        <f t="shared" si="18"/>
        <v>0</v>
      </c>
      <c r="F209" s="4">
        <f t="shared" si="19"/>
        <v>0</v>
      </c>
      <c r="G209" s="4">
        <f t="shared" si="20"/>
        <v>0</v>
      </c>
      <c r="H209" s="4">
        <f t="shared" si="23"/>
        <v>0</v>
      </c>
      <c r="I209" s="4">
        <f t="shared" si="21"/>
        <v>0</v>
      </c>
      <c r="J209" s="4">
        <f>SUM($H$18:$H209)</f>
        <v>237814.13672184906</v>
      </c>
    </row>
    <row r="210" spans="1:10">
      <c r="A210" s="7">
        <f>IF(Values_Entered,A209+1,"")</f>
        <v>193</v>
      </c>
      <c r="B210" s="6">
        <f t="shared" ref="B210:B273" si="24">IF(Pay_Num&lt;&gt;"",DATE(YEAR(Loan_Start),MONTH(Loan_Start)+(Pay_Num)*12/Num_Pmt_Per_Year,DAY(Loan_Start)),"")</f>
        <v>50437</v>
      </c>
      <c r="C210" s="4">
        <f t="shared" si="22"/>
        <v>0</v>
      </c>
      <c r="D210" s="4">
        <f t="shared" ref="D210:D273" si="25">IF(Pay_Num&lt;&gt;"",Scheduled_Monthly_Payment,"")</f>
        <v>59908.922363410937</v>
      </c>
      <c r="E210" s="5">
        <f t="shared" ref="E210:E273" si="26">IF(AND(Pay_Num&lt;&gt;"",Sched_Pay+Scheduled_Extra_Payments&lt;Beg_Bal),Scheduled_Extra_Payments,IF(AND(Pay_Num&lt;&gt;"",Beg_Bal-Sched_Pay&gt;0),Beg_Bal-Sched_Pay,IF(Pay_Num&lt;&gt;"",0,"")))</f>
        <v>0</v>
      </c>
      <c r="F210" s="4">
        <f t="shared" ref="F210:F273" si="27">IF(AND(Pay_Num&lt;&gt;"",Sched_Pay+Extra_Pay&lt;Beg_Bal),Sched_Pay+Extra_Pay,IF(Pay_Num&lt;&gt;"",Beg_Bal,""))</f>
        <v>0</v>
      </c>
      <c r="G210" s="4">
        <f t="shared" ref="G210:G273" si="28">IF(Pay_Num&lt;&gt;"",Total_Pay-Int,"")</f>
        <v>0</v>
      </c>
      <c r="H210" s="4">
        <f t="shared" si="23"/>
        <v>0</v>
      </c>
      <c r="I210" s="4">
        <f t="shared" ref="I210:I273" si="29">IF(AND(Pay_Num&lt;&gt;"",Sched_Pay+Extra_Pay&lt;Beg_Bal),Beg_Bal-Princ,IF(Pay_Num&lt;&gt;"",0,""))</f>
        <v>0</v>
      </c>
      <c r="J210" s="4">
        <f>SUM($H$18:$H210)</f>
        <v>237814.13672184906</v>
      </c>
    </row>
    <row r="211" spans="1:10">
      <c r="A211" s="7">
        <f>IF(Values_Entered,A210+1,"")</f>
        <v>194</v>
      </c>
      <c r="B211" s="6">
        <f t="shared" si="24"/>
        <v>50465</v>
      </c>
      <c r="C211" s="4">
        <f t="shared" ref="C211:C274" si="30">IF(Pay_Num&lt;&gt;"",I210,"")</f>
        <v>0</v>
      </c>
      <c r="D211" s="4">
        <f t="shared" si="25"/>
        <v>59908.922363410937</v>
      </c>
      <c r="E211" s="5">
        <f t="shared" si="26"/>
        <v>0</v>
      </c>
      <c r="F211" s="4">
        <f t="shared" si="27"/>
        <v>0</v>
      </c>
      <c r="G211" s="4">
        <f t="shared" si="28"/>
        <v>0</v>
      </c>
      <c r="H211" s="4">
        <f t="shared" ref="H211:H274" si="31">IF(Pay_Num&lt;&gt;"",Beg_Bal*Interest_Rate/Num_Pmt_Per_Year,"")</f>
        <v>0</v>
      </c>
      <c r="I211" s="4">
        <f t="shared" si="29"/>
        <v>0</v>
      </c>
      <c r="J211" s="4">
        <f>SUM($H$18:$H211)</f>
        <v>237814.13672184906</v>
      </c>
    </row>
    <row r="212" spans="1:10">
      <c r="A212" s="7">
        <f>IF(Values_Entered,A211+1,"")</f>
        <v>195</v>
      </c>
      <c r="B212" s="6">
        <f t="shared" si="24"/>
        <v>50496</v>
      </c>
      <c r="C212" s="4">
        <f t="shared" si="30"/>
        <v>0</v>
      </c>
      <c r="D212" s="4">
        <f t="shared" si="25"/>
        <v>59908.922363410937</v>
      </c>
      <c r="E212" s="5">
        <f t="shared" si="26"/>
        <v>0</v>
      </c>
      <c r="F212" s="4">
        <f t="shared" si="27"/>
        <v>0</v>
      </c>
      <c r="G212" s="4">
        <f t="shared" si="28"/>
        <v>0</v>
      </c>
      <c r="H212" s="4">
        <f t="shared" si="31"/>
        <v>0</v>
      </c>
      <c r="I212" s="4">
        <f t="shared" si="29"/>
        <v>0</v>
      </c>
      <c r="J212" s="4">
        <f>SUM($H$18:$H212)</f>
        <v>237814.13672184906</v>
      </c>
    </row>
    <row r="213" spans="1:10">
      <c r="A213" s="7">
        <f>IF(Values_Entered,A212+1,"")</f>
        <v>196</v>
      </c>
      <c r="B213" s="6">
        <f t="shared" si="24"/>
        <v>50526</v>
      </c>
      <c r="C213" s="4">
        <f t="shared" si="30"/>
        <v>0</v>
      </c>
      <c r="D213" s="4">
        <f t="shared" si="25"/>
        <v>59908.922363410937</v>
      </c>
      <c r="E213" s="5">
        <f t="shared" si="26"/>
        <v>0</v>
      </c>
      <c r="F213" s="4">
        <f t="shared" si="27"/>
        <v>0</v>
      </c>
      <c r="G213" s="4">
        <f t="shared" si="28"/>
        <v>0</v>
      </c>
      <c r="H213" s="4">
        <f t="shared" si="31"/>
        <v>0</v>
      </c>
      <c r="I213" s="4">
        <f t="shared" si="29"/>
        <v>0</v>
      </c>
      <c r="J213" s="4">
        <f>SUM($H$18:$H213)</f>
        <v>237814.13672184906</v>
      </c>
    </row>
    <row r="214" spans="1:10">
      <c r="A214" s="7">
        <f>IF(Values_Entered,A213+1,"")</f>
        <v>197</v>
      </c>
      <c r="B214" s="6">
        <f t="shared" si="24"/>
        <v>50557</v>
      </c>
      <c r="C214" s="4">
        <f t="shared" si="30"/>
        <v>0</v>
      </c>
      <c r="D214" s="4">
        <f t="shared" si="25"/>
        <v>59908.922363410937</v>
      </c>
      <c r="E214" s="5">
        <f t="shared" si="26"/>
        <v>0</v>
      </c>
      <c r="F214" s="4">
        <f t="shared" si="27"/>
        <v>0</v>
      </c>
      <c r="G214" s="4">
        <f t="shared" si="28"/>
        <v>0</v>
      </c>
      <c r="H214" s="4">
        <f t="shared" si="31"/>
        <v>0</v>
      </c>
      <c r="I214" s="4">
        <f t="shared" si="29"/>
        <v>0</v>
      </c>
      <c r="J214" s="4">
        <f>SUM($H$18:$H214)</f>
        <v>237814.13672184906</v>
      </c>
    </row>
    <row r="215" spans="1:10">
      <c r="A215" s="7">
        <f>IF(Values_Entered,A214+1,"")</f>
        <v>198</v>
      </c>
      <c r="B215" s="6">
        <f t="shared" si="24"/>
        <v>50587</v>
      </c>
      <c r="C215" s="4">
        <f t="shared" si="30"/>
        <v>0</v>
      </c>
      <c r="D215" s="4">
        <f t="shared" si="25"/>
        <v>59908.922363410937</v>
      </c>
      <c r="E215" s="5">
        <f t="shared" si="26"/>
        <v>0</v>
      </c>
      <c r="F215" s="4">
        <f t="shared" si="27"/>
        <v>0</v>
      </c>
      <c r="G215" s="4">
        <f t="shared" si="28"/>
        <v>0</v>
      </c>
      <c r="H215" s="4">
        <f t="shared" si="31"/>
        <v>0</v>
      </c>
      <c r="I215" s="4">
        <f t="shared" si="29"/>
        <v>0</v>
      </c>
      <c r="J215" s="4">
        <f>SUM($H$18:$H215)</f>
        <v>237814.13672184906</v>
      </c>
    </row>
    <row r="216" spans="1:10">
      <c r="A216" s="7">
        <f>IF(Values_Entered,A215+1,"")</f>
        <v>199</v>
      </c>
      <c r="B216" s="6">
        <f t="shared" si="24"/>
        <v>50618</v>
      </c>
      <c r="C216" s="4">
        <f t="shared" si="30"/>
        <v>0</v>
      </c>
      <c r="D216" s="4">
        <f t="shared" si="25"/>
        <v>59908.922363410937</v>
      </c>
      <c r="E216" s="5">
        <f t="shared" si="26"/>
        <v>0</v>
      </c>
      <c r="F216" s="4">
        <f t="shared" si="27"/>
        <v>0</v>
      </c>
      <c r="G216" s="4">
        <f t="shared" si="28"/>
        <v>0</v>
      </c>
      <c r="H216" s="4">
        <f t="shared" si="31"/>
        <v>0</v>
      </c>
      <c r="I216" s="4">
        <f t="shared" si="29"/>
        <v>0</v>
      </c>
      <c r="J216" s="4">
        <f>SUM($H$18:$H216)</f>
        <v>237814.13672184906</v>
      </c>
    </row>
    <row r="217" spans="1:10">
      <c r="A217" s="7">
        <f>IF(Values_Entered,A216+1,"")</f>
        <v>200</v>
      </c>
      <c r="B217" s="6">
        <f t="shared" si="24"/>
        <v>50649</v>
      </c>
      <c r="C217" s="4">
        <f t="shared" si="30"/>
        <v>0</v>
      </c>
      <c r="D217" s="4">
        <f t="shared" si="25"/>
        <v>59908.922363410937</v>
      </c>
      <c r="E217" s="5">
        <f t="shared" si="26"/>
        <v>0</v>
      </c>
      <c r="F217" s="4">
        <f t="shared" si="27"/>
        <v>0</v>
      </c>
      <c r="G217" s="4">
        <f t="shared" si="28"/>
        <v>0</v>
      </c>
      <c r="H217" s="4">
        <f t="shared" si="31"/>
        <v>0</v>
      </c>
      <c r="I217" s="4">
        <f t="shared" si="29"/>
        <v>0</v>
      </c>
      <c r="J217" s="4">
        <f>SUM($H$18:$H217)</f>
        <v>237814.13672184906</v>
      </c>
    </row>
    <row r="218" spans="1:10">
      <c r="A218" s="7">
        <f>IF(Values_Entered,A217+1,"")</f>
        <v>201</v>
      </c>
      <c r="B218" s="6">
        <f t="shared" si="24"/>
        <v>50679</v>
      </c>
      <c r="C218" s="4">
        <f t="shared" si="30"/>
        <v>0</v>
      </c>
      <c r="D218" s="4">
        <f t="shared" si="25"/>
        <v>59908.922363410937</v>
      </c>
      <c r="E218" s="5">
        <f t="shared" si="26"/>
        <v>0</v>
      </c>
      <c r="F218" s="4">
        <f t="shared" si="27"/>
        <v>0</v>
      </c>
      <c r="G218" s="4">
        <f t="shared" si="28"/>
        <v>0</v>
      </c>
      <c r="H218" s="4">
        <f t="shared" si="31"/>
        <v>0</v>
      </c>
      <c r="I218" s="4">
        <f t="shared" si="29"/>
        <v>0</v>
      </c>
      <c r="J218" s="4">
        <f>SUM($H$18:$H218)</f>
        <v>237814.13672184906</v>
      </c>
    </row>
    <row r="219" spans="1:10">
      <c r="A219" s="7">
        <f>IF(Values_Entered,A218+1,"")</f>
        <v>202</v>
      </c>
      <c r="B219" s="6">
        <f t="shared" si="24"/>
        <v>50710</v>
      </c>
      <c r="C219" s="4">
        <f t="shared" si="30"/>
        <v>0</v>
      </c>
      <c r="D219" s="4">
        <f t="shared" si="25"/>
        <v>59908.922363410937</v>
      </c>
      <c r="E219" s="5">
        <f t="shared" si="26"/>
        <v>0</v>
      </c>
      <c r="F219" s="4">
        <f t="shared" si="27"/>
        <v>0</v>
      </c>
      <c r="G219" s="4">
        <f t="shared" si="28"/>
        <v>0</v>
      </c>
      <c r="H219" s="4">
        <f t="shared" si="31"/>
        <v>0</v>
      </c>
      <c r="I219" s="4">
        <f t="shared" si="29"/>
        <v>0</v>
      </c>
      <c r="J219" s="4">
        <f>SUM($H$18:$H219)</f>
        <v>237814.13672184906</v>
      </c>
    </row>
    <row r="220" spans="1:10">
      <c r="A220" s="7">
        <f>IF(Values_Entered,A219+1,"")</f>
        <v>203</v>
      </c>
      <c r="B220" s="6">
        <f t="shared" si="24"/>
        <v>50740</v>
      </c>
      <c r="C220" s="4">
        <f t="shared" si="30"/>
        <v>0</v>
      </c>
      <c r="D220" s="4">
        <f t="shared" si="25"/>
        <v>59908.922363410937</v>
      </c>
      <c r="E220" s="5">
        <f t="shared" si="26"/>
        <v>0</v>
      </c>
      <c r="F220" s="4">
        <f t="shared" si="27"/>
        <v>0</v>
      </c>
      <c r="G220" s="4">
        <f t="shared" si="28"/>
        <v>0</v>
      </c>
      <c r="H220" s="4">
        <f t="shared" si="31"/>
        <v>0</v>
      </c>
      <c r="I220" s="4">
        <f t="shared" si="29"/>
        <v>0</v>
      </c>
      <c r="J220" s="4">
        <f>SUM($H$18:$H220)</f>
        <v>237814.13672184906</v>
      </c>
    </row>
    <row r="221" spans="1:10">
      <c r="A221" s="7">
        <f>IF(Values_Entered,A220+1,"")</f>
        <v>204</v>
      </c>
      <c r="B221" s="6">
        <f t="shared" si="24"/>
        <v>50771</v>
      </c>
      <c r="C221" s="4">
        <f t="shared" si="30"/>
        <v>0</v>
      </c>
      <c r="D221" s="4">
        <f t="shared" si="25"/>
        <v>59908.922363410937</v>
      </c>
      <c r="E221" s="5">
        <f t="shared" si="26"/>
        <v>0</v>
      </c>
      <c r="F221" s="4">
        <f t="shared" si="27"/>
        <v>0</v>
      </c>
      <c r="G221" s="4">
        <f t="shared" si="28"/>
        <v>0</v>
      </c>
      <c r="H221" s="4">
        <f t="shared" si="31"/>
        <v>0</v>
      </c>
      <c r="I221" s="4">
        <f t="shared" si="29"/>
        <v>0</v>
      </c>
      <c r="J221" s="4">
        <f>SUM($H$18:$H221)</f>
        <v>237814.13672184906</v>
      </c>
    </row>
    <row r="222" spans="1:10">
      <c r="A222" s="7">
        <f>IF(Values_Entered,A221+1,"")</f>
        <v>205</v>
      </c>
      <c r="B222" s="6">
        <f t="shared" si="24"/>
        <v>50802</v>
      </c>
      <c r="C222" s="4">
        <f t="shared" si="30"/>
        <v>0</v>
      </c>
      <c r="D222" s="4">
        <f t="shared" si="25"/>
        <v>59908.922363410937</v>
      </c>
      <c r="E222" s="5">
        <f t="shared" si="26"/>
        <v>0</v>
      </c>
      <c r="F222" s="4">
        <f t="shared" si="27"/>
        <v>0</v>
      </c>
      <c r="G222" s="4">
        <f t="shared" si="28"/>
        <v>0</v>
      </c>
      <c r="H222" s="4">
        <f t="shared" si="31"/>
        <v>0</v>
      </c>
      <c r="I222" s="4">
        <f t="shared" si="29"/>
        <v>0</v>
      </c>
      <c r="J222" s="4">
        <f>SUM($H$18:$H222)</f>
        <v>237814.13672184906</v>
      </c>
    </row>
    <row r="223" spans="1:10">
      <c r="A223" s="7">
        <f>IF(Values_Entered,A222+1,"")</f>
        <v>206</v>
      </c>
      <c r="B223" s="6">
        <f t="shared" si="24"/>
        <v>50830</v>
      </c>
      <c r="C223" s="4">
        <f t="shared" si="30"/>
        <v>0</v>
      </c>
      <c r="D223" s="4">
        <f t="shared" si="25"/>
        <v>59908.922363410937</v>
      </c>
      <c r="E223" s="5">
        <f t="shared" si="26"/>
        <v>0</v>
      </c>
      <c r="F223" s="4">
        <f t="shared" si="27"/>
        <v>0</v>
      </c>
      <c r="G223" s="4">
        <f t="shared" si="28"/>
        <v>0</v>
      </c>
      <c r="H223" s="4">
        <f t="shared" si="31"/>
        <v>0</v>
      </c>
      <c r="I223" s="4">
        <f t="shared" si="29"/>
        <v>0</v>
      </c>
      <c r="J223" s="4">
        <f>SUM($H$18:$H223)</f>
        <v>237814.13672184906</v>
      </c>
    </row>
    <row r="224" spans="1:10">
      <c r="A224" s="7">
        <f>IF(Values_Entered,A223+1,"")</f>
        <v>207</v>
      </c>
      <c r="B224" s="6">
        <f t="shared" si="24"/>
        <v>50861</v>
      </c>
      <c r="C224" s="4">
        <f t="shared" si="30"/>
        <v>0</v>
      </c>
      <c r="D224" s="4">
        <f t="shared" si="25"/>
        <v>59908.922363410937</v>
      </c>
      <c r="E224" s="5">
        <f t="shared" si="26"/>
        <v>0</v>
      </c>
      <c r="F224" s="4">
        <f t="shared" si="27"/>
        <v>0</v>
      </c>
      <c r="G224" s="4">
        <f t="shared" si="28"/>
        <v>0</v>
      </c>
      <c r="H224" s="4">
        <f t="shared" si="31"/>
        <v>0</v>
      </c>
      <c r="I224" s="4">
        <f t="shared" si="29"/>
        <v>0</v>
      </c>
      <c r="J224" s="4">
        <f>SUM($H$18:$H224)</f>
        <v>237814.13672184906</v>
      </c>
    </row>
    <row r="225" spans="1:10">
      <c r="A225" s="7">
        <f>IF(Values_Entered,A224+1,"")</f>
        <v>208</v>
      </c>
      <c r="B225" s="6">
        <f t="shared" si="24"/>
        <v>50891</v>
      </c>
      <c r="C225" s="4">
        <f t="shared" si="30"/>
        <v>0</v>
      </c>
      <c r="D225" s="4">
        <f t="shared" si="25"/>
        <v>59908.922363410937</v>
      </c>
      <c r="E225" s="5">
        <f t="shared" si="26"/>
        <v>0</v>
      </c>
      <c r="F225" s="4">
        <f t="shared" si="27"/>
        <v>0</v>
      </c>
      <c r="G225" s="4">
        <f t="shared" si="28"/>
        <v>0</v>
      </c>
      <c r="H225" s="4">
        <f t="shared" si="31"/>
        <v>0</v>
      </c>
      <c r="I225" s="4">
        <f t="shared" si="29"/>
        <v>0</v>
      </c>
      <c r="J225" s="4">
        <f>SUM($H$18:$H225)</f>
        <v>237814.13672184906</v>
      </c>
    </row>
    <row r="226" spans="1:10">
      <c r="A226" s="7">
        <f>IF(Values_Entered,A225+1,"")</f>
        <v>209</v>
      </c>
      <c r="B226" s="6">
        <f t="shared" si="24"/>
        <v>50922</v>
      </c>
      <c r="C226" s="4">
        <f t="shared" si="30"/>
        <v>0</v>
      </c>
      <c r="D226" s="4">
        <f t="shared" si="25"/>
        <v>59908.922363410937</v>
      </c>
      <c r="E226" s="5">
        <f t="shared" si="26"/>
        <v>0</v>
      </c>
      <c r="F226" s="4">
        <f t="shared" si="27"/>
        <v>0</v>
      </c>
      <c r="G226" s="4">
        <f t="shared" si="28"/>
        <v>0</v>
      </c>
      <c r="H226" s="4">
        <f t="shared" si="31"/>
        <v>0</v>
      </c>
      <c r="I226" s="4">
        <f t="shared" si="29"/>
        <v>0</v>
      </c>
      <c r="J226" s="4">
        <f>SUM($H$18:$H226)</f>
        <v>237814.13672184906</v>
      </c>
    </row>
    <row r="227" spans="1:10">
      <c r="A227" s="7">
        <f>IF(Values_Entered,A226+1,"")</f>
        <v>210</v>
      </c>
      <c r="B227" s="6">
        <f t="shared" si="24"/>
        <v>50952</v>
      </c>
      <c r="C227" s="4">
        <f t="shared" si="30"/>
        <v>0</v>
      </c>
      <c r="D227" s="4">
        <f t="shared" si="25"/>
        <v>59908.922363410937</v>
      </c>
      <c r="E227" s="5">
        <f t="shared" si="26"/>
        <v>0</v>
      </c>
      <c r="F227" s="4">
        <f t="shared" si="27"/>
        <v>0</v>
      </c>
      <c r="G227" s="4">
        <f t="shared" si="28"/>
        <v>0</v>
      </c>
      <c r="H227" s="4">
        <f t="shared" si="31"/>
        <v>0</v>
      </c>
      <c r="I227" s="4">
        <f t="shared" si="29"/>
        <v>0</v>
      </c>
      <c r="J227" s="4">
        <f>SUM($H$18:$H227)</f>
        <v>237814.13672184906</v>
      </c>
    </row>
    <row r="228" spans="1:10">
      <c r="A228" s="7">
        <f>IF(Values_Entered,A227+1,"")</f>
        <v>211</v>
      </c>
      <c r="B228" s="6">
        <f t="shared" si="24"/>
        <v>50983</v>
      </c>
      <c r="C228" s="4">
        <f t="shared" si="30"/>
        <v>0</v>
      </c>
      <c r="D228" s="4">
        <f t="shared" si="25"/>
        <v>59908.922363410937</v>
      </c>
      <c r="E228" s="5">
        <f t="shared" si="26"/>
        <v>0</v>
      </c>
      <c r="F228" s="4">
        <f t="shared" si="27"/>
        <v>0</v>
      </c>
      <c r="G228" s="4">
        <f t="shared" si="28"/>
        <v>0</v>
      </c>
      <c r="H228" s="4">
        <f t="shared" si="31"/>
        <v>0</v>
      </c>
      <c r="I228" s="4">
        <f t="shared" si="29"/>
        <v>0</v>
      </c>
      <c r="J228" s="4">
        <f>SUM($H$18:$H228)</f>
        <v>237814.13672184906</v>
      </c>
    </row>
    <row r="229" spans="1:10">
      <c r="A229" s="7">
        <f>IF(Values_Entered,A228+1,"")</f>
        <v>212</v>
      </c>
      <c r="B229" s="6">
        <f t="shared" si="24"/>
        <v>51014</v>
      </c>
      <c r="C229" s="4">
        <f t="shared" si="30"/>
        <v>0</v>
      </c>
      <c r="D229" s="4">
        <f t="shared" si="25"/>
        <v>59908.922363410937</v>
      </c>
      <c r="E229" s="5">
        <f t="shared" si="26"/>
        <v>0</v>
      </c>
      <c r="F229" s="4">
        <f t="shared" si="27"/>
        <v>0</v>
      </c>
      <c r="G229" s="4">
        <f t="shared" si="28"/>
        <v>0</v>
      </c>
      <c r="H229" s="4">
        <f t="shared" si="31"/>
        <v>0</v>
      </c>
      <c r="I229" s="4">
        <f t="shared" si="29"/>
        <v>0</v>
      </c>
      <c r="J229" s="4">
        <f>SUM($H$18:$H229)</f>
        <v>237814.13672184906</v>
      </c>
    </row>
    <row r="230" spans="1:10">
      <c r="A230" s="7">
        <f>IF(Values_Entered,A229+1,"")</f>
        <v>213</v>
      </c>
      <c r="B230" s="6">
        <f t="shared" si="24"/>
        <v>51044</v>
      </c>
      <c r="C230" s="4">
        <f t="shared" si="30"/>
        <v>0</v>
      </c>
      <c r="D230" s="4">
        <f t="shared" si="25"/>
        <v>59908.922363410937</v>
      </c>
      <c r="E230" s="5">
        <f t="shared" si="26"/>
        <v>0</v>
      </c>
      <c r="F230" s="4">
        <f t="shared" si="27"/>
        <v>0</v>
      </c>
      <c r="G230" s="4">
        <f t="shared" si="28"/>
        <v>0</v>
      </c>
      <c r="H230" s="4">
        <f t="shared" si="31"/>
        <v>0</v>
      </c>
      <c r="I230" s="4">
        <f t="shared" si="29"/>
        <v>0</v>
      </c>
      <c r="J230" s="4">
        <f>SUM($H$18:$H230)</f>
        <v>237814.13672184906</v>
      </c>
    </row>
    <row r="231" spans="1:10">
      <c r="A231" s="7">
        <f>IF(Values_Entered,A230+1,"")</f>
        <v>214</v>
      </c>
      <c r="B231" s="6">
        <f t="shared" si="24"/>
        <v>51075</v>
      </c>
      <c r="C231" s="4">
        <f t="shared" si="30"/>
        <v>0</v>
      </c>
      <c r="D231" s="4">
        <f t="shared" si="25"/>
        <v>59908.922363410937</v>
      </c>
      <c r="E231" s="5">
        <f t="shared" si="26"/>
        <v>0</v>
      </c>
      <c r="F231" s="4">
        <f t="shared" si="27"/>
        <v>0</v>
      </c>
      <c r="G231" s="4">
        <f t="shared" si="28"/>
        <v>0</v>
      </c>
      <c r="H231" s="4">
        <f t="shared" si="31"/>
        <v>0</v>
      </c>
      <c r="I231" s="4">
        <f t="shared" si="29"/>
        <v>0</v>
      </c>
      <c r="J231" s="4">
        <f>SUM($H$18:$H231)</f>
        <v>237814.13672184906</v>
      </c>
    </row>
    <row r="232" spans="1:10">
      <c r="A232" s="7">
        <f>IF(Values_Entered,A231+1,"")</f>
        <v>215</v>
      </c>
      <c r="B232" s="6">
        <f t="shared" si="24"/>
        <v>51105</v>
      </c>
      <c r="C232" s="4">
        <f t="shared" si="30"/>
        <v>0</v>
      </c>
      <c r="D232" s="4">
        <f t="shared" si="25"/>
        <v>59908.922363410937</v>
      </c>
      <c r="E232" s="5">
        <f t="shared" si="26"/>
        <v>0</v>
      </c>
      <c r="F232" s="4">
        <f t="shared" si="27"/>
        <v>0</v>
      </c>
      <c r="G232" s="4">
        <f t="shared" si="28"/>
        <v>0</v>
      </c>
      <c r="H232" s="4">
        <f t="shared" si="31"/>
        <v>0</v>
      </c>
      <c r="I232" s="4">
        <f t="shared" si="29"/>
        <v>0</v>
      </c>
      <c r="J232" s="4">
        <f>SUM($H$18:$H232)</f>
        <v>237814.13672184906</v>
      </c>
    </row>
    <row r="233" spans="1:10">
      <c r="A233" s="7">
        <f>IF(Values_Entered,A232+1,"")</f>
        <v>216</v>
      </c>
      <c r="B233" s="6">
        <f t="shared" si="24"/>
        <v>51136</v>
      </c>
      <c r="C233" s="4">
        <f t="shared" si="30"/>
        <v>0</v>
      </c>
      <c r="D233" s="4">
        <f t="shared" si="25"/>
        <v>59908.922363410937</v>
      </c>
      <c r="E233" s="5">
        <f t="shared" si="26"/>
        <v>0</v>
      </c>
      <c r="F233" s="4">
        <f t="shared" si="27"/>
        <v>0</v>
      </c>
      <c r="G233" s="4">
        <f t="shared" si="28"/>
        <v>0</v>
      </c>
      <c r="H233" s="4">
        <f t="shared" si="31"/>
        <v>0</v>
      </c>
      <c r="I233" s="4">
        <f t="shared" si="29"/>
        <v>0</v>
      </c>
      <c r="J233" s="4">
        <f>SUM($H$18:$H233)</f>
        <v>237814.13672184906</v>
      </c>
    </row>
    <row r="234" spans="1:10">
      <c r="A234" s="7">
        <f>IF(Values_Entered,A233+1,"")</f>
        <v>217</v>
      </c>
      <c r="B234" s="6">
        <f t="shared" si="24"/>
        <v>51167</v>
      </c>
      <c r="C234" s="4">
        <f t="shared" si="30"/>
        <v>0</v>
      </c>
      <c r="D234" s="4">
        <f t="shared" si="25"/>
        <v>59908.922363410937</v>
      </c>
      <c r="E234" s="5">
        <f t="shared" si="26"/>
        <v>0</v>
      </c>
      <c r="F234" s="4">
        <f t="shared" si="27"/>
        <v>0</v>
      </c>
      <c r="G234" s="4">
        <f t="shared" si="28"/>
        <v>0</v>
      </c>
      <c r="H234" s="4">
        <f t="shared" si="31"/>
        <v>0</v>
      </c>
      <c r="I234" s="4">
        <f t="shared" si="29"/>
        <v>0</v>
      </c>
      <c r="J234" s="4">
        <f>SUM($H$18:$H234)</f>
        <v>237814.13672184906</v>
      </c>
    </row>
    <row r="235" spans="1:10">
      <c r="A235" s="7">
        <f>IF(Values_Entered,A234+1,"")</f>
        <v>218</v>
      </c>
      <c r="B235" s="6">
        <f t="shared" si="24"/>
        <v>51196</v>
      </c>
      <c r="C235" s="4">
        <f t="shared" si="30"/>
        <v>0</v>
      </c>
      <c r="D235" s="4">
        <f t="shared" si="25"/>
        <v>59908.922363410937</v>
      </c>
      <c r="E235" s="5">
        <f t="shared" si="26"/>
        <v>0</v>
      </c>
      <c r="F235" s="4">
        <f t="shared" si="27"/>
        <v>0</v>
      </c>
      <c r="G235" s="4">
        <f t="shared" si="28"/>
        <v>0</v>
      </c>
      <c r="H235" s="4">
        <f t="shared" si="31"/>
        <v>0</v>
      </c>
      <c r="I235" s="4">
        <f t="shared" si="29"/>
        <v>0</v>
      </c>
      <c r="J235" s="4">
        <f>SUM($H$18:$H235)</f>
        <v>237814.13672184906</v>
      </c>
    </row>
    <row r="236" spans="1:10">
      <c r="A236" s="7">
        <f>IF(Values_Entered,A235+1,"")</f>
        <v>219</v>
      </c>
      <c r="B236" s="6">
        <f t="shared" si="24"/>
        <v>51227</v>
      </c>
      <c r="C236" s="4">
        <f t="shared" si="30"/>
        <v>0</v>
      </c>
      <c r="D236" s="4">
        <f t="shared" si="25"/>
        <v>59908.922363410937</v>
      </c>
      <c r="E236" s="5">
        <f t="shared" si="26"/>
        <v>0</v>
      </c>
      <c r="F236" s="4">
        <f t="shared" si="27"/>
        <v>0</v>
      </c>
      <c r="G236" s="4">
        <f t="shared" si="28"/>
        <v>0</v>
      </c>
      <c r="H236" s="4">
        <f t="shared" si="31"/>
        <v>0</v>
      </c>
      <c r="I236" s="4">
        <f t="shared" si="29"/>
        <v>0</v>
      </c>
      <c r="J236" s="4">
        <f>SUM($H$18:$H236)</f>
        <v>237814.13672184906</v>
      </c>
    </row>
    <row r="237" spans="1:10">
      <c r="A237" s="7">
        <f>IF(Values_Entered,A236+1,"")</f>
        <v>220</v>
      </c>
      <c r="B237" s="6">
        <f t="shared" si="24"/>
        <v>51257</v>
      </c>
      <c r="C237" s="4">
        <f t="shared" si="30"/>
        <v>0</v>
      </c>
      <c r="D237" s="4">
        <f t="shared" si="25"/>
        <v>59908.922363410937</v>
      </c>
      <c r="E237" s="5">
        <f t="shared" si="26"/>
        <v>0</v>
      </c>
      <c r="F237" s="4">
        <f t="shared" si="27"/>
        <v>0</v>
      </c>
      <c r="G237" s="4">
        <f t="shared" si="28"/>
        <v>0</v>
      </c>
      <c r="H237" s="4">
        <f t="shared" si="31"/>
        <v>0</v>
      </c>
      <c r="I237" s="4">
        <f t="shared" si="29"/>
        <v>0</v>
      </c>
      <c r="J237" s="4">
        <f>SUM($H$18:$H237)</f>
        <v>237814.13672184906</v>
      </c>
    </row>
    <row r="238" spans="1:10">
      <c r="A238" s="7">
        <f>IF(Values_Entered,A237+1,"")</f>
        <v>221</v>
      </c>
      <c r="B238" s="6">
        <f t="shared" si="24"/>
        <v>51288</v>
      </c>
      <c r="C238" s="4">
        <f t="shared" si="30"/>
        <v>0</v>
      </c>
      <c r="D238" s="4">
        <f t="shared" si="25"/>
        <v>59908.922363410937</v>
      </c>
      <c r="E238" s="5">
        <f t="shared" si="26"/>
        <v>0</v>
      </c>
      <c r="F238" s="4">
        <f t="shared" si="27"/>
        <v>0</v>
      </c>
      <c r="G238" s="4">
        <f t="shared" si="28"/>
        <v>0</v>
      </c>
      <c r="H238" s="4">
        <f t="shared" si="31"/>
        <v>0</v>
      </c>
      <c r="I238" s="4">
        <f t="shared" si="29"/>
        <v>0</v>
      </c>
      <c r="J238" s="4">
        <f>SUM($H$18:$H238)</f>
        <v>237814.13672184906</v>
      </c>
    </row>
    <row r="239" spans="1:10">
      <c r="A239" s="7">
        <f>IF(Values_Entered,A238+1,"")</f>
        <v>222</v>
      </c>
      <c r="B239" s="6">
        <f t="shared" si="24"/>
        <v>51318</v>
      </c>
      <c r="C239" s="4">
        <f t="shared" si="30"/>
        <v>0</v>
      </c>
      <c r="D239" s="4">
        <f t="shared" si="25"/>
        <v>59908.922363410937</v>
      </c>
      <c r="E239" s="5">
        <f t="shared" si="26"/>
        <v>0</v>
      </c>
      <c r="F239" s="4">
        <f t="shared" si="27"/>
        <v>0</v>
      </c>
      <c r="G239" s="4">
        <f t="shared" si="28"/>
        <v>0</v>
      </c>
      <c r="H239" s="4">
        <f t="shared" si="31"/>
        <v>0</v>
      </c>
      <c r="I239" s="4">
        <f t="shared" si="29"/>
        <v>0</v>
      </c>
      <c r="J239" s="4">
        <f>SUM($H$18:$H239)</f>
        <v>237814.13672184906</v>
      </c>
    </row>
    <row r="240" spans="1:10">
      <c r="A240" s="7">
        <f>IF(Values_Entered,A239+1,"")</f>
        <v>223</v>
      </c>
      <c r="B240" s="6">
        <f t="shared" si="24"/>
        <v>51349</v>
      </c>
      <c r="C240" s="4">
        <f t="shared" si="30"/>
        <v>0</v>
      </c>
      <c r="D240" s="4">
        <f t="shared" si="25"/>
        <v>59908.922363410937</v>
      </c>
      <c r="E240" s="5">
        <f t="shared" si="26"/>
        <v>0</v>
      </c>
      <c r="F240" s="4">
        <f t="shared" si="27"/>
        <v>0</v>
      </c>
      <c r="G240" s="4">
        <f t="shared" si="28"/>
        <v>0</v>
      </c>
      <c r="H240" s="4">
        <f t="shared" si="31"/>
        <v>0</v>
      </c>
      <c r="I240" s="4">
        <f t="shared" si="29"/>
        <v>0</v>
      </c>
      <c r="J240" s="4">
        <f>SUM($H$18:$H240)</f>
        <v>237814.13672184906</v>
      </c>
    </row>
    <row r="241" spans="1:10">
      <c r="A241" s="7">
        <f>IF(Values_Entered,A240+1,"")</f>
        <v>224</v>
      </c>
      <c r="B241" s="6">
        <f t="shared" si="24"/>
        <v>51380</v>
      </c>
      <c r="C241" s="4">
        <f t="shared" si="30"/>
        <v>0</v>
      </c>
      <c r="D241" s="4">
        <f t="shared" si="25"/>
        <v>59908.922363410937</v>
      </c>
      <c r="E241" s="5">
        <f t="shared" si="26"/>
        <v>0</v>
      </c>
      <c r="F241" s="4">
        <f t="shared" si="27"/>
        <v>0</v>
      </c>
      <c r="G241" s="4">
        <f t="shared" si="28"/>
        <v>0</v>
      </c>
      <c r="H241" s="4">
        <f t="shared" si="31"/>
        <v>0</v>
      </c>
      <c r="I241" s="4">
        <f t="shared" si="29"/>
        <v>0</v>
      </c>
      <c r="J241" s="4">
        <f>SUM($H$18:$H241)</f>
        <v>237814.13672184906</v>
      </c>
    </row>
    <row r="242" spans="1:10">
      <c r="A242" s="7">
        <f>IF(Values_Entered,A241+1,"")</f>
        <v>225</v>
      </c>
      <c r="B242" s="6">
        <f t="shared" si="24"/>
        <v>51410</v>
      </c>
      <c r="C242" s="4">
        <f t="shared" si="30"/>
        <v>0</v>
      </c>
      <c r="D242" s="4">
        <f t="shared" si="25"/>
        <v>59908.922363410937</v>
      </c>
      <c r="E242" s="5">
        <f t="shared" si="26"/>
        <v>0</v>
      </c>
      <c r="F242" s="4">
        <f t="shared" si="27"/>
        <v>0</v>
      </c>
      <c r="G242" s="4">
        <f t="shared" si="28"/>
        <v>0</v>
      </c>
      <c r="H242" s="4">
        <f t="shared" si="31"/>
        <v>0</v>
      </c>
      <c r="I242" s="4">
        <f t="shared" si="29"/>
        <v>0</v>
      </c>
      <c r="J242" s="4">
        <f>SUM($H$18:$H242)</f>
        <v>237814.13672184906</v>
      </c>
    </row>
    <row r="243" spans="1:10">
      <c r="A243" s="7">
        <f>IF(Values_Entered,A242+1,"")</f>
        <v>226</v>
      </c>
      <c r="B243" s="6">
        <f t="shared" si="24"/>
        <v>51441</v>
      </c>
      <c r="C243" s="4">
        <f t="shared" si="30"/>
        <v>0</v>
      </c>
      <c r="D243" s="4">
        <f t="shared" si="25"/>
        <v>59908.922363410937</v>
      </c>
      <c r="E243" s="5">
        <f t="shared" si="26"/>
        <v>0</v>
      </c>
      <c r="F243" s="4">
        <f t="shared" si="27"/>
        <v>0</v>
      </c>
      <c r="G243" s="4">
        <f t="shared" si="28"/>
        <v>0</v>
      </c>
      <c r="H243" s="4">
        <f t="shared" si="31"/>
        <v>0</v>
      </c>
      <c r="I243" s="4">
        <f t="shared" si="29"/>
        <v>0</v>
      </c>
      <c r="J243" s="4">
        <f>SUM($H$18:$H243)</f>
        <v>237814.13672184906</v>
      </c>
    </row>
    <row r="244" spans="1:10">
      <c r="A244" s="7">
        <f>IF(Values_Entered,A243+1,"")</f>
        <v>227</v>
      </c>
      <c r="B244" s="6">
        <f t="shared" si="24"/>
        <v>51471</v>
      </c>
      <c r="C244" s="4">
        <f t="shared" si="30"/>
        <v>0</v>
      </c>
      <c r="D244" s="4">
        <f t="shared" si="25"/>
        <v>59908.922363410937</v>
      </c>
      <c r="E244" s="5">
        <f t="shared" si="26"/>
        <v>0</v>
      </c>
      <c r="F244" s="4">
        <f t="shared" si="27"/>
        <v>0</v>
      </c>
      <c r="G244" s="4">
        <f t="shared" si="28"/>
        <v>0</v>
      </c>
      <c r="H244" s="4">
        <f t="shared" si="31"/>
        <v>0</v>
      </c>
      <c r="I244" s="4">
        <f t="shared" si="29"/>
        <v>0</v>
      </c>
      <c r="J244" s="4">
        <f>SUM($H$18:$H244)</f>
        <v>237814.13672184906</v>
      </c>
    </row>
    <row r="245" spans="1:10">
      <c r="A245" s="7">
        <f>IF(Values_Entered,A244+1,"")</f>
        <v>228</v>
      </c>
      <c r="B245" s="6">
        <f t="shared" si="24"/>
        <v>51502</v>
      </c>
      <c r="C245" s="4">
        <f t="shared" si="30"/>
        <v>0</v>
      </c>
      <c r="D245" s="4">
        <f t="shared" si="25"/>
        <v>59908.922363410937</v>
      </c>
      <c r="E245" s="5">
        <f t="shared" si="26"/>
        <v>0</v>
      </c>
      <c r="F245" s="4">
        <f t="shared" si="27"/>
        <v>0</v>
      </c>
      <c r="G245" s="4">
        <f t="shared" si="28"/>
        <v>0</v>
      </c>
      <c r="H245" s="4">
        <f t="shared" si="31"/>
        <v>0</v>
      </c>
      <c r="I245" s="4">
        <f t="shared" si="29"/>
        <v>0</v>
      </c>
      <c r="J245" s="4">
        <f>SUM($H$18:$H245)</f>
        <v>237814.13672184906</v>
      </c>
    </row>
    <row r="246" spans="1:10">
      <c r="A246" s="7">
        <f>IF(Values_Entered,A245+1,"")</f>
        <v>229</v>
      </c>
      <c r="B246" s="6">
        <f t="shared" si="24"/>
        <v>51533</v>
      </c>
      <c r="C246" s="4">
        <f t="shared" si="30"/>
        <v>0</v>
      </c>
      <c r="D246" s="4">
        <f t="shared" si="25"/>
        <v>59908.922363410937</v>
      </c>
      <c r="E246" s="5">
        <f t="shared" si="26"/>
        <v>0</v>
      </c>
      <c r="F246" s="4">
        <f t="shared" si="27"/>
        <v>0</v>
      </c>
      <c r="G246" s="4">
        <f t="shared" si="28"/>
        <v>0</v>
      </c>
      <c r="H246" s="4">
        <f t="shared" si="31"/>
        <v>0</v>
      </c>
      <c r="I246" s="4">
        <f t="shared" si="29"/>
        <v>0</v>
      </c>
      <c r="J246" s="4">
        <f>SUM($H$18:$H246)</f>
        <v>237814.13672184906</v>
      </c>
    </row>
    <row r="247" spans="1:10">
      <c r="A247" s="7">
        <f>IF(Values_Entered,A246+1,"")</f>
        <v>230</v>
      </c>
      <c r="B247" s="6">
        <f t="shared" si="24"/>
        <v>51561</v>
      </c>
      <c r="C247" s="4">
        <f t="shared" si="30"/>
        <v>0</v>
      </c>
      <c r="D247" s="4">
        <f t="shared" si="25"/>
        <v>59908.922363410937</v>
      </c>
      <c r="E247" s="5">
        <f t="shared" si="26"/>
        <v>0</v>
      </c>
      <c r="F247" s="4">
        <f t="shared" si="27"/>
        <v>0</v>
      </c>
      <c r="G247" s="4">
        <f t="shared" si="28"/>
        <v>0</v>
      </c>
      <c r="H247" s="4">
        <f t="shared" si="31"/>
        <v>0</v>
      </c>
      <c r="I247" s="4">
        <f t="shared" si="29"/>
        <v>0</v>
      </c>
      <c r="J247" s="4">
        <f>SUM($H$18:$H247)</f>
        <v>237814.13672184906</v>
      </c>
    </row>
    <row r="248" spans="1:10">
      <c r="A248" s="7">
        <f>IF(Values_Entered,A247+1,"")</f>
        <v>231</v>
      </c>
      <c r="B248" s="6">
        <f t="shared" si="24"/>
        <v>51592</v>
      </c>
      <c r="C248" s="4">
        <f t="shared" si="30"/>
        <v>0</v>
      </c>
      <c r="D248" s="4">
        <f t="shared" si="25"/>
        <v>59908.922363410937</v>
      </c>
      <c r="E248" s="5">
        <f t="shared" si="26"/>
        <v>0</v>
      </c>
      <c r="F248" s="4">
        <f t="shared" si="27"/>
        <v>0</v>
      </c>
      <c r="G248" s="4">
        <f t="shared" si="28"/>
        <v>0</v>
      </c>
      <c r="H248" s="4">
        <f t="shared" si="31"/>
        <v>0</v>
      </c>
      <c r="I248" s="4">
        <f t="shared" si="29"/>
        <v>0</v>
      </c>
      <c r="J248" s="4">
        <f>SUM($H$18:$H248)</f>
        <v>237814.13672184906</v>
      </c>
    </row>
    <row r="249" spans="1:10">
      <c r="A249" s="7">
        <f>IF(Values_Entered,A248+1,"")</f>
        <v>232</v>
      </c>
      <c r="B249" s="6">
        <f t="shared" si="24"/>
        <v>51622</v>
      </c>
      <c r="C249" s="4">
        <f t="shared" si="30"/>
        <v>0</v>
      </c>
      <c r="D249" s="4">
        <f t="shared" si="25"/>
        <v>59908.922363410937</v>
      </c>
      <c r="E249" s="5">
        <f t="shared" si="26"/>
        <v>0</v>
      </c>
      <c r="F249" s="4">
        <f t="shared" si="27"/>
        <v>0</v>
      </c>
      <c r="G249" s="4">
        <f t="shared" si="28"/>
        <v>0</v>
      </c>
      <c r="H249" s="4">
        <f t="shared" si="31"/>
        <v>0</v>
      </c>
      <c r="I249" s="4">
        <f t="shared" si="29"/>
        <v>0</v>
      </c>
      <c r="J249" s="4">
        <f>SUM($H$18:$H249)</f>
        <v>237814.13672184906</v>
      </c>
    </row>
    <row r="250" spans="1:10">
      <c r="A250" s="7">
        <f>IF(Values_Entered,A249+1,"")</f>
        <v>233</v>
      </c>
      <c r="B250" s="6">
        <f t="shared" si="24"/>
        <v>51653</v>
      </c>
      <c r="C250" s="4">
        <f t="shared" si="30"/>
        <v>0</v>
      </c>
      <c r="D250" s="4">
        <f t="shared" si="25"/>
        <v>59908.922363410937</v>
      </c>
      <c r="E250" s="5">
        <f t="shared" si="26"/>
        <v>0</v>
      </c>
      <c r="F250" s="4">
        <f t="shared" si="27"/>
        <v>0</v>
      </c>
      <c r="G250" s="4">
        <f t="shared" si="28"/>
        <v>0</v>
      </c>
      <c r="H250" s="4">
        <f t="shared" si="31"/>
        <v>0</v>
      </c>
      <c r="I250" s="4">
        <f t="shared" si="29"/>
        <v>0</v>
      </c>
      <c r="J250" s="4">
        <f>SUM($H$18:$H250)</f>
        <v>237814.13672184906</v>
      </c>
    </row>
    <row r="251" spans="1:10">
      <c r="A251" s="7">
        <f>IF(Values_Entered,A250+1,"")</f>
        <v>234</v>
      </c>
      <c r="B251" s="6">
        <f t="shared" si="24"/>
        <v>51683</v>
      </c>
      <c r="C251" s="4">
        <f t="shared" si="30"/>
        <v>0</v>
      </c>
      <c r="D251" s="4">
        <f t="shared" si="25"/>
        <v>59908.922363410937</v>
      </c>
      <c r="E251" s="5">
        <f t="shared" si="26"/>
        <v>0</v>
      </c>
      <c r="F251" s="4">
        <f t="shared" si="27"/>
        <v>0</v>
      </c>
      <c r="G251" s="4">
        <f t="shared" si="28"/>
        <v>0</v>
      </c>
      <c r="H251" s="4">
        <f t="shared" si="31"/>
        <v>0</v>
      </c>
      <c r="I251" s="4">
        <f t="shared" si="29"/>
        <v>0</v>
      </c>
      <c r="J251" s="4">
        <f>SUM($H$18:$H251)</f>
        <v>237814.13672184906</v>
      </c>
    </row>
    <row r="252" spans="1:10">
      <c r="A252" s="7">
        <f>IF(Values_Entered,A251+1,"")</f>
        <v>235</v>
      </c>
      <c r="B252" s="6">
        <f t="shared" si="24"/>
        <v>51714</v>
      </c>
      <c r="C252" s="4">
        <f t="shared" si="30"/>
        <v>0</v>
      </c>
      <c r="D252" s="4">
        <f t="shared" si="25"/>
        <v>59908.922363410937</v>
      </c>
      <c r="E252" s="5">
        <f t="shared" si="26"/>
        <v>0</v>
      </c>
      <c r="F252" s="4">
        <f t="shared" si="27"/>
        <v>0</v>
      </c>
      <c r="G252" s="4">
        <f t="shared" si="28"/>
        <v>0</v>
      </c>
      <c r="H252" s="4">
        <f t="shared" si="31"/>
        <v>0</v>
      </c>
      <c r="I252" s="4">
        <f t="shared" si="29"/>
        <v>0</v>
      </c>
      <c r="J252" s="4">
        <f>SUM($H$18:$H252)</f>
        <v>237814.13672184906</v>
      </c>
    </row>
    <row r="253" spans="1:10">
      <c r="A253" s="7">
        <f>IF(Values_Entered,A252+1,"")</f>
        <v>236</v>
      </c>
      <c r="B253" s="6">
        <f t="shared" si="24"/>
        <v>51745</v>
      </c>
      <c r="C253" s="4">
        <f t="shared" si="30"/>
        <v>0</v>
      </c>
      <c r="D253" s="4">
        <f t="shared" si="25"/>
        <v>59908.922363410937</v>
      </c>
      <c r="E253" s="5">
        <f t="shared" si="26"/>
        <v>0</v>
      </c>
      <c r="F253" s="4">
        <f t="shared" si="27"/>
        <v>0</v>
      </c>
      <c r="G253" s="4">
        <f t="shared" si="28"/>
        <v>0</v>
      </c>
      <c r="H253" s="4">
        <f t="shared" si="31"/>
        <v>0</v>
      </c>
      <c r="I253" s="4">
        <f t="shared" si="29"/>
        <v>0</v>
      </c>
      <c r="J253" s="4">
        <f>SUM($H$18:$H253)</f>
        <v>237814.13672184906</v>
      </c>
    </row>
    <row r="254" spans="1:10">
      <c r="A254" s="7">
        <f>IF(Values_Entered,A253+1,"")</f>
        <v>237</v>
      </c>
      <c r="B254" s="6">
        <f t="shared" si="24"/>
        <v>51775</v>
      </c>
      <c r="C254" s="4">
        <f t="shared" si="30"/>
        <v>0</v>
      </c>
      <c r="D254" s="4">
        <f t="shared" si="25"/>
        <v>59908.922363410937</v>
      </c>
      <c r="E254" s="5">
        <f t="shared" si="26"/>
        <v>0</v>
      </c>
      <c r="F254" s="4">
        <f t="shared" si="27"/>
        <v>0</v>
      </c>
      <c r="G254" s="4">
        <f t="shared" si="28"/>
        <v>0</v>
      </c>
      <c r="H254" s="4">
        <f t="shared" si="31"/>
        <v>0</v>
      </c>
      <c r="I254" s="4">
        <f t="shared" si="29"/>
        <v>0</v>
      </c>
      <c r="J254" s="4">
        <f>SUM($H$18:$H254)</f>
        <v>237814.13672184906</v>
      </c>
    </row>
    <row r="255" spans="1:10">
      <c r="A255" s="7">
        <f>IF(Values_Entered,A254+1,"")</f>
        <v>238</v>
      </c>
      <c r="B255" s="6">
        <f t="shared" si="24"/>
        <v>51806</v>
      </c>
      <c r="C255" s="4">
        <f t="shared" si="30"/>
        <v>0</v>
      </c>
      <c r="D255" s="4">
        <f t="shared" si="25"/>
        <v>59908.922363410937</v>
      </c>
      <c r="E255" s="5">
        <f t="shared" si="26"/>
        <v>0</v>
      </c>
      <c r="F255" s="4">
        <f t="shared" si="27"/>
        <v>0</v>
      </c>
      <c r="G255" s="4">
        <f t="shared" si="28"/>
        <v>0</v>
      </c>
      <c r="H255" s="4">
        <f t="shared" si="31"/>
        <v>0</v>
      </c>
      <c r="I255" s="4">
        <f t="shared" si="29"/>
        <v>0</v>
      </c>
      <c r="J255" s="4">
        <f>SUM($H$18:$H255)</f>
        <v>237814.13672184906</v>
      </c>
    </row>
    <row r="256" spans="1:10">
      <c r="A256" s="7">
        <f>IF(Values_Entered,A255+1,"")</f>
        <v>239</v>
      </c>
      <c r="B256" s="6">
        <f t="shared" si="24"/>
        <v>51836</v>
      </c>
      <c r="C256" s="4">
        <f t="shared" si="30"/>
        <v>0</v>
      </c>
      <c r="D256" s="4">
        <f t="shared" si="25"/>
        <v>59908.922363410937</v>
      </c>
      <c r="E256" s="5">
        <f t="shared" si="26"/>
        <v>0</v>
      </c>
      <c r="F256" s="4">
        <f t="shared" si="27"/>
        <v>0</v>
      </c>
      <c r="G256" s="4">
        <f t="shared" si="28"/>
        <v>0</v>
      </c>
      <c r="H256" s="4">
        <f t="shared" si="31"/>
        <v>0</v>
      </c>
      <c r="I256" s="4">
        <f t="shared" si="29"/>
        <v>0</v>
      </c>
      <c r="J256" s="4">
        <f>SUM($H$18:$H256)</f>
        <v>237814.13672184906</v>
      </c>
    </row>
    <row r="257" spans="1:10">
      <c r="A257" s="7">
        <f>IF(Values_Entered,A256+1,"")</f>
        <v>240</v>
      </c>
      <c r="B257" s="6">
        <f t="shared" si="24"/>
        <v>51867</v>
      </c>
      <c r="C257" s="4">
        <f t="shared" si="30"/>
        <v>0</v>
      </c>
      <c r="D257" s="4">
        <f t="shared" si="25"/>
        <v>59908.922363410937</v>
      </c>
      <c r="E257" s="5">
        <f t="shared" si="26"/>
        <v>0</v>
      </c>
      <c r="F257" s="4">
        <f t="shared" si="27"/>
        <v>0</v>
      </c>
      <c r="G257" s="4">
        <f t="shared" si="28"/>
        <v>0</v>
      </c>
      <c r="H257" s="4">
        <f t="shared" si="31"/>
        <v>0</v>
      </c>
      <c r="I257" s="4">
        <f t="shared" si="29"/>
        <v>0</v>
      </c>
      <c r="J257" s="4">
        <f>SUM($H$18:$H257)</f>
        <v>237814.13672184906</v>
      </c>
    </row>
    <row r="258" spans="1:10">
      <c r="A258" s="7">
        <f>IF(Values_Entered,A257+1,"")</f>
        <v>241</v>
      </c>
      <c r="B258" s="6">
        <f t="shared" si="24"/>
        <v>51898</v>
      </c>
      <c r="C258" s="4">
        <f t="shared" si="30"/>
        <v>0</v>
      </c>
      <c r="D258" s="4">
        <f t="shared" si="25"/>
        <v>59908.922363410937</v>
      </c>
      <c r="E258" s="5">
        <f t="shared" si="26"/>
        <v>0</v>
      </c>
      <c r="F258" s="4">
        <f t="shared" si="27"/>
        <v>0</v>
      </c>
      <c r="G258" s="4">
        <f t="shared" si="28"/>
        <v>0</v>
      </c>
      <c r="H258" s="4">
        <f t="shared" si="31"/>
        <v>0</v>
      </c>
      <c r="I258" s="4">
        <f t="shared" si="29"/>
        <v>0</v>
      </c>
      <c r="J258" s="4">
        <f>SUM($H$18:$H258)</f>
        <v>237814.13672184906</v>
      </c>
    </row>
    <row r="259" spans="1:10">
      <c r="A259" s="7">
        <f>IF(Values_Entered,A258+1,"")</f>
        <v>242</v>
      </c>
      <c r="B259" s="6">
        <f t="shared" si="24"/>
        <v>51926</v>
      </c>
      <c r="C259" s="4">
        <f t="shared" si="30"/>
        <v>0</v>
      </c>
      <c r="D259" s="4">
        <f t="shared" si="25"/>
        <v>59908.922363410937</v>
      </c>
      <c r="E259" s="5">
        <f t="shared" si="26"/>
        <v>0</v>
      </c>
      <c r="F259" s="4">
        <f t="shared" si="27"/>
        <v>0</v>
      </c>
      <c r="G259" s="4">
        <f t="shared" si="28"/>
        <v>0</v>
      </c>
      <c r="H259" s="4">
        <f t="shared" si="31"/>
        <v>0</v>
      </c>
      <c r="I259" s="4">
        <f t="shared" si="29"/>
        <v>0</v>
      </c>
      <c r="J259" s="4">
        <f>SUM($H$18:$H259)</f>
        <v>237814.13672184906</v>
      </c>
    </row>
    <row r="260" spans="1:10">
      <c r="A260" s="7">
        <f>IF(Values_Entered,A259+1,"")</f>
        <v>243</v>
      </c>
      <c r="B260" s="6">
        <f t="shared" si="24"/>
        <v>51957</v>
      </c>
      <c r="C260" s="4">
        <f t="shared" si="30"/>
        <v>0</v>
      </c>
      <c r="D260" s="4">
        <f t="shared" si="25"/>
        <v>59908.922363410937</v>
      </c>
      <c r="E260" s="5">
        <f t="shared" si="26"/>
        <v>0</v>
      </c>
      <c r="F260" s="4">
        <f t="shared" si="27"/>
        <v>0</v>
      </c>
      <c r="G260" s="4">
        <f t="shared" si="28"/>
        <v>0</v>
      </c>
      <c r="H260" s="4">
        <f t="shared" si="31"/>
        <v>0</v>
      </c>
      <c r="I260" s="4">
        <f t="shared" si="29"/>
        <v>0</v>
      </c>
      <c r="J260" s="4">
        <f>SUM($H$18:$H260)</f>
        <v>237814.13672184906</v>
      </c>
    </row>
    <row r="261" spans="1:10">
      <c r="A261" s="7">
        <f>IF(Values_Entered,A260+1,"")</f>
        <v>244</v>
      </c>
      <c r="B261" s="6">
        <f t="shared" si="24"/>
        <v>51987</v>
      </c>
      <c r="C261" s="4">
        <f t="shared" si="30"/>
        <v>0</v>
      </c>
      <c r="D261" s="4">
        <f t="shared" si="25"/>
        <v>59908.922363410937</v>
      </c>
      <c r="E261" s="5">
        <f t="shared" si="26"/>
        <v>0</v>
      </c>
      <c r="F261" s="4">
        <f t="shared" si="27"/>
        <v>0</v>
      </c>
      <c r="G261" s="4">
        <f t="shared" si="28"/>
        <v>0</v>
      </c>
      <c r="H261" s="4">
        <f t="shared" si="31"/>
        <v>0</v>
      </c>
      <c r="I261" s="4">
        <f t="shared" si="29"/>
        <v>0</v>
      </c>
      <c r="J261" s="4">
        <f>SUM($H$18:$H261)</f>
        <v>237814.13672184906</v>
      </c>
    </row>
    <row r="262" spans="1:10">
      <c r="A262" s="7">
        <f>IF(Values_Entered,A261+1,"")</f>
        <v>245</v>
      </c>
      <c r="B262" s="6">
        <f t="shared" si="24"/>
        <v>52018</v>
      </c>
      <c r="C262" s="4">
        <f t="shared" si="30"/>
        <v>0</v>
      </c>
      <c r="D262" s="4">
        <f t="shared" si="25"/>
        <v>59908.922363410937</v>
      </c>
      <c r="E262" s="5">
        <f t="shared" si="26"/>
        <v>0</v>
      </c>
      <c r="F262" s="4">
        <f t="shared" si="27"/>
        <v>0</v>
      </c>
      <c r="G262" s="4">
        <f t="shared" si="28"/>
        <v>0</v>
      </c>
      <c r="H262" s="4">
        <f t="shared" si="31"/>
        <v>0</v>
      </c>
      <c r="I262" s="4">
        <f t="shared" si="29"/>
        <v>0</v>
      </c>
      <c r="J262" s="4">
        <f>SUM($H$18:$H262)</f>
        <v>237814.13672184906</v>
      </c>
    </row>
    <row r="263" spans="1:10">
      <c r="A263" s="7">
        <f>IF(Values_Entered,A262+1,"")</f>
        <v>246</v>
      </c>
      <c r="B263" s="6">
        <f t="shared" si="24"/>
        <v>52048</v>
      </c>
      <c r="C263" s="4">
        <f t="shared" si="30"/>
        <v>0</v>
      </c>
      <c r="D263" s="4">
        <f t="shared" si="25"/>
        <v>59908.922363410937</v>
      </c>
      <c r="E263" s="5">
        <f t="shared" si="26"/>
        <v>0</v>
      </c>
      <c r="F263" s="4">
        <f t="shared" si="27"/>
        <v>0</v>
      </c>
      <c r="G263" s="4">
        <f t="shared" si="28"/>
        <v>0</v>
      </c>
      <c r="H263" s="4">
        <f t="shared" si="31"/>
        <v>0</v>
      </c>
      <c r="I263" s="4">
        <f t="shared" si="29"/>
        <v>0</v>
      </c>
      <c r="J263" s="4">
        <f>SUM($H$18:$H263)</f>
        <v>237814.13672184906</v>
      </c>
    </row>
    <row r="264" spans="1:10">
      <c r="A264" s="7">
        <f>IF(Values_Entered,A263+1,"")</f>
        <v>247</v>
      </c>
      <c r="B264" s="6">
        <f t="shared" si="24"/>
        <v>52079</v>
      </c>
      <c r="C264" s="4">
        <f t="shared" si="30"/>
        <v>0</v>
      </c>
      <c r="D264" s="4">
        <f t="shared" si="25"/>
        <v>59908.922363410937</v>
      </c>
      <c r="E264" s="5">
        <f t="shared" si="26"/>
        <v>0</v>
      </c>
      <c r="F264" s="4">
        <f t="shared" si="27"/>
        <v>0</v>
      </c>
      <c r="G264" s="4">
        <f t="shared" si="28"/>
        <v>0</v>
      </c>
      <c r="H264" s="4">
        <f t="shared" si="31"/>
        <v>0</v>
      </c>
      <c r="I264" s="4">
        <f t="shared" si="29"/>
        <v>0</v>
      </c>
      <c r="J264" s="4">
        <f>SUM($H$18:$H264)</f>
        <v>237814.13672184906</v>
      </c>
    </row>
    <row r="265" spans="1:10">
      <c r="A265" s="7">
        <f>IF(Values_Entered,A264+1,"")</f>
        <v>248</v>
      </c>
      <c r="B265" s="6">
        <f t="shared" si="24"/>
        <v>52110</v>
      </c>
      <c r="C265" s="4">
        <f t="shared" si="30"/>
        <v>0</v>
      </c>
      <c r="D265" s="4">
        <f t="shared" si="25"/>
        <v>59908.922363410937</v>
      </c>
      <c r="E265" s="5">
        <f t="shared" si="26"/>
        <v>0</v>
      </c>
      <c r="F265" s="4">
        <f t="shared" si="27"/>
        <v>0</v>
      </c>
      <c r="G265" s="4">
        <f t="shared" si="28"/>
        <v>0</v>
      </c>
      <c r="H265" s="4">
        <f t="shared" si="31"/>
        <v>0</v>
      </c>
      <c r="I265" s="4">
        <f t="shared" si="29"/>
        <v>0</v>
      </c>
      <c r="J265" s="4">
        <f>SUM($H$18:$H265)</f>
        <v>237814.13672184906</v>
      </c>
    </row>
    <row r="266" spans="1:10">
      <c r="A266" s="7">
        <f>IF(Values_Entered,A265+1,"")</f>
        <v>249</v>
      </c>
      <c r="B266" s="6">
        <f t="shared" si="24"/>
        <v>52140</v>
      </c>
      <c r="C266" s="4">
        <f t="shared" si="30"/>
        <v>0</v>
      </c>
      <c r="D266" s="4">
        <f t="shared" si="25"/>
        <v>59908.922363410937</v>
      </c>
      <c r="E266" s="5">
        <f t="shared" si="26"/>
        <v>0</v>
      </c>
      <c r="F266" s="4">
        <f t="shared" si="27"/>
        <v>0</v>
      </c>
      <c r="G266" s="4">
        <f t="shared" si="28"/>
        <v>0</v>
      </c>
      <c r="H266" s="4">
        <f t="shared" si="31"/>
        <v>0</v>
      </c>
      <c r="I266" s="4">
        <f t="shared" si="29"/>
        <v>0</v>
      </c>
      <c r="J266" s="4">
        <f>SUM($H$18:$H266)</f>
        <v>237814.13672184906</v>
      </c>
    </row>
    <row r="267" spans="1:10">
      <c r="A267" s="7">
        <f>IF(Values_Entered,A266+1,"")</f>
        <v>250</v>
      </c>
      <c r="B267" s="6">
        <f t="shared" si="24"/>
        <v>52171</v>
      </c>
      <c r="C267" s="4">
        <f t="shared" si="30"/>
        <v>0</v>
      </c>
      <c r="D267" s="4">
        <f t="shared" si="25"/>
        <v>59908.922363410937</v>
      </c>
      <c r="E267" s="5">
        <f t="shared" si="26"/>
        <v>0</v>
      </c>
      <c r="F267" s="4">
        <f t="shared" si="27"/>
        <v>0</v>
      </c>
      <c r="G267" s="4">
        <f t="shared" si="28"/>
        <v>0</v>
      </c>
      <c r="H267" s="4">
        <f t="shared" si="31"/>
        <v>0</v>
      </c>
      <c r="I267" s="4">
        <f t="shared" si="29"/>
        <v>0</v>
      </c>
      <c r="J267" s="4">
        <f>SUM($H$18:$H267)</f>
        <v>237814.13672184906</v>
      </c>
    </row>
    <row r="268" spans="1:10">
      <c r="A268" s="7">
        <f>IF(Values_Entered,A267+1,"")</f>
        <v>251</v>
      </c>
      <c r="B268" s="6">
        <f t="shared" si="24"/>
        <v>52201</v>
      </c>
      <c r="C268" s="4">
        <f t="shared" si="30"/>
        <v>0</v>
      </c>
      <c r="D268" s="4">
        <f t="shared" si="25"/>
        <v>59908.922363410937</v>
      </c>
      <c r="E268" s="5">
        <f t="shared" si="26"/>
        <v>0</v>
      </c>
      <c r="F268" s="4">
        <f t="shared" si="27"/>
        <v>0</v>
      </c>
      <c r="G268" s="4">
        <f t="shared" si="28"/>
        <v>0</v>
      </c>
      <c r="H268" s="4">
        <f t="shared" si="31"/>
        <v>0</v>
      </c>
      <c r="I268" s="4">
        <f t="shared" si="29"/>
        <v>0</v>
      </c>
      <c r="J268" s="4">
        <f>SUM($H$18:$H268)</f>
        <v>237814.13672184906</v>
      </c>
    </row>
    <row r="269" spans="1:10">
      <c r="A269" s="7">
        <f>IF(Values_Entered,A268+1,"")</f>
        <v>252</v>
      </c>
      <c r="B269" s="6">
        <f t="shared" si="24"/>
        <v>52232</v>
      </c>
      <c r="C269" s="4">
        <f t="shared" si="30"/>
        <v>0</v>
      </c>
      <c r="D269" s="4">
        <f t="shared" si="25"/>
        <v>59908.922363410937</v>
      </c>
      <c r="E269" s="5">
        <f t="shared" si="26"/>
        <v>0</v>
      </c>
      <c r="F269" s="4">
        <f t="shared" si="27"/>
        <v>0</v>
      </c>
      <c r="G269" s="4">
        <f t="shared" si="28"/>
        <v>0</v>
      </c>
      <c r="H269" s="4">
        <f t="shared" si="31"/>
        <v>0</v>
      </c>
      <c r="I269" s="4">
        <f t="shared" si="29"/>
        <v>0</v>
      </c>
      <c r="J269" s="4">
        <f>SUM($H$18:$H269)</f>
        <v>237814.13672184906</v>
      </c>
    </row>
    <row r="270" spans="1:10">
      <c r="A270" s="7">
        <f>IF(Values_Entered,A269+1,"")</f>
        <v>253</v>
      </c>
      <c r="B270" s="6">
        <f t="shared" si="24"/>
        <v>52263</v>
      </c>
      <c r="C270" s="4">
        <f t="shared" si="30"/>
        <v>0</v>
      </c>
      <c r="D270" s="4">
        <f t="shared" si="25"/>
        <v>59908.922363410937</v>
      </c>
      <c r="E270" s="5">
        <f t="shared" si="26"/>
        <v>0</v>
      </c>
      <c r="F270" s="4">
        <f t="shared" si="27"/>
        <v>0</v>
      </c>
      <c r="G270" s="4">
        <f t="shared" si="28"/>
        <v>0</v>
      </c>
      <c r="H270" s="4">
        <f t="shared" si="31"/>
        <v>0</v>
      </c>
      <c r="I270" s="4">
        <f t="shared" si="29"/>
        <v>0</v>
      </c>
      <c r="J270" s="4">
        <f>SUM($H$18:$H270)</f>
        <v>237814.13672184906</v>
      </c>
    </row>
    <row r="271" spans="1:10">
      <c r="A271" s="7">
        <f>IF(Values_Entered,A270+1,"")</f>
        <v>254</v>
      </c>
      <c r="B271" s="6">
        <f t="shared" si="24"/>
        <v>52291</v>
      </c>
      <c r="C271" s="4">
        <f t="shared" si="30"/>
        <v>0</v>
      </c>
      <c r="D271" s="4">
        <f t="shared" si="25"/>
        <v>59908.922363410937</v>
      </c>
      <c r="E271" s="5">
        <f t="shared" si="26"/>
        <v>0</v>
      </c>
      <c r="F271" s="4">
        <f t="shared" si="27"/>
        <v>0</v>
      </c>
      <c r="G271" s="4">
        <f t="shared" si="28"/>
        <v>0</v>
      </c>
      <c r="H271" s="4">
        <f t="shared" si="31"/>
        <v>0</v>
      </c>
      <c r="I271" s="4">
        <f t="shared" si="29"/>
        <v>0</v>
      </c>
      <c r="J271" s="4">
        <f>SUM($H$18:$H271)</f>
        <v>237814.13672184906</v>
      </c>
    </row>
    <row r="272" spans="1:10">
      <c r="A272" s="7">
        <f>IF(Values_Entered,A271+1,"")</f>
        <v>255</v>
      </c>
      <c r="B272" s="6">
        <f t="shared" si="24"/>
        <v>52322</v>
      </c>
      <c r="C272" s="4">
        <f t="shared" si="30"/>
        <v>0</v>
      </c>
      <c r="D272" s="4">
        <f t="shared" si="25"/>
        <v>59908.922363410937</v>
      </c>
      <c r="E272" s="5">
        <f t="shared" si="26"/>
        <v>0</v>
      </c>
      <c r="F272" s="4">
        <f t="shared" si="27"/>
        <v>0</v>
      </c>
      <c r="G272" s="4">
        <f t="shared" si="28"/>
        <v>0</v>
      </c>
      <c r="H272" s="4">
        <f t="shared" si="31"/>
        <v>0</v>
      </c>
      <c r="I272" s="4">
        <f t="shared" si="29"/>
        <v>0</v>
      </c>
      <c r="J272" s="4">
        <f>SUM($H$18:$H272)</f>
        <v>237814.13672184906</v>
      </c>
    </row>
    <row r="273" spans="1:10">
      <c r="A273" s="7">
        <f>IF(Values_Entered,A272+1,"")</f>
        <v>256</v>
      </c>
      <c r="B273" s="6">
        <f t="shared" si="24"/>
        <v>52352</v>
      </c>
      <c r="C273" s="4">
        <f t="shared" si="30"/>
        <v>0</v>
      </c>
      <c r="D273" s="4">
        <f t="shared" si="25"/>
        <v>59908.922363410937</v>
      </c>
      <c r="E273" s="5">
        <f t="shared" si="26"/>
        <v>0</v>
      </c>
      <c r="F273" s="4">
        <f t="shared" si="27"/>
        <v>0</v>
      </c>
      <c r="G273" s="4">
        <f t="shared" si="28"/>
        <v>0</v>
      </c>
      <c r="H273" s="4">
        <f t="shared" si="31"/>
        <v>0</v>
      </c>
      <c r="I273" s="4">
        <f t="shared" si="29"/>
        <v>0</v>
      </c>
      <c r="J273" s="4">
        <f>SUM($H$18:$H273)</f>
        <v>237814.13672184906</v>
      </c>
    </row>
    <row r="274" spans="1:10">
      <c r="A274" s="7">
        <f>IF(Values_Entered,A273+1,"")</f>
        <v>257</v>
      </c>
      <c r="B274" s="6">
        <f t="shared" ref="B274:B337" si="32">IF(Pay_Num&lt;&gt;"",DATE(YEAR(Loan_Start),MONTH(Loan_Start)+(Pay_Num)*12/Num_Pmt_Per_Year,DAY(Loan_Start)),"")</f>
        <v>52383</v>
      </c>
      <c r="C274" s="4">
        <f t="shared" si="30"/>
        <v>0</v>
      </c>
      <c r="D274" s="4">
        <f t="shared" ref="D274:D337" si="33">IF(Pay_Num&lt;&gt;"",Scheduled_Monthly_Payment,"")</f>
        <v>59908.922363410937</v>
      </c>
      <c r="E274" s="5">
        <f t="shared" ref="E274:E337" si="34">IF(AND(Pay_Num&lt;&gt;"",Sched_Pay+Scheduled_Extra_Payments&lt;Beg_Bal),Scheduled_Extra_Payments,IF(AND(Pay_Num&lt;&gt;"",Beg_Bal-Sched_Pay&gt;0),Beg_Bal-Sched_Pay,IF(Pay_Num&lt;&gt;"",0,"")))</f>
        <v>0</v>
      </c>
      <c r="F274" s="4">
        <f t="shared" ref="F274:F337" si="35">IF(AND(Pay_Num&lt;&gt;"",Sched_Pay+Extra_Pay&lt;Beg_Bal),Sched_Pay+Extra_Pay,IF(Pay_Num&lt;&gt;"",Beg_Bal,""))</f>
        <v>0</v>
      </c>
      <c r="G274" s="4">
        <f t="shared" ref="G274:G337" si="36">IF(Pay_Num&lt;&gt;"",Total_Pay-Int,"")</f>
        <v>0</v>
      </c>
      <c r="H274" s="4">
        <f t="shared" si="31"/>
        <v>0</v>
      </c>
      <c r="I274" s="4">
        <f t="shared" ref="I274:I337" si="37">IF(AND(Pay_Num&lt;&gt;"",Sched_Pay+Extra_Pay&lt;Beg_Bal),Beg_Bal-Princ,IF(Pay_Num&lt;&gt;"",0,""))</f>
        <v>0</v>
      </c>
      <c r="J274" s="4">
        <f>SUM($H$18:$H274)</f>
        <v>237814.13672184906</v>
      </c>
    </row>
    <row r="275" spans="1:10">
      <c r="A275" s="7">
        <f>IF(Values_Entered,A274+1,"")</f>
        <v>258</v>
      </c>
      <c r="B275" s="6">
        <f t="shared" si="32"/>
        <v>52413</v>
      </c>
      <c r="C275" s="4">
        <f t="shared" ref="C275:C338" si="38">IF(Pay_Num&lt;&gt;"",I274,"")</f>
        <v>0</v>
      </c>
      <c r="D275" s="4">
        <f t="shared" si="33"/>
        <v>59908.922363410937</v>
      </c>
      <c r="E275" s="5">
        <f t="shared" si="34"/>
        <v>0</v>
      </c>
      <c r="F275" s="4">
        <f t="shared" si="35"/>
        <v>0</v>
      </c>
      <c r="G275" s="4">
        <f t="shared" si="36"/>
        <v>0</v>
      </c>
      <c r="H275" s="4">
        <f t="shared" ref="H275:H338" si="39">IF(Pay_Num&lt;&gt;"",Beg_Bal*Interest_Rate/Num_Pmt_Per_Year,"")</f>
        <v>0</v>
      </c>
      <c r="I275" s="4">
        <f t="shared" si="37"/>
        <v>0</v>
      </c>
      <c r="J275" s="4">
        <f>SUM($H$18:$H275)</f>
        <v>237814.13672184906</v>
      </c>
    </row>
    <row r="276" spans="1:10">
      <c r="A276" s="7">
        <f>IF(Values_Entered,A275+1,"")</f>
        <v>259</v>
      </c>
      <c r="B276" s="6">
        <f t="shared" si="32"/>
        <v>52444</v>
      </c>
      <c r="C276" s="4">
        <f t="shared" si="38"/>
        <v>0</v>
      </c>
      <c r="D276" s="4">
        <f t="shared" si="33"/>
        <v>59908.922363410937</v>
      </c>
      <c r="E276" s="5">
        <f t="shared" si="34"/>
        <v>0</v>
      </c>
      <c r="F276" s="4">
        <f t="shared" si="35"/>
        <v>0</v>
      </c>
      <c r="G276" s="4">
        <f t="shared" si="36"/>
        <v>0</v>
      </c>
      <c r="H276" s="4">
        <f t="shared" si="39"/>
        <v>0</v>
      </c>
      <c r="I276" s="4">
        <f t="shared" si="37"/>
        <v>0</v>
      </c>
      <c r="J276" s="4">
        <f>SUM($H$18:$H276)</f>
        <v>237814.13672184906</v>
      </c>
    </row>
    <row r="277" spans="1:10">
      <c r="A277" s="7">
        <f>IF(Values_Entered,A276+1,"")</f>
        <v>260</v>
      </c>
      <c r="B277" s="6">
        <f t="shared" si="32"/>
        <v>52475</v>
      </c>
      <c r="C277" s="4">
        <f t="shared" si="38"/>
        <v>0</v>
      </c>
      <c r="D277" s="4">
        <f t="shared" si="33"/>
        <v>59908.922363410937</v>
      </c>
      <c r="E277" s="5">
        <f t="shared" si="34"/>
        <v>0</v>
      </c>
      <c r="F277" s="4">
        <f t="shared" si="35"/>
        <v>0</v>
      </c>
      <c r="G277" s="4">
        <f t="shared" si="36"/>
        <v>0</v>
      </c>
      <c r="H277" s="4">
        <f t="shared" si="39"/>
        <v>0</v>
      </c>
      <c r="I277" s="4">
        <f t="shared" si="37"/>
        <v>0</v>
      </c>
      <c r="J277" s="4">
        <f>SUM($H$18:$H277)</f>
        <v>237814.13672184906</v>
      </c>
    </row>
    <row r="278" spans="1:10">
      <c r="A278" s="7">
        <f>IF(Values_Entered,A277+1,"")</f>
        <v>261</v>
      </c>
      <c r="B278" s="6">
        <f t="shared" si="32"/>
        <v>52505</v>
      </c>
      <c r="C278" s="4">
        <f t="shared" si="38"/>
        <v>0</v>
      </c>
      <c r="D278" s="4">
        <f t="shared" si="33"/>
        <v>59908.922363410937</v>
      </c>
      <c r="E278" s="5">
        <f t="shared" si="34"/>
        <v>0</v>
      </c>
      <c r="F278" s="4">
        <f t="shared" si="35"/>
        <v>0</v>
      </c>
      <c r="G278" s="4">
        <f t="shared" si="36"/>
        <v>0</v>
      </c>
      <c r="H278" s="4">
        <f t="shared" si="39"/>
        <v>0</v>
      </c>
      <c r="I278" s="4">
        <f t="shared" si="37"/>
        <v>0</v>
      </c>
      <c r="J278" s="4">
        <f>SUM($H$18:$H278)</f>
        <v>237814.13672184906</v>
      </c>
    </row>
    <row r="279" spans="1:10">
      <c r="A279" s="7">
        <f>IF(Values_Entered,A278+1,"")</f>
        <v>262</v>
      </c>
      <c r="B279" s="6">
        <f t="shared" si="32"/>
        <v>52536</v>
      </c>
      <c r="C279" s="4">
        <f t="shared" si="38"/>
        <v>0</v>
      </c>
      <c r="D279" s="4">
        <f t="shared" si="33"/>
        <v>59908.922363410937</v>
      </c>
      <c r="E279" s="5">
        <f t="shared" si="34"/>
        <v>0</v>
      </c>
      <c r="F279" s="4">
        <f t="shared" si="35"/>
        <v>0</v>
      </c>
      <c r="G279" s="4">
        <f t="shared" si="36"/>
        <v>0</v>
      </c>
      <c r="H279" s="4">
        <f t="shared" si="39"/>
        <v>0</v>
      </c>
      <c r="I279" s="4">
        <f t="shared" si="37"/>
        <v>0</v>
      </c>
      <c r="J279" s="4">
        <f>SUM($H$18:$H279)</f>
        <v>237814.13672184906</v>
      </c>
    </row>
    <row r="280" spans="1:10">
      <c r="A280" s="7">
        <f>IF(Values_Entered,A279+1,"")</f>
        <v>263</v>
      </c>
      <c r="B280" s="6">
        <f t="shared" si="32"/>
        <v>52566</v>
      </c>
      <c r="C280" s="4">
        <f t="shared" si="38"/>
        <v>0</v>
      </c>
      <c r="D280" s="4">
        <f t="shared" si="33"/>
        <v>59908.922363410937</v>
      </c>
      <c r="E280" s="5">
        <f t="shared" si="34"/>
        <v>0</v>
      </c>
      <c r="F280" s="4">
        <f t="shared" si="35"/>
        <v>0</v>
      </c>
      <c r="G280" s="4">
        <f t="shared" si="36"/>
        <v>0</v>
      </c>
      <c r="H280" s="4">
        <f t="shared" si="39"/>
        <v>0</v>
      </c>
      <c r="I280" s="4">
        <f t="shared" si="37"/>
        <v>0</v>
      </c>
      <c r="J280" s="4">
        <f>SUM($H$18:$H280)</f>
        <v>237814.13672184906</v>
      </c>
    </row>
    <row r="281" spans="1:10">
      <c r="A281" s="7">
        <f>IF(Values_Entered,A280+1,"")</f>
        <v>264</v>
      </c>
      <c r="B281" s="6">
        <f t="shared" si="32"/>
        <v>52597</v>
      </c>
      <c r="C281" s="4">
        <f t="shared" si="38"/>
        <v>0</v>
      </c>
      <c r="D281" s="4">
        <f t="shared" si="33"/>
        <v>59908.922363410937</v>
      </c>
      <c r="E281" s="5">
        <f t="shared" si="34"/>
        <v>0</v>
      </c>
      <c r="F281" s="4">
        <f t="shared" si="35"/>
        <v>0</v>
      </c>
      <c r="G281" s="4">
        <f t="shared" si="36"/>
        <v>0</v>
      </c>
      <c r="H281" s="4">
        <f t="shared" si="39"/>
        <v>0</v>
      </c>
      <c r="I281" s="4">
        <f t="shared" si="37"/>
        <v>0</v>
      </c>
      <c r="J281" s="4">
        <f>SUM($H$18:$H281)</f>
        <v>237814.13672184906</v>
      </c>
    </row>
    <row r="282" spans="1:10">
      <c r="A282" s="7">
        <f>IF(Values_Entered,A281+1,"")</f>
        <v>265</v>
      </c>
      <c r="B282" s="6">
        <f t="shared" si="32"/>
        <v>52628</v>
      </c>
      <c r="C282" s="4">
        <f t="shared" si="38"/>
        <v>0</v>
      </c>
      <c r="D282" s="4">
        <f t="shared" si="33"/>
        <v>59908.922363410937</v>
      </c>
      <c r="E282" s="5">
        <f t="shared" si="34"/>
        <v>0</v>
      </c>
      <c r="F282" s="4">
        <f t="shared" si="35"/>
        <v>0</v>
      </c>
      <c r="G282" s="4">
        <f t="shared" si="36"/>
        <v>0</v>
      </c>
      <c r="H282" s="4">
        <f t="shared" si="39"/>
        <v>0</v>
      </c>
      <c r="I282" s="4">
        <f t="shared" si="37"/>
        <v>0</v>
      </c>
      <c r="J282" s="4">
        <f>SUM($H$18:$H282)</f>
        <v>237814.13672184906</v>
      </c>
    </row>
    <row r="283" spans="1:10">
      <c r="A283" s="7">
        <f>IF(Values_Entered,A282+1,"")</f>
        <v>266</v>
      </c>
      <c r="B283" s="6">
        <f t="shared" si="32"/>
        <v>52657</v>
      </c>
      <c r="C283" s="4">
        <f t="shared" si="38"/>
        <v>0</v>
      </c>
      <c r="D283" s="4">
        <f t="shared" si="33"/>
        <v>59908.922363410937</v>
      </c>
      <c r="E283" s="5">
        <f t="shared" si="34"/>
        <v>0</v>
      </c>
      <c r="F283" s="4">
        <f t="shared" si="35"/>
        <v>0</v>
      </c>
      <c r="G283" s="4">
        <f t="shared" si="36"/>
        <v>0</v>
      </c>
      <c r="H283" s="4">
        <f t="shared" si="39"/>
        <v>0</v>
      </c>
      <c r="I283" s="4">
        <f t="shared" si="37"/>
        <v>0</v>
      </c>
      <c r="J283" s="4">
        <f>SUM($H$18:$H283)</f>
        <v>237814.13672184906</v>
      </c>
    </row>
    <row r="284" spans="1:10">
      <c r="A284" s="7">
        <f>IF(Values_Entered,A283+1,"")</f>
        <v>267</v>
      </c>
      <c r="B284" s="6">
        <f t="shared" si="32"/>
        <v>52688</v>
      </c>
      <c r="C284" s="4">
        <f t="shared" si="38"/>
        <v>0</v>
      </c>
      <c r="D284" s="4">
        <f t="shared" si="33"/>
        <v>59908.922363410937</v>
      </c>
      <c r="E284" s="5">
        <f t="shared" si="34"/>
        <v>0</v>
      </c>
      <c r="F284" s="4">
        <f t="shared" si="35"/>
        <v>0</v>
      </c>
      <c r="G284" s="4">
        <f t="shared" si="36"/>
        <v>0</v>
      </c>
      <c r="H284" s="4">
        <f t="shared" si="39"/>
        <v>0</v>
      </c>
      <c r="I284" s="4">
        <f t="shared" si="37"/>
        <v>0</v>
      </c>
      <c r="J284" s="4">
        <f>SUM($H$18:$H284)</f>
        <v>237814.13672184906</v>
      </c>
    </row>
    <row r="285" spans="1:10">
      <c r="A285" s="7">
        <f>IF(Values_Entered,A284+1,"")</f>
        <v>268</v>
      </c>
      <c r="B285" s="6">
        <f t="shared" si="32"/>
        <v>52718</v>
      </c>
      <c r="C285" s="4">
        <f t="shared" si="38"/>
        <v>0</v>
      </c>
      <c r="D285" s="4">
        <f t="shared" si="33"/>
        <v>59908.922363410937</v>
      </c>
      <c r="E285" s="5">
        <f t="shared" si="34"/>
        <v>0</v>
      </c>
      <c r="F285" s="4">
        <f t="shared" si="35"/>
        <v>0</v>
      </c>
      <c r="G285" s="4">
        <f t="shared" si="36"/>
        <v>0</v>
      </c>
      <c r="H285" s="4">
        <f t="shared" si="39"/>
        <v>0</v>
      </c>
      <c r="I285" s="4">
        <f t="shared" si="37"/>
        <v>0</v>
      </c>
      <c r="J285" s="4">
        <f>SUM($H$18:$H285)</f>
        <v>237814.13672184906</v>
      </c>
    </row>
    <row r="286" spans="1:10">
      <c r="A286" s="7">
        <f>IF(Values_Entered,A285+1,"")</f>
        <v>269</v>
      </c>
      <c r="B286" s="6">
        <f t="shared" si="32"/>
        <v>52749</v>
      </c>
      <c r="C286" s="4">
        <f t="shared" si="38"/>
        <v>0</v>
      </c>
      <c r="D286" s="4">
        <f t="shared" si="33"/>
        <v>59908.922363410937</v>
      </c>
      <c r="E286" s="5">
        <f t="shared" si="34"/>
        <v>0</v>
      </c>
      <c r="F286" s="4">
        <f t="shared" si="35"/>
        <v>0</v>
      </c>
      <c r="G286" s="4">
        <f t="shared" si="36"/>
        <v>0</v>
      </c>
      <c r="H286" s="4">
        <f t="shared" si="39"/>
        <v>0</v>
      </c>
      <c r="I286" s="4">
        <f t="shared" si="37"/>
        <v>0</v>
      </c>
      <c r="J286" s="4">
        <f>SUM($H$18:$H286)</f>
        <v>237814.13672184906</v>
      </c>
    </row>
    <row r="287" spans="1:10">
      <c r="A287" s="7">
        <f>IF(Values_Entered,A286+1,"")</f>
        <v>270</v>
      </c>
      <c r="B287" s="6">
        <f t="shared" si="32"/>
        <v>52779</v>
      </c>
      <c r="C287" s="4">
        <f t="shared" si="38"/>
        <v>0</v>
      </c>
      <c r="D287" s="4">
        <f t="shared" si="33"/>
        <v>59908.922363410937</v>
      </c>
      <c r="E287" s="5">
        <f t="shared" si="34"/>
        <v>0</v>
      </c>
      <c r="F287" s="4">
        <f t="shared" si="35"/>
        <v>0</v>
      </c>
      <c r="G287" s="4">
        <f t="shared" si="36"/>
        <v>0</v>
      </c>
      <c r="H287" s="4">
        <f t="shared" si="39"/>
        <v>0</v>
      </c>
      <c r="I287" s="4">
        <f t="shared" si="37"/>
        <v>0</v>
      </c>
      <c r="J287" s="4">
        <f>SUM($H$18:$H287)</f>
        <v>237814.13672184906</v>
      </c>
    </row>
    <row r="288" spans="1:10">
      <c r="A288" s="7">
        <f>IF(Values_Entered,A287+1,"")</f>
        <v>271</v>
      </c>
      <c r="B288" s="6">
        <f t="shared" si="32"/>
        <v>52810</v>
      </c>
      <c r="C288" s="4">
        <f t="shared" si="38"/>
        <v>0</v>
      </c>
      <c r="D288" s="4">
        <f t="shared" si="33"/>
        <v>59908.922363410937</v>
      </c>
      <c r="E288" s="5">
        <f t="shared" si="34"/>
        <v>0</v>
      </c>
      <c r="F288" s="4">
        <f t="shared" si="35"/>
        <v>0</v>
      </c>
      <c r="G288" s="4">
        <f t="shared" si="36"/>
        <v>0</v>
      </c>
      <c r="H288" s="4">
        <f t="shared" si="39"/>
        <v>0</v>
      </c>
      <c r="I288" s="4">
        <f t="shared" si="37"/>
        <v>0</v>
      </c>
      <c r="J288" s="4">
        <f>SUM($H$18:$H288)</f>
        <v>237814.13672184906</v>
      </c>
    </row>
    <row r="289" spans="1:10">
      <c r="A289" s="7">
        <f>IF(Values_Entered,A288+1,"")</f>
        <v>272</v>
      </c>
      <c r="B289" s="6">
        <f t="shared" si="32"/>
        <v>52841</v>
      </c>
      <c r="C289" s="4">
        <f t="shared" si="38"/>
        <v>0</v>
      </c>
      <c r="D289" s="4">
        <f t="shared" si="33"/>
        <v>59908.922363410937</v>
      </c>
      <c r="E289" s="5">
        <f t="shared" si="34"/>
        <v>0</v>
      </c>
      <c r="F289" s="4">
        <f t="shared" si="35"/>
        <v>0</v>
      </c>
      <c r="G289" s="4">
        <f t="shared" si="36"/>
        <v>0</v>
      </c>
      <c r="H289" s="4">
        <f t="shared" si="39"/>
        <v>0</v>
      </c>
      <c r="I289" s="4">
        <f t="shared" si="37"/>
        <v>0</v>
      </c>
      <c r="J289" s="4">
        <f>SUM($H$18:$H289)</f>
        <v>237814.13672184906</v>
      </c>
    </row>
    <row r="290" spans="1:10">
      <c r="A290" s="7">
        <f>IF(Values_Entered,A289+1,"")</f>
        <v>273</v>
      </c>
      <c r="B290" s="6">
        <f t="shared" si="32"/>
        <v>52871</v>
      </c>
      <c r="C290" s="4">
        <f t="shared" si="38"/>
        <v>0</v>
      </c>
      <c r="D290" s="4">
        <f t="shared" si="33"/>
        <v>59908.922363410937</v>
      </c>
      <c r="E290" s="5">
        <f t="shared" si="34"/>
        <v>0</v>
      </c>
      <c r="F290" s="4">
        <f t="shared" si="35"/>
        <v>0</v>
      </c>
      <c r="G290" s="4">
        <f t="shared" si="36"/>
        <v>0</v>
      </c>
      <c r="H290" s="4">
        <f t="shared" si="39"/>
        <v>0</v>
      </c>
      <c r="I290" s="4">
        <f t="shared" si="37"/>
        <v>0</v>
      </c>
      <c r="J290" s="4">
        <f>SUM($H$18:$H290)</f>
        <v>237814.13672184906</v>
      </c>
    </row>
    <row r="291" spans="1:10">
      <c r="A291" s="7">
        <f>IF(Values_Entered,A290+1,"")</f>
        <v>274</v>
      </c>
      <c r="B291" s="6">
        <f t="shared" si="32"/>
        <v>52902</v>
      </c>
      <c r="C291" s="4">
        <f t="shared" si="38"/>
        <v>0</v>
      </c>
      <c r="D291" s="4">
        <f t="shared" si="33"/>
        <v>59908.922363410937</v>
      </c>
      <c r="E291" s="5">
        <f t="shared" si="34"/>
        <v>0</v>
      </c>
      <c r="F291" s="4">
        <f t="shared" si="35"/>
        <v>0</v>
      </c>
      <c r="G291" s="4">
        <f t="shared" si="36"/>
        <v>0</v>
      </c>
      <c r="H291" s="4">
        <f t="shared" si="39"/>
        <v>0</v>
      </c>
      <c r="I291" s="4">
        <f t="shared" si="37"/>
        <v>0</v>
      </c>
      <c r="J291" s="4">
        <f>SUM($H$18:$H291)</f>
        <v>237814.13672184906</v>
      </c>
    </row>
    <row r="292" spans="1:10">
      <c r="A292" s="7">
        <f>IF(Values_Entered,A291+1,"")</f>
        <v>275</v>
      </c>
      <c r="B292" s="6">
        <f t="shared" si="32"/>
        <v>52932</v>
      </c>
      <c r="C292" s="4">
        <f t="shared" si="38"/>
        <v>0</v>
      </c>
      <c r="D292" s="4">
        <f t="shared" si="33"/>
        <v>59908.922363410937</v>
      </c>
      <c r="E292" s="5">
        <f t="shared" si="34"/>
        <v>0</v>
      </c>
      <c r="F292" s="4">
        <f t="shared" si="35"/>
        <v>0</v>
      </c>
      <c r="G292" s="4">
        <f t="shared" si="36"/>
        <v>0</v>
      </c>
      <c r="H292" s="4">
        <f t="shared" si="39"/>
        <v>0</v>
      </c>
      <c r="I292" s="4">
        <f t="shared" si="37"/>
        <v>0</v>
      </c>
      <c r="J292" s="4">
        <f>SUM($H$18:$H292)</f>
        <v>237814.13672184906</v>
      </c>
    </row>
    <row r="293" spans="1:10">
      <c r="A293" s="7">
        <f>IF(Values_Entered,A292+1,"")</f>
        <v>276</v>
      </c>
      <c r="B293" s="6">
        <f t="shared" si="32"/>
        <v>52963</v>
      </c>
      <c r="C293" s="4">
        <f t="shared" si="38"/>
        <v>0</v>
      </c>
      <c r="D293" s="4">
        <f t="shared" si="33"/>
        <v>59908.922363410937</v>
      </c>
      <c r="E293" s="5">
        <f t="shared" si="34"/>
        <v>0</v>
      </c>
      <c r="F293" s="4">
        <f t="shared" si="35"/>
        <v>0</v>
      </c>
      <c r="G293" s="4">
        <f t="shared" si="36"/>
        <v>0</v>
      </c>
      <c r="H293" s="4">
        <f t="shared" si="39"/>
        <v>0</v>
      </c>
      <c r="I293" s="4">
        <f t="shared" si="37"/>
        <v>0</v>
      </c>
      <c r="J293" s="4">
        <f>SUM($H$18:$H293)</f>
        <v>237814.13672184906</v>
      </c>
    </row>
    <row r="294" spans="1:10">
      <c r="A294" s="7">
        <f>IF(Values_Entered,A293+1,"")</f>
        <v>277</v>
      </c>
      <c r="B294" s="6">
        <f t="shared" si="32"/>
        <v>52994</v>
      </c>
      <c r="C294" s="4">
        <f t="shared" si="38"/>
        <v>0</v>
      </c>
      <c r="D294" s="4">
        <f t="shared" si="33"/>
        <v>59908.922363410937</v>
      </c>
      <c r="E294" s="5">
        <f t="shared" si="34"/>
        <v>0</v>
      </c>
      <c r="F294" s="4">
        <f t="shared" si="35"/>
        <v>0</v>
      </c>
      <c r="G294" s="4">
        <f t="shared" si="36"/>
        <v>0</v>
      </c>
      <c r="H294" s="4">
        <f t="shared" si="39"/>
        <v>0</v>
      </c>
      <c r="I294" s="4">
        <f t="shared" si="37"/>
        <v>0</v>
      </c>
      <c r="J294" s="4">
        <f>SUM($H$18:$H294)</f>
        <v>237814.13672184906</v>
      </c>
    </row>
    <row r="295" spans="1:10">
      <c r="A295" s="7">
        <f>IF(Values_Entered,A294+1,"")</f>
        <v>278</v>
      </c>
      <c r="B295" s="6">
        <f t="shared" si="32"/>
        <v>53022</v>
      </c>
      <c r="C295" s="4">
        <f t="shared" si="38"/>
        <v>0</v>
      </c>
      <c r="D295" s="4">
        <f t="shared" si="33"/>
        <v>59908.922363410937</v>
      </c>
      <c r="E295" s="5">
        <f t="shared" si="34"/>
        <v>0</v>
      </c>
      <c r="F295" s="4">
        <f t="shared" si="35"/>
        <v>0</v>
      </c>
      <c r="G295" s="4">
        <f t="shared" si="36"/>
        <v>0</v>
      </c>
      <c r="H295" s="4">
        <f t="shared" si="39"/>
        <v>0</v>
      </c>
      <c r="I295" s="4">
        <f t="shared" si="37"/>
        <v>0</v>
      </c>
      <c r="J295" s="4">
        <f>SUM($H$18:$H295)</f>
        <v>237814.13672184906</v>
      </c>
    </row>
    <row r="296" spans="1:10">
      <c r="A296" s="7">
        <f>IF(Values_Entered,A295+1,"")</f>
        <v>279</v>
      </c>
      <c r="B296" s="6">
        <f t="shared" si="32"/>
        <v>53053</v>
      </c>
      <c r="C296" s="4">
        <f t="shared" si="38"/>
        <v>0</v>
      </c>
      <c r="D296" s="4">
        <f t="shared" si="33"/>
        <v>59908.922363410937</v>
      </c>
      <c r="E296" s="5">
        <f t="shared" si="34"/>
        <v>0</v>
      </c>
      <c r="F296" s="4">
        <f t="shared" si="35"/>
        <v>0</v>
      </c>
      <c r="G296" s="4">
        <f t="shared" si="36"/>
        <v>0</v>
      </c>
      <c r="H296" s="4">
        <f t="shared" si="39"/>
        <v>0</v>
      </c>
      <c r="I296" s="4">
        <f t="shared" si="37"/>
        <v>0</v>
      </c>
      <c r="J296" s="4">
        <f>SUM($H$18:$H296)</f>
        <v>237814.13672184906</v>
      </c>
    </row>
    <row r="297" spans="1:10">
      <c r="A297" s="7">
        <f>IF(Values_Entered,A296+1,"")</f>
        <v>280</v>
      </c>
      <c r="B297" s="6">
        <f t="shared" si="32"/>
        <v>53083</v>
      </c>
      <c r="C297" s="4">
        <f t="shared" si="38"/>
        <v>0</v>
      </c>
      <c r="D297" s="4">
        <f t="shared" si="33"/>
        <v>59908.922363410937</v>
      </c>
      <c r="E297" s="5">
        <f t="shared" si="34"/>
        <v>0</v>
      </c>
      <c r="F297" s="4">
        <f t="shared" si="35"/>
        <v>0</v>
      </c>
      <c r="G297" s="4">
        <f t="shared" si="36"/>
        <v>0</v>
      </c>
      <c r="H297" s="4">
        <f t="shared" si="39"/>
        <v>0</v>
      </c>
      <c r="I297" s="4">
        <f t="shared" si="37"/>
        <v>0</v>
      </c>
      <c r="J297" s="4">
        <f>SUM($H$18:$H297)</f>
        <v>237814.13672184906</v>
      </c>
    </row>
    <row r="298" spans="1:10">
      <c r="A298" s="7">
        <f>IF(Values_Entered,A297+1,"")</f>
        <v>281</v>
      </c>
      <c r="B298" s="6">
        <f t="shared" si="32"/>
        <v>53114</v>
      </c>
      <c r="C298" s="4">
        <f t="shared" si="38"/>
        <v>0</v>
      </c>
      <c r="D298" s="4">
        <f t="shared" si="33"/>
        <v>59908.922363410937</v>
      </c>
      <c r="E298" s="5">
        <f t="shared" si="34"/>
        <v>0</v>
      </c>
      <c r="F298" s="4">
        <f t="shared" si="35"/>
        <v>0</v>
      </c>
      <c r="G298" s="4">
        <f t="shared" si="36"/>
        <v>0</v>
      </c>
      <c r="H298" s="4">
        <f t="shared" si="39"/>
        <v>0</v>
      </c>
      <c r="I298" s="4">
        <f t="shared" si="37"/>
        <v>0</v>
      </c>
      <c r="J298" s="4">
        <f>SUM($H$18:$H298)</f>
        <v>237814.13672184906</v>
      </c>
    </row>
    <row r="299" spans="1:10">
      <c r="A299" s="7">
        <f>IF(Values_Entered,A298+1,"")</f>
        <v>282</v>
      </c>
      <c r="B299" s="6">
        <f t="shared" si="32"/>
        <v>53144</v>
      </c>
      <c r="C299" s="4">
        <f t="shared" si="38"/>
        <v>0</v>
      </c>
      <c r="D299" s="4">
        <f t="shared" si="33"/>
        <v>59908.922363410937</v>
      </c>
      <c r="E299" s="5">
        <f t="shared" si="34"/>
        <v>0</v>
      </c>
      <c r="F299" s="4">
        <f t="shared" si="35"/>
        <v>0</v>
      </c>
      <c r="G299" s="4">
        <f t="shared" si="36"/>
        <v>0</v>
      </c>
      <c r="H299" s="4">
        <f t="shared" si="39"/>
        <v>0</v>
      </c>
      <c r="I299" s="4">
        <f t="shared" si="37"/>
        <v>0</v>
      </c>
      <c r="J299" s="4">
        <f>SUM($H$18:$H299)</f>
        <v>237814.13672184906</v>
      </c>
    </row>
    <row r="300" spans="1:10">
      <c r="A300" s="7">
        <f>IF(Values_Entered,A299+1,"")</f>
        <v>283</v>
      </c>
      <c r="B300" s="6">
        <f t="shared" si="32"/>
        <v>53175</v>
      </c>
      <c r="C300" s="4">
        <f t="shared" si="38"/>
        <v>0</v>
      </c>
      <c r="D300" s="4">
        <f t="shared" si="33"/>
        <v>59908.922363410937</v>
      </c>
      <c r="E300" s="5">
        <f t="shared" si="34"/>
        <v>0</v>
      </c>
      <c r="F300" s="4">
        <f t="shared" si="35"/>
        <v>0</v>
      </c>
      <c r="G300" s="4">
        <f t="shared" si="36"/>
        <v>0</v>
      </c>
      <c r="H300" s="4">
        <f t="shared" si="39"/>
        <v>0</v>
      </c>
      <c r="I300" s="4">
        <f t="shared" si="37"/>
        <v>0</v>
      </c>
      <c r="J300" s="4">
        <f>SUM($H$18:$H300)</f>
        <v>237814.13672184906</v>
      </c>
    </row>
    <row r="301" spans="1:10">
      <c r="A301" s="7">
        <f>IF(Values_Entered,A300+1,"")</f>
        <v>284</v>
      </c>
      <c r="B301" s="6">
        <f t="shared" si="32"/>
        <v>53206</v>
      </c>
      <c r="C301" s="4">
        <f t="shared" si="38"/>
        <v>0</v>
      </c>
      <c r="D301" s="4">
        <f t="shared" si="33"/>
        <v>59908.922363410937</v>
      </c>
      <c r="E301" s="5">
        <f t="shared" si="34"/>
        <v>0</v>
      </c>
      <c r="F301" s="4">
        <f t="shared" si="35"/>
        <v>0</v>
      </c>
      <c r="G301" s="4">
        <f t="shared" si="36"/>
        <v>0</v>
      </c>
      <c r="H301" s="4">
        <f t="shared" si="39"/>
        <v>0</v>
      </c>
      <c r="I301" s="4">
        <f t="shared" si="37"/>
        <v>0</v>
      </c>
      <c r="J301" s="4">
        <f>SUM($H$18:$H301)</f>
        <v>237814.13672184906</v>
      </c>
    </row>
    <row r="302" spans="1:10">
      <c r="A302" s="7">
        <f>IF(Values_Entered,A301+1,"")</f>
        <v>285</v>
      </c>
      <c r="B302" s="6">
        <f t="shared" si="32"/>
        <v>53236</v>
      </c>
      <c r="C302" s="4">
        <f t="shared" si="38"/>
        <v>0</v>
      </c>
      <c r="D302" s="4">
        <f t="shared" si="33"/>
        <v>59908.922363410937</v>
      </c>
      <c r="E302" s="5">
        <f t="shared" si="34"/>
        <v>0</v>
      </c>
      <c r="F302" s="4">
        <f t="shared" si="35"/>
        <v>0</v>
      </c>
      <c r="G302" s="4">
        <f t="shared" si="36"/>
        <v>0</v>
      </c>
      <c r="H302" s="4">
        <f t="shared" si="39"/>
        <v>0</v>
      </c>
      <c r="I302" s="4">
        <f t="shared" si="37"/>
        <v>0</v>
      </c>
      <c r="J302" s="4">
        <f>SUM($H$18:$H302)</f>
        <v>237814.13672184906</v>
      </c>
    </row>
    <row r="303" spans="1:10">
      <c r="A303" s="7">
        <f>IF(Values_Entered,A302+1,"")</f>
        <v>286</v>
      </c>
      <c r="B303" s="6">
        <f t="shared" si="32"/>
        <v>53267</v>
      </c>
      <c r="C303" s="4">
        <f t="shared" si="38"/>
        <v>0</v>
      </c>
      <c r="D303" s="4">
        <f t="shared" si="33"/>
        <v>59908.922363410937</v>
      </c>
      <c r="E303" s="5">
        <f t="shared" si="34"/>
        <v>0</v>
      </c>
      <c r="F303" s="4">
        <f t="shared" si="35"/>
        <v>0</v>
      </c>
      <c r="G303" s="4">
        <f t="shared" si="36"/>
        <v>0</v>
      </c>
      <c r="H303" s="4">
        <f t="shared" si="39"/>
        <v>0</v>
      </c>
      <c r="I303" s="4">
        <f t="shared" si="37"/>
        <v>0</v>
      </c>
      <c r="J303" s="4">
        <f>SUM($H$18:$H303)</f>
        <v>237814.13672184906</v>
      </c>
    </row>
    <row r="304" spans="1:10">
      <c r="A304" s="7">
        <f>IF(Values_Entered,A303+1,"")</f>
        <v>287</v>
      </c>
      <c r="B304" s="6">
        <f t="shared" si="32"/>
        <v>53297</v>
      </c>
      <c r="C304" s="4">
        <f t="shared" si="38"/>
        <v>0</v>
      </c>
      <c r="D304" s="4">
        <f t="shared" si="33"/>
        <v>59908.922363410937</v>
      </c>
      <c r="E304" s="5">
        <f t="shared" si="34"/>
        <v>0</v>
      </c>
      <c r="F304" s="4">
        <f t="shared" si="35"/>
        <v>0</v>
      </c>
      <c r="G304" s="4">
        <f t="shared" si="36"/>
        <v>0</v>
      </c>
      <c r="H304" s="4">
        <f t="shared" si="39"/>
        <v>0</v>
      </c>
      <c r="I304" s="4">
        <f t="shared" si="37"/>
        <v>0</v>
      </c>
      <c r="J304" s="4">
        <f>SUM($H$18:$H304)</f>
        <v>237814.13672184906</v>
      </c>
    </row>
    <row r="305" spans="1:10">
      <c r="A305" s="7">
        <f>IF(Values_Entered,A304+1,"")</f>
        <v>288</v>
      </c>
      <c r="B305" s="6">
        <f t="shared" si="32"/>
        <v>53328</v>
      </c>
      <c r="C305" s="4">
        <f t="shared" si="38"/>
        <v>0</v>
      </c>
      <c r="D305" s="4">
        <f t="shared" si="33"/>
        <v>59908.922363410937</v>
      </c>
      <c r="E305" s="5">
        <f t="shared" si="34"/>
        <v>0</v>
      </c>
      <c r="F305" s="4">
        <f t="shared" si="35"/>
        <v>0</v>
      </c>
      <c r="G305" s="4">
        <f t="shared" si="36"/>
        <v>0</v>
      </c>
      <c r="H305" s="4">
        <f t="shared" si="39"/>
        <v>0</v>
      </c>
      <c r="I305" s="4">
        <f t="shared" si="37"/>
        <v>0</v>
      </c>
      <c r="J305" s="4">
        <f>SUM($H$18:$H305)</f>
        <v>237814.13672184906</v>
      </c>
    </row>
    <row r="306" spans="1:10">
      <c r="A306" s="7">
        <f>IF(Values_Entered,A305+1,"")</f>
        <v>289</v>
      </c>
      <c r="B306" s="6">
        <f t="shared" si="32"/>
        <v>53359</v>
      </c>
      <c r="C306" s="4">
        <f t="shared" si="38"/>
        <v>0</v>
      </c>
      <c r="D306" s="4">
        <f t="shared" si="33"/>
        <v>59908.922363410937</v>
      </c>
      <c r="E306" s="5">
        <f t="shared" si="34"/>
        <v>0</v>
      </c>
      <c r="F306" s="4">
        <f t="shared" si="35"/>
        <v>0</v>
      </c>
      <c r="G306" s="4">
        <f t="shared" si="36"/>
        <v>0</v>
      </c>
      <c r="H306" s="4">
        <f t="shared" si="39"/>
        <v>0</v>
      </c>
      <c r="I306" s="4">
        <f t="shared" si="37"/>
        <v>0</v>
      </c>
      <c r="J306" s="4">
        <f>SUM($H$18:$H306)</f>
        <v>237814.13672184906</v>
      </c>
    </row>
    <row r="307" spans="1:10">
      <c r="A307" s="7">
        <f>IF(Values_Entered,A306+1,"")</f>
        <v>290</v>
      </c>
      <c r="B307" s="6">
        <f t="shared" si="32"/>
        <v>53387</v>
      </c>
      <c r="C307" s="4">
        <f t="shared" si="38"/>
        <v>0</v>
      </c>
      <c r="D307" s="4">
        <f t="shared" si="33"/>
        <v>59908.922363410937</v>
      </c>
      <c r="E307" s="5">
        <f t="shared" si="34"/>
        <v>0</v>
      </c>
      <c r="F307" s="4">
        <f t="shared" si="35"/>
        <v>0</v>
      </c>
      <c r="G307" s="4">
        <f t="shared" si="36"/>
        <v>0</v>
      </c>
      <c r="H307" s="4">
        <f t="shared" si="39"/>
        <v>0</v>
      </c>
      <c r="I307" s="4">
        <f t="shared" si="37"/>
        <v>0</v>
      </c>
      <c r="J307" s="4">
        <f>SUM($H$18:$H307)</f>
        <v>237814.13672184906</v>
      </c>
    </row>
    <row r="308" spans="1:10">
      <c r="A308" s="7">
        <f>IF(Values_Entered,A307+1,"")</f>
        <v>291</v>
      </c>
      <c r="B308" s="6">
        <f t="shared" si="32"/>
        <v>53418</v>
      </c>
      <c r="C308" s="4">
        <f t="shared" si="38"/>
        <v>0</v>
      </c>
      <c r="D308" s="4">
        <f t="shared" si="33"/>
        <v>59908.922363410937</v>
      </c>
      <c r="E308" s="5">
        <f t="shared" si="34"/>
        <v>0</v>
      </c>
      <c r="F308" s="4">
        <f t="shared" si="35"/>
        <v>0</v>
      </c>
      <c r="G308" s="4">
        <f t="shared" si="36"/>
        <v>0</v>
      </c>
      <c r="H308" s="4">
        <f t="shared" si="39"/>
        <v>0</v>
      </c>
      <c r="I308" s="4">
        <f t="shared" si="37"/>
        <v>0</v>
      </c>
      <c r="J308" s="4">
        <f>SUM($H$18:$H308)</f>
        <v>237814.13672184906</v>
      </c>
    </row>
    <row r="309" spans="1:10">
      <c r="A309" s="7">
        <f>IF(Values_Entered,A308+1,"")</f>
        <v>292</v>
      </c>
      <c r="B309" s="6">
        <f t="shared" si="32"/>
        <v>53448</v>
      </c>
      <c r="C309" s="4">
        <f t="shared" si="38"/>
        <v>0</v>
      </c>
      <c r="D309" s="4">
        <f t="shared" si="33"/>
        <v>59908.922363410937</v>
      </c>
      <c r="E309" s="5">
        <f t="shared" si="34"/>
        <v>0</v>
      </c>
      <c r="F309" s="4">
        <f t="shared" si="35"/>
        <v>0</v>
      </c>
      <c r="G309" s="4">
        <f t="shared" si="36"/>
        <v>0</v>
      </c>
      <c r="H309" s="4">
        <f t="shared" si="39"/>
        <v>0</v>
      </c>
      <c r="I309" s="4">
        <f t="shared" si="37"/>
        <v>0</v>
      </c>
      <c r="J309" s="4">
        <f>SUM($H$18:$H309)</f>
        <v>237814.13672184906</v>
      </c>
    </row>
    <row r="310" spans="1:10">
      <c r="A310" s="7">
        <f>IF(Values_Entered,A309+1,"")</f>
        <v>293</v>
      </c>
      <c r="B310" s="6">
        <f t="shared" si="32"/>
        <v>53479</v>
      </c>
      <c r="C310" s="4">
        <f t="shared" si="38"/>
        <v>0</v>
      </c>
      <c r="D310" s="4">
        <f t="shared" si="33"/>
        <v>59908.922363410937</v>
      </c>
      <c r="E310" s="5">
        <f t="shared" si="34"/>
        <v>0</v>
      </c>
      <c r="F310" s="4">
        <f t="shared" si="35"/>
        <v>0</v>
      </c>
      <c r="G310" s="4">
        <f t="shared" si="36"/>
        <v>0</v>
      </c>
      <c r="H310" s="4">
        <f t="shared" si="39"/>
        <v>0</v>
      </c>
      <c r="I310" s="4">
        <f t="shared" si="37"/>
        <v>0</v>
      </c>
      <c r="J310" s="4">
        <f>SUM($H$18:$H310)</f>
        <v>237814.13672184906</v>
      </c>
    </row>
    <row r="311" spans="1:10">
      <c r="A311" s="7">
        <f>IF(Values_Entered,A310+1,"")</f>
        <v>294</v>
      </c>
      <c r="B311" s="6">
        <f t="shared" si="32"/>
        <v>53509</v>
      </c>
      <c r="C311" s="4">
        <f t="shared" si="38"/>
        <v>0</v>
      </c>
      <c r="D311" s="4">
        <f t="shared" si="33"/>
        <v>59908.922363410937</v>
      </c>
      <c r="E311" s="5">
        <f t="shared" si="34"/>
        <v>0</v>
      </c>
      <c r="F311" s="4">
        <f t="shared" si="35"/>
        <v>0</v>
      </c>
      <c r="G311" s="4">
        <f t="shared" si="36"/>
        <v>0</v>
      </c>
      <c r="H311" s="4">
        <f t="shared" si="39"/>
        <v>0</v>
      </c>
      <c r="I311" s="4">
        <f t="shared" si="37"/>
        <v>0</v>
      </c>
      <c r="J311" s="4">
        <f>SUM($H$18:$H311)</f>
        <v>237814.13672184906</v>
      </c>
    </row>
    <row r="312" spans="1:10">
      <c r="A312" s="7">
        <f>IF(Values_Entered,A311+1,"")</f>
        <v>295</v>
      </c>
      <c r="B312" s="6">
        <f t="shared" si="32"/>
        <v>53540</v>
      </c>
      <c r="C312" s="4">
        <f t="shared" si="38"/>
        <v>0</v>
      </c>
      <c r="D312" s="4">
        <f t="shared" si="33"/>
        <v>59908.922363410937</v>
      </c>
      <c r="E312" s="5">
        <f t="shared" si="34"/>
        <v>0</v>
      </c>
      <c r="F312" s="4">
        <f t="shared" si="35"/>
        <v>0</v>
      </c>
      <c r="G312" s="4">
        <f t="shared" si="36"/>
        <v>0</v>
      </c>
      <c r="H312" s="4">
        <f t="shared" si="39"/>
        <v>0</v>
      </c>
      <c r="I312" s="4">
        <f t="shared" si="37"/>
        <v>0</v>
      </c>
      <c r="J312" s="4">
        <f>SUM($H$18:$H312)</f>
        <v>237814.13672184906</v>
      </c>
    </row>
    <row r="313" spans="1:10">
      <c r="A313" s="7">
        <f>IF(Values_Entered,A312+1,"")</f>
        <v>296</v>
      </c>
      <c r="B313" s="6">
        <f t="shared" si="32"/>
        <v>53571</v>
      </c>
      <c r="C313" s="4">
        <f t="shared" si="38"/>
        <v>0</v>
      </c>
      <c r="D313" s="4">
        <f t="shared" si="33"/>
        <v>59908.922363410937</v>
      </c>
      <c r="E313" s="5">
        <f t="shared" si="34"/>
        <v>0</v>
      </c>
      <c r="F313" s="4">
        <f t="shared" si="35"/>
        <v>0</v>
      </c>
      <c r="G313" s="4">
        <f t="shared" si="36"/>
        <v>0</v>
      </c>
      <c r="H313" s="4">
        <f t="shared" si="39"/>
        <v>0</v>
      </c>
      <c r="I313" s="4">
        <f t="shared" si="37"/>
        <v>0</v>
      </c>
      <c r="J313" s="4">
        <f>SUM($H$18:$H313)</f>
        <v>237814.13672184906</v>
      </c>
    </row>
    <row r="314" spans="1:10">
      <c r="A314" s="7">
        <f>IF(Values_Entered,A313+1,"")</f>
        <v>297</v>
      </c>
      <c r="B314" s="6">
        <f t="shared" si="32"/>
        <v>53601</v>
      </c>
      <c r="C314" s="4">
        <f t="shared" si="38"/>
        <v>0</v>
      </c>
      <c r="D314" s="4">
        <f t="shared" si="33"/>
        <v>59908.922363410937</v>
      </c>
      <c r="E314" s="5">
        <f t="shared" si="34"/>
        <v>0</v>
      </c>
      <c r="F314" s="4">
        <f t="shared" si="35"/>
        <v>0</v>
      </c>
      <c r="G314" s="4">
        <f t="shared" si="36"/>
        <v>0</v>
      </c>
      <c r="H314" s="4">
        <f t="shared" si="39"/>
        <v>0</v>
      </c>
      <c r="I314" s="4">
        <f t="shared" si="37"/>
        <v>0</v>
      </c>
      <c r="J314" s="4">
        <f>SUM($H$18:$H314)</f>
        <v>237814.13672184906</v>
      </c>
    </row>
    <row r="315" spans="1:10">
      <c r="A315" s="7">
        <f>IF(Values_Entered,A314+1,"")</f>
        <v>298</v>
      </c>
      <c r="B315" s="6">
        <f t="shared" si="32"/>
        <v>53632</v>
      </c>
      <c r="C315" s="4">
        <f t="shared" si="38"/>
        <v>0</v>
      </c>
      <c r="D315" s="4">
        <f t="shared" si="33"/>
        <v>59908.922363410937</v>
      </c>
      <c r="E315" s="5">
        <f t="shared" si="34"/>
        <v>0</v>
      </c>
      <c r="F315" s="4">
        <f t="shared" si="35"/>
        <v>0</v>
      </c>
      <c r="G315" s="4">
        <f t="shared" si="36"/>
        <v>0</v>
      </c>
      <c r="H315" s="4">
        <f t="shared" si="39"/>
        <v>0</v>
      </c>
      <c r="I315" s="4">
        <f t="shared" si="37"/>
        <v>0</v>
      </c>
      <c r="J315" s="4">
        <f>SUM($H$18:$H315)</f>
        <v>237814.13672184906</v>
      </c>
    </row>
    <row r="316" spans="1:10">
      <c r="A316" s="7">
        <f>IF(Values_Entered,A315+1,"")</f>
        <v>299</v>
      </c>
      <c r="B316" s="6">
        <f t="shared" si="32"/>
        <v>53662</v>
      </c>
      <c r="C316" s="4">
        <f t="shared" si="38"/>
        <v>0</v>
      </c>
      <c r="D316" s="4">
        <f t="shared" si="33"/>
        <v>59908.922363410937</v>
      </c>
      <c r="E316" s="5">
        <f t="shared" si="34"/>
        <v>0</v>
      </c>
      <c r="F316" s="4">
        <f t="shared" si="35"/>
        <v>0</v>
      </c>
      <c r="G316" s="4">
        <f t="shared" si="36"/>
        <v>0</v>
      </c>
      <c r="H316" s="4">
        <f t="shared" si="39"/>
        <v>0</v>
      </c>
      <c r="I316" s="4">
        <f t="shared" si="37"/>
        <v>0</v>
      </c>
      <c r="J316" s="4">
        <f>SUM($H$18:$H316)</f>
        <v>237814.13672184906</v>
      </c>
    </row>
    <row r="317" spans="1:10">
      <c r="A317" s="7">
        <f>IF(Values_Entered,A316+1,"")</f>
        <v>300</v>
      </c>
      <c r="B317" s="6">
        <f t="shared" si="32"/>
        <v>53693</v>
      </c>
      <c r="C317" s="4">
        <f t="shared" si="38"/>
        <v>0</v>
      </c>
      <c r="D317" s="4">
        <f t="shared" si="33"/>
        <v>59908.922363410937</v>
      </c>
      <c r="E317" s="5">
        <f t="shared" si="34"/>
        <v>0</v>
      </c>
      <c r="F317" s="4">
        <f t="shared" si="35"/>
        <v>0</v>
      </c>
      <c r="G317" s="4">
        <f t="shared" si="36"/>
        <v>0</v>
      </c>
      <c r="H317" s="4">
        <f t="shared" si="39"/>
        <v>0</v>
      </c>
      <c r="I317" s="4">
        <f t="shared" si="37"/>
        <v>0</v>
      </c>
      <c r="J317" s="4">
        <f>SUM($H$18:$H317)</f>
        <v>237814.13672184906</v>
      </c>
    </row>
    <row r="318" spans="1:10">
      <c r="A318" s="7">
        <f>IF(Values_Entered,A317+1,"")</f>
        <v>301</v>
      </c>
      <c r="B318" s="6">
        <f t="shared" si="32"/>
        <v>53724</v>
      </c>
      <c r="C318" s="4">
        <f t="shared" si="38"/>
        <v>0</v>
      </c>
      <c r="D318" s="4">
        <f t="shared" si="33"/>
        <v>59908.922363410937</v>
      </c>
      <c r="E318" s="5">
        <f t="shared" si="34"/>
        <v>0</v>
      </c>
      <c r="F318" s="4">
        <f t="shared" si="35"/>
        <v>0</v>
      </c>
      <c r="G318" s="4">
        <f t="shared" si="36"/>
        <v>0</v>
      </c>
      <c r="H318" s="4">
        <f t="shared" si="39"/>
        <v>0</v>
      </c>
      <c r="I318" s="4">
        <f t="shared" si="37"/>
        <v>0</v>
      </c>
      <c r="J318" s="4">
        <f>SUM($H$18:$H318)</f>
        <v>237814.13672184906</v>
      </c>
    </row>
    <row r="319" spans="1:10">
      <c r="A319" s="7">
        <f>IF(Values_Entered,A318+1,"")</f>
        <v>302</v>
      </c>
      <c r="B319" s="6">
        <f t="shared" si="32"/>
        <v>53752</v>
      </c>
      <c r="C319" s="4">
        <f t="shared" si="38"/>
        <v>0</v>
      </c>
      <c r="D319" s="4">
        <f t="shared" si="33"/>
        <v>59908.922363410937</v>
      </c>
      <c r="E319" s="5">
        <f t="shared" si="34"/>
        <v>0</v>
      </c>
      <c r="F319" s="4">
        <f t="shared" si="35"/>
        <v>0</v>
      </c>
      <c r="G319" s="4">
        <f t="shared" si="36"/>
        <v>0</v>
      </c>
      <c r="H319" s="4">
        <f t="shared" si="39"/>
        <v>0</v>
      </c>
      <c r="I319" s="4">
        <f t="shared" si="37"/>
        <v>0</v>
      </c>
      <c r="J319" s="4">
        <f>SUM($H$18:$H319)</f>
        <v>237814.13672184906</v>
      </c>
    </row>
    <row r="320" spans="1:10">
      <c r="A320" s="7">
        <f>IF(Values_Entered,A319+1,"")</f>
        <v>303</v>
      </c>
      <c r="B320" s="6">
        <f t="shared" si="32"/>
        <v>53783</v>
      </c>
      <c r="C320" s="4">
        <f t="shared" si="38"/>
        <v>0</v>
      </c>
      <c r="D320" s="4">
        <f t="shared" si="33"/>
        <v>59908.922363410937</v>
      </c>
      <c r="E320" s="5">
        <f t="shared" si="34"/>
        <v>0</v>
      </c>
      <c r="F320" s="4">
        <f t="shared" si="35"/>
        <v>0</v>
      </c>
      <c r="G320" s="4">
        <f t="shared" si="36"/>
        <v>0</v>
      </c>
      <c r="H320" s="4">
        <f t="shared" si="39"/>
        <v>0</v>
      </c>
      <c r="I320" s="4">
        <f t="shared" si="37"/>
        <v>0</v>
      </c>
      <c r="J320" s="4">
        <f>SUM($H$18:$H320)</f>
        <v>237814.13672184906</v>
      </c>
    </row>
    <row r="321" spans="1:10">
      <c r="A321" s="7">
        <f>IF(Values_Entered,A320+1,"")</f>
        <v>304</v>
      </c>
      <c r="B321" s="6">
        <f t="shared" si="32"/>
        <v>53813</v>
      </c>
      <c r="C321" s="4">
        <f t="shared" si="38"/>
        <v>0</v>
      </c>
      <c r="D321" s="4">
        <f t="shared" si="33"/>
        <v>59908.922363410937</v>
      </c>
      <c r="E321" s="5">
        <f t="shared" si="34"/>
        <v>0</v>
      </c>
      <c r="F321" s="4">
        <f t="shared" si="35"/>
        <v>0</v>
      </c>
      <c r="G321" s="4">
        <f t="shared" si="36"/>
        <v>0</v>
      </c>
      <c r="H321" s="4">
        <f t="shared" si="39"/>
        <v>0</v>
      </c>
      <c r="I321" s="4">
        <f t="shared" si="37"/>
        <v>0</v>
      </c>
      <c r="J321" s="4">
        <f>SUM($H$18:$H321)</f>
        <v>237814.13672184906</v>
      </c>
    </row>
    <row r="322" spans="1:10">
      <c r="A322" s="7">
        <f>IF(Values_Entered,A321+1,"")</f>
        <v>305</v>
      </c>
      <c r="B322" s="6">
        <f t="shared" si="32"/>
        <v>53844</v>
      </c>
      <c r="C322" s="4">
        <f t="shared" si="38"/>
        <v>0</v>
      </c>
      <c r="D322" s="4">
        <f t="shared" si="33"/>
        <v>59908.922363410937</v>
      </c>
      <c r="E322" s="5">
        <f t="shared" si="34"/>
        <v>0</v>
      </c>
      <c r="F322" s="4">
        <f t="shared" si="35"/>
        <v>0</v>
      </c>
      <c r="G322" s="4">
        <f t="shared" si="36"/>
        <v>0</v>
      </c>
      <c r="H322" s="4">
        <f t="shared" si="39"/>
        <v>0</v>
      </c>
      <c r="I322" s="4">
        <f t="shared" si="37"/>
        <v>0</v>
      </c>
      <c r="J322" s="4">
        <f>SUM($H$18:$H322)</f>
        <v>237814.13672184906</v>
      </c>
    </row>
    <row r="323" spans="1:10">
      <c r="A323" s="7">
        <f>IF(Values_Entered,A322+1,"")</f>
        <v>306</v>
      </c>
      <c r="B323" s="6">
        <f t="shared" si="32"/>
        <v>53874</v>
      </c>
      <c r="C323" s="4">
        <f t="shared" si="38"/>
        <v>0</v>
      </c>
      <c r="D323" s="4">
        <f t="shared" si="33"/>
        <v>59908.922363410937</v>
      </c>
      <c r="E323" s="5">
        <f t="shared" si="34"/>
        <v>0</v>
      </c>
      <c r="F323" s="4">
        <f t="shared" si="35"/>
        <v>0</v>
      </c>
      <c r="G323" s="4">
        <f t="shared" si="36"/>
        <v>0</v>
      </c>
      <c r="H323" s="4">
        <f t="shared" si="39"/>
        <v>0</v>
      </c>
      <c r="I323" s="4">
        <f t="shared" si="37"/>
        <v>0</v>
      </c>
      <c r="J323" s="4">
        <f>SUM($H$18:$H323)</f>
        <v>237814.13672184906</v>
      </c>
    </row>
    <row r="324" spans="1:10">
      <c r="A324" s="7">
        <f>IF(Values_Entered,A323+1,"")</f>
        <v>307</v>
      </c>
      <c r="B324" s="6">
        <f t="shared" si="32"/>
        <v>53905</v>
      </c>
      <c r="C324" s="4">
        <f t="shared" si="38"/>
        <v>0</v>
      </c>
      <c r="D324" s="4">
        <f t="shared" si="33"/>
        <v>59908.922363410937</v>
      </c>
      <c r="E324" s="5">
        <f t="shared" si="34"/>
        <v>0</v>
      </c>
      <c r="F324" s="4">
        <f t="shared" si="35"/>
        <v>0</v>
      </c>
      <c r="G324" s="4">
        <f t="shared" si="36"/>
        <v>0</v>
      </c>
      <c r="H324" s="4">
        <f t="shared" si="39"/>
        <v>0</v>
      </c>
      <c r="I324" s="4">
        <f t="shared" si="37"/>
        <v>0</v>
      </c>
      <c r="J324" s="4">
        <f>SUM($H$18:$H324)</f>
        <v>237814.13672184906</v>
      </c>
    </row>
    <row r="325" spans="1:10">
      <c r="A325" s="7">
        <f>IF(Values_Entered,A324+1,"")</f>
        <v>308</v>
      </c>
      <c r="B325" s="6">
        <f t="shared" si="32"/>
        <v>53936</v>
      </c>
      <c r="C325" s="4">
        <f t="shared" si="38"/>
        <v>0</v>
      </c>
      <c r="D325" s="4">
        <f t="shared" si="33"/>
        <v>59908.922363410937</v>
      </c>
      <c r="E325" s="5">
        <f t="shared" si="34"/>
        <v>0</v>
      </c>
      <c r="F325" s="4">
        <f t="shared" si="35"/>
        <v>0</v>
      </c>
      <c r="G325" s="4">
        <f t="shared" si="36"/>
        <v>0</v>
      </c>
      <c r="H325" s="4">
        <f t="shared" si="39"/>
        <v>0</v>
      </c>
      <c r="I325" s="4">
        <f t="shared" si="37"/>
        <v>0</v>
      </c>
      <c r="J325" s="4">
        <f>SUM($H$18:$H325)</f>
        <v>237814.13672184906</v>
      </c>
    </row>
    <row r="326" spans="1:10">
      <c r="A326" s="7">
        <f>IF(Values_Entered,A325+1,"")</f>
        <v>309</v>
      </c>
      <c r="B326" s="6">
        <f t="shared" si="32"/>
        <v>53966</v>
      </c>
      <c r="C326" s="4">
        <f t="shared" si="38"/>
        <v>0</v>
      </c>
      <c r="D326" s="4">
        <f t="shared" si="33"/>
        <v>59908.922363410937</v>
      </c>
      <c r="E326" s="5">
        <f t="shared" si="34"/>
        <v>0</v>
      </c>
      <c r="F326" s="4">
        <f t="shared" si="35"/>
        <v>0</v>
      </c>
      <c r="G326" s="4">
        <f t="shared" si="36"/>
        <v>0</v>
      </c>
      <c r="H326" s="4">
        <f t="shared" si="39"/>
        <v>0</v>
      </c>
      <c r="I326" s="4">
        <f t="shared" si="37"/>
        <v>0</v>
      </c>
      <c r="J326" s="4">
        <f>SUM($H$18:$H326)</f>
        <v>237814.13672184906</v>
      </c>
    </row>
    <row r="327" spans="1:10">
      <c r="A327" s="7">
        <f>IF(Values_Entered,A326+1,"")</f>
        <v>310</v>
      </c>
      <c r="B327" s="6">
        <f t="shared" si="32"/>
        <v>53997</v>
      </c>
      <c r="C327" s="4">
        <f t="shared" si="38"/>
        <v>0</v>
      </c>
      <c r="D327" s="4">
        <f t="shared" si="33"/>
        <v>59908.922363410937</v>
      </c>
      <c r="E327" s="5">
        <f t="shared" si="34"/>
        <v>0</v>
      </c>
      <c r="F327" s="4">
        <f t="shared" si="35"/>
        <v>0</v>
      </c>
      <c r="G327" s="4">
        <f t="shared" si="36"/>
        <v>0</v>
      </c>
      <c r="H327" s="4">
        <f t="shared" si="39"/>
        <v>0</v>
      </c>
      <c r="I327" s="4">
        <f t="shared" si="37"/>
        <v>0</v>
      </c>
      <c r="J327" s="4">
        <f>SUM($H$18:$H327)</f>
        <v>237814.13672184906</v>
      </c>
    </row>
    <row r="328" spans="1:10">
      <c r="A328" s="7">
        <f>IF(Values_Entered,A327+1,"")</f>
        <v>311</v>
      </c>
      <c r="B328" s="6">
        <f t="shared" si="32"/>
        <v>54027</v>
      </c>
      <c r="C328" s="4">
        <f t="shared" si="38"/>
        <v>0</v>
      </c>
      <c r="D328" s="4">
        <f t="shared" si="33"/>
        <v>59908.922363410937</v>
      </c>
      <c r="E328" s="5">
        <f t="shared" si="34"/>
        <v>0</v>
      </c>
      <c r="F328" s="4">
        <f t="shared" si="35"/>
        <v>0</v>
      </c>
      <c r="G328" s="4">
        <f t="shared" si="36"/>
        <v>0</v>
      </c>
      <c r="H328" s="4">
        <f t="shared" si="39"/>
        <v>0</v>
      </c>
      <c r="I328" s="4">
        <f t="shared" si="37"/>
        <v>0</v>
      </c>
      <c r="J328" s="4">
        <f>SUM($H$18:$H328)</f>
        <v>237814.13672184906</v>
      </c>
    </row>
    <row r="329" spans="1:10">
      <c r="A329" s="7">
        <f>IF(Values_Entered,A328+1,"")</f>
        <v>312</v>
      </c>
      <c r="B329" s="6">
        <f t="shared" si="32"/>
        <v>54058</v>
      </c>
      <c r="C329" s="4">
        <f t="shared" si="38"/>
        <v>0</v>
      </c>
      <c r="D329" s="4">
        <f t="shared" si="33"/>
        <v>59908.922363410937</v>
      </c>
      <c r="E329" s="5">
        <f t="shared" si="34"/>
        <v>0</v>
      </c>
      <c r="F329" s="4">
        <f t="shared" si="35"/>
        <v>0</v>
      </c>
      <c r="G329" s="4">
        <f t="shared" si="36"/>
        <v>0</v>
      </c>
      <c r="H329" s="4">
        <f t="shared" si="39"/>
        <v>0</v>
      </c>
      <c r="I329" s="4">
        <f t="shared" si="37"/>
        <v>0</v>
      </c>
      <c r="J329" s="4">
        <f>SUM($H$18:$H329)</f>
        <v>237814.13672184906</v>
      </c>
    </row>
    <row r="330" spans="1:10">
      <c r="A330" s="7">
        <f>IF(Values_Entered,A329+1,"")</f>
        <v>313</v>
      </c>
      <c r="B330" s="6">
        <f t="shared" si="32"/>
        <v>54089</v>
      </c>
      <c r="C330" s="4">
        <f t="shared" si="38"/>
        <v>0</v>
      </c>
      <c r="D330" s="4">
        <f t="shared" si="33"/>
        <v>59908.922363410937</v>
      </c>
      <c r="E330" s="5">
        <f t="shared" si="34"/>
        <v>0</v>
      </c>
      <c r="F330" s="4">
        <f t="shared" si="35"/>
        <v>0</v>
      </c>
      <c r="G330" s="4">
        <f t="shared" si="36"/>
        <v>0</v>
      </c>
      <c r="H330" s="4">
        <f t="shared" si="39"/>
        <v>0</v>
      </c>
      <c r="I330" s="4">
        <f t="shared" si="37"/>
        <v>0</v>
      </c>
      <c r="J330" s="4">
        <f>SUM($H$18:$H330)</f>
        <v>237814.13672184906</v>
      </c>
    </row>
    <row r="331" spans="1:10">
      <c r="A331" s="7">
        <f>IF(Values_Entered,A330+1,"")</f>
        <v>314</v>
      </c>
      <c r="B331" s="6">
        <f t="shared" si="32"/>
        <v>54118</v>
      </c>
      <c r="C331" s="4">
        <f t="shared" si="38"/>
        <v>0</v>
      </c>
      <c r="D331" s="4">
        <f t="shared" si="33"/>
        <v>59908.922363410937</v>
      </c>
      <c r="E331" s="5">
        <f t="shared" si="34"/>
        <v>0</v>
      </c>
      <c r="F331" s="4">
        <f t="shared" si="35"/>
        <v>0</v>
      </c>
      <c r="G331" s="4">
        <f t="shared" si="36"/>
        <v>0</v>
      </c>
      <c r="H331" s="4">
        <f t="shared" si="39"/>
        <v>0</v>
      </c>
      <c r="I331" s="4">
        <f t="shared" si="37"/>
        <v>0</v>
      </c>
      <c r="J331" s="4">
        <f>SUM($H$18:$H331)</f>
        <v>237814.13672184906</v>
      </c>
    </row>
    <row r="332" spans="1:10">
      <c r="A332" s="7">
        <f>IF(Values_Entered,A331+1,"")</f>
        <v>315</v>
      </c>
      <c r="B332" s="6">
        <f t="shared" si="32"/>
        <v>54149</v>
      </c>
      <c r="C332" s="4">
        <f t="shared" si="38"/>
        <v>0</v>
      </c>
      <c r="D332" s="4">
        <f t="shared" si="33"/>
        <v>59908.922363410937</v>
      </c>
      <c r="E332" s="5">
        <f t="shared" si="34"/>
        <v>0</v>
      </c>
      <c r="F332" s="4">
        <f t="shared" si="35"/>
        <v>0</v>
      </c>
      <c r="G332" s="4">
        <f t="shared" si="36"/>
        <v>0</v>
      </c>
      <c r="H332" s="4">
        <f t="shared" si="39"/>
        <v>0</v>
      </c>
      <c r="I332" s="4">
        <f t="shared" si="37"/>
        <v>0</v>
      </c>
      <c r="J332" s="4">
        <f>SUM($H$18:$H332)</f>
        <v>237814.13672184906</v>
      </c>
    </row>
    <row r="333" spans="1:10">
      <c r="A333" s="7">
        <f>IF(Values_Entered,A332+1,"")</f>
        <v>316</v>
      </c>
      <c r="B333" s="6">
        <f t="shared" si="32"/>
        <v>54179</v>
      </c>
      <c r="C333" s="4">
        <f t="shared" si="38"/>
        <v>0</v>
      </c>
      <c r="D333" s="4">
        <f t="shared" si="33"/>
        <v>59908.922363410937</v>
      </c>
      <c r="E333" s="5">
        <f t="shared" si="34"/>
        <v>0</v>
      </c>
      <c r="F333" s="4">
        <f t="shared" si="35"/>
        <v>0</v>
      </c>
      <c r="G333" s="4">
        <f t="shared" si="36"/>
        <v>0</v>
      </c>
      <c r="H333" s="4">
        <f t="shared" si="39"/>
        <v>0</v>
      </c>
      <c r="I333" s="4">
        <f t="shared" si="37"/>
        <v>0</v>
      </c>
      <c r="J333" s="4">
        <f>SUM($H$18:$H333)</f>
        <v>237814.13672184906</v>
      </c>
    </row>
    <row r="334" spans="1:10">
      <c r="A334" s="7">
        <f>IF(Values_Entered,A333+1,"")</f>
        <v>317</v>
      </c>
      <c r="B334" s="6">
        <f t="shared" si="32"/>
        <v>54210</v>
      </c>
      <c r="C334" s="4">
        <f t="shared" si="38"/>
        <v>0</v>
      </c>
      <c r="D334" s="4">
        <f t="shared" si="33"/>
        <v>59908.922363410937</v>
      </c>
      <c r="E334" s="5">
        <f t="shared" si="34"/>
        <v>0</v>
      </c>
      <c r="F334" s="4">
        <f t="shared" si="35"/>
        <v>0</v>
      </c>
      <c r="G334" s="4">
        <f t="shared" si="36"/>
        <v>0</v>
      </c>
      <c r="H334" s="4">
        <f t="shared" si="39"/>
        <v>0</v>
      </c>
      <c r="I334" s="4">
        <f t="shared" si="37"/>
        <v>0</v>
      </c>
      <c r="J334" s="4">
        <f>SUM($H$18:$H334)</f>
        <v>237814.13672184906</v>
      </c>
    </row>
    <row r="335" spans="1:10">
      <c r="A335" s="7">
        <f>IF(Values_Entered,A334+1,"")</f>
        <v>318</v>
      </c>
      <c r="B335" s="6">
        <f t="shared" si="32"/>
        <v>54240</v>
      </c>
      <c r="C335" s="4">
        <f t="shared" si="38"/>
        <v>0</v>
      </c>
      <c r="D335" s="4">
        <f t="shared" si="33"/>
        <v>59908.922363410937</v>
      </c>
      <c r="E335" s="5">
        <f t="shared" si="34"/>
        <v>0</v>
      </c>
      <c r="F335" s="4">
        <f t="shared" si="35"/>
        <v>0</v>
      </c>
      <c r="G335" s="4">
        <f t="shared" si="36"/>
        <v>0</v>
      </c>
      <c r="H335" s="4">
        <f t="shared" si="39"/>
        <v>0</v>
      </c>
      <c r="I335" s="4">
        <f t="shared" si="37"/>
        <v>0</v>
      </c>
      <c r="J335" s="4">
        <f>SUM($H$18:$H335)</f>
        <v>237814.13672184906</v>
      </c>
    </row>
    <row r="336" spans="1:10">
      <c r="A336" s="7">
        <f>IF(Values_Entered,A335+1,"")</f>
        <v>319</v>
      </c>
      <c r="B336" s="6">
        <f t="shared" si="32"/>
        <v>54271</v>
      </c>
      <c r="C336" s="4">
        <f t="shared" si="38"/>
        <v>0</v>
      </c>
      <c r="D336" s="4">
        <f t="shared" si="33"/>
        <v>59908.922363410937</v>
      </c>
      <c r="E336" s="5">
        <f t="shared" si="34"/>
        <v>0</v>
      </c>
      <c r="F336" s="4">
        <f t="shared" si="35"/>
        <v>0</v>
      </c>
      <c r="G336" s="4">
        <f t="shared" si="36"/>
        <v>0</v>
      </c>
      <c r="H336" s="4">
        <f t="shared" si="39"/>
        <v>0</v>
      </c>
      <c r="I336" s="4">
        <f t="shared" si="37"/>
        <v>0</v>
      </c>
      <c r="J336" s="4">
        <f>SUM($H$18:$H336)</f>
        <v>237814.13672184906</v>
      </c>
    </row>
    <row r="337" spans="1:10">
      <c r="A337" s="7">
        <f>IF(Values_Entered,A336+1,"")</f>
        <v>320</v>
      </c>
      <c r="B337" s="6">
        <f t="shared" si="32"/>
        <v>54302</v>
      </c>
      <c r="C337" s="4">
        <f t="shared" si="38"/>
        <v>0</v>
      </c>
      <c r="D337" s="4">
        <f t="shared" si="33"/>
        <v>59908.922363410937</v>
      </c>
      <c r="E337" s="5">
        <f t="shared" si="34"/>
        <v>0</v>
      </c>
      <c r="F337" s="4">
        <f t="shared" si="35"/>
        <v>0</v>
      </c>
      <c r="G337" s="4">
        <f t="shared" si="36"/>
        <v>0</v>
      </c>
      <c r="H337" s="4">
        <f t="shared" si="39"/>
        <v>0</v>
      </c>
      <c r="I337" s="4">
        <f t="shared" si="37"/>
        <v>0</v>
      </c>
      <c r="J337" s="4">
        <f>SUM($H$18:$H337)</f>
        <v>237814.13672184906</v>
      </c>
    </row>
    <row r="338" spans="1:10">
      <c r="A338" s="7">
        <f>IF(Values_Entered,A337+1,"")</f>
        <v>321</v>
      </c>
      <c r="B338" s="6">
        <f t="shared" ref="B338:B401" si="40">IF(Pay_Num&lt;&gt;"",DATE(YEAR(Loan_Start),MONTH(Loan_Start)+(Pay_Num)*12/Num_Pmt_Per_Year,DAY(Loan_Start)),"")</f>
        <v>54332</v>
      </c>
      <c r="C338" s="4">
        <f t="shared" si="38"/>
        <v>0</v>
      </c>
      <c r="D338" s="4">
        <f t="shared" ref="D338:D401" si="41">IF(Pay_Num&lt;&gt;"",Scheduled_Monthly_Payment,"")</f>
        <v>59908.922363410937</v>
      </c>
      <c r="E338" s="5">
        <f t="shared" ref="E338:E401" si="42">IF(AND(Pay_Num&lt;&gt;"",Sched_Pay+Scheduled_Extra_Payments&lt;Beg_Bal),Scheduled_Extra_Payments,IF(AND(Pay_Num&lt;&gt;"",Beg_Bal-Sched_Pay&gt;0),Beg_Bal-Sched_Pay,IF(Pay_Num&lt;&gt;"",0,"")))</f>
        <v>0</v>
      </c>
      <c r="F338" s="4">
        <f t="shared" ref="F338:F401" si="43">IF(AND(Pay_Num&lt;&gt;"",Sched_Pay+Extra_Pay&lt;Beg_Bal),Sched_Pay+Extra_Pay,IF(Pay_Num&lt;&gt;"",Beg_Bal,""))</f>
        <v>0</v>
      </c>
      <c r="G338" s="4">
        <f t="shared" ref="G338:G401" si="44">IF(Pay_Num&lt;&gt;"",Total_Pay-Int,"")</f>
        <v>0</v>
      </c>
      <c r="H338" s="4">
        <f t="shared" si="39"/>
        <v>0</v>
      </c>
      <c r="I338" s="4">
        <f t="shared" ref="I338:I401" si="45">IF(AND(Pay_Num&lt;&gt;"",Sched_Pay+Extra_Pay&lt;Beg_Bal),Beg_Bal-Princ,IF(Pay_Num&lt;&gt;"",0,""))</f>
        <v>0</v>
      </c>
      <c r="J338" s="4">
        <f>SUM($H$18:$H338)</f>
        <v>237814.13672184906</v>
      </c>
    </row>
    <row r="339" spans="1:10">
      <c r="A339" s="7">
        <f>IF(Values_Entered,A338+1,"")</f>
        <v>322</v>
      </c>
      <c r="B339" s="6">
        <f t="shared" si="40"/>
        <v>54363</v>
      </c>
      <c r="C339" s="4">
        <f t="shared" ref="C339:C402" si="46">IF(Pay_Num&lt;&gt;"",I338,"")</f>
        <v>0</v>
      </c>
      <c r="D339" s="4">
        <f t="shared" si="41"/>
        <v>59908.922363410937</v>
      </c>
      <c r="E339" s="5">
        <f t="shared" si="42"/>
        <v>0</v>
      </c>
      <c r="F339" s="4">
        <f t="shared" si="43"/>
        <v>0</v>
      </c>
      <c r="G339" s="4">
        <f t="shared" si="44"/>
        <v>0</v>
      </c>
      <c r="H339" s="4">
        <f t="shared" ref="H339:H402" si="47">IF(Pay_Num&lt;&gt;"",Beg_Bal*Interest_Rate/Num_Pmt_Per_Year,"")</f>
        <v>0</v>
      </c>
      <c r="I339" s="4">
        <f t="shared" si="45"/>
        <v>0</v>
      </c>
      <c r="J339" s="4">
        <f>SUM($H$18:$H339)</f>
        <v>237814.13672184906</v>
      </c>
    </row>
    <row r="340" spans="1:10">
      <c r="A340" s="7">
        <f>IF(Values_Entered,A339+1,"")</f>
        <v>323</v>
      </c>
      <c r="B340" s="6">
        <f t="shared" si="40"/>
        <v>54393</v>
      </c>
      <c r="C340" s="4">
        <f t="shared" si="46"/>
        <v>0</v>
      </c>
      <c r="D340" s="4">
        <f t="shared" si="41"/>
        <v>59908.922363410937</v>
      </c>
      <c r="E340" s="5">
        <f t="shared" si="42"/>
        <v>0</v>
      </c>
      <c r="F340" s="4">
        <f t="shared" si="43"/>
        <v>0</v>
      </c>
      <c r="G340" s="4">
        <f t="shared" si="44"/>
        <v>0</v>
      </c>
      <c r="H340" s="4">
        <f t="shared" si="47"/>
        <v>0</v>
      </c>
      <c r="I340" s="4">
        <f t="shared" si="45"/>
        <v>0</v>
      </c>
      <c r="J340" s="4">
        <f>SUM($H$18:$H340)</f>
        <v>237814.13672184906</v>
      </c>
    </row>
    <row r="341" spans="1:10">
      <c r="A341" s="7">
        <f>IF(Values_Entered,A340+1,"")</f>
        <v>324</v>
      </c>
      <c r="B341" s="6">
        <f t="shared" si="40"/>
        <v>54424</v>
      </c>
      <c r="C341" s="4">
        <f t="shared" si="46"/>
        <v>0</v>
      </c>
      <c r="D341" s="4">
        <f t="shared" si="41"/>
        <v>59908.922363410937</v>
      </c>
      <c r="E341" s="5">
        <f t="shared" si="42"/>
        <v>0</v>
      </c>
      <c r="F341" s="4">
        <f t="shared" si="43"/>
        <v>0</v>
      </c>
      <c r="G341" s="4">
        <f t="shared" si="44"/>
        <v>0</v>
      </c>
      <c r="H341" s="4">
        <f t="shared" si="47"/>
        <v>0</v>
      </c>
      <c r="I341" s="4">
        <f t="shared" si="45"/>
        <v>0</v>
      </c>
      <c r="J341" s="4">
        <f>SUM($H$18:$H341)</f>
        <v>237814.13672184906</v>
      </c>
    </row>
    <row r="342" spans="1:10">
      <c r="A342" s="7">
        <f>IF(Values_Entered,A341+1,"")</f>
        <v>325</v>
      </c>
      <c r="B342" s="6">
        <f t="shared" si="40"/>
        <v>54455</v>
      </c>
      <c r="C342" s="4">
        <f t="shared" si="46"/>
        <v>0</v>
      </c>
      <c r="D342" s="4">
        <f t="shared" si="41"/>
        <v>59908.922363410937</v>
      </c>
      <c r="E342" s="5">
        <f t="shared" si="42"/>
        <v>0</v>
      </c>
      <c r="F342" s="4">
        <f t="shared" si="43"/>
        <v>0</v>
      </c>
      <c r="G342" s="4">
        <f t="shared" si="44"/>
        <v>0</v>
      </c>
      <c r="H342" s="4">
        <f t="shared" si="47"/>
        <v>0</v>
      </c>
      <c r="I342" s="4">
        <f t="shared" si="45"/>
        <v>0</v>
      </c>
      <c r="J342" s="4">
        <f>SUM($H$18:$H342)</f>
        <v>237814.13672184906</v>
      </c>
    </row>
    <row r="343" spans="1:10">
      <c r="A343" s="7">
        <f>IF(Values_Entered,A342+1,"")</f>
        <v>326</v>
      </c>
      <c r="B343" s="6">
        <f t="shared" si="40"/>
        <v>54483</v>
      </c>
      <c r="C343" s="4">
        <f t="shared" si="46"/>
        <v>0</v>
      </c>
      <c r="D343" s="4">
        <f t="shared" si="41"/>
        <v>59908.922363410937</v>
      </c>
      <c r="E343" s="5">
        <f t="shared" si="42"/>
        <v>0</v>
      </c>
      <c r="F343" s="4">
        <f t="shared" si="43"/>
        <v>0</v>
      </c>
      <c r="G343" s="4">
        <f t="shared" si="44"/>
        <v>0</v>
      </c>
      <c r="H343" s="4">
        <f t="shared" si="47"/>
        <v>0</v>
      </c>
      <c r="I343" s="4">
        <f t="shared" si="45"/>
        <v>0</v>
      </c>
      <c r="J343" s="4">
        <f>SUM($H$18:$H343)</f>
        <v>237814.13672184906</v>
      </c>
    </row>
    <row r="344" spans="1:10">
      <c r="A344" s="7">
        <f>IF(Values_Entered,A343+1,"")</f>
        <v>327</v>
      </c>
      <c r="B344" s="6">
        <f t="shared" si="40"/>
        <v>54514</v>
      </c>
      <c r="C344" s="4">
        <f t="shared" si="46"/>
        <v>0</v>
      </c>
      <c r="D344" s="4">
        <f t="shared" si="41"/>
        <v>59908.922363410937</v>
      </c>
      <c r="E344" s="5">
        <f t="shared" si="42"/>
        <v>0</v>
      </c>
      <c r="F344" s="4">
        <f t="shared" si="43"/>
        <v>0</v>
      </c>
      <c r="G344" s="4">
        <f t="shared" si="44"/>
        <v>0</v>
      </c>
      <c r="H344" s="4">
        <f t="shared" si="47"/>
        <v>0</v>
      </c>
      <c r="I344" s="4">
        <f t="shared" si="45"/>
        <v>0</v>
      </c>
      <c r="J344" s="4">
        <f>SUM($H$18:$H344)</f>
        <v>237814.13672184906</v>
      </c>
    </row>
    <row r="345" spans="1:10">
      <c r="A345" s="7">
        <f>IF(Values_Entered,A344+1,"")</f>
        <v>328</v>
      </c>
      <c r="B345" s="6">
        <f t="shared" si="40"/>
        <v>54544</v>
      </c>
      <c r="C345" s="4">
        <f t="shared" si="46"/>
        <v>0</v>
      </c>
      <c r="D345" s="4">
        <f t="shared" si="41"/>
        <v>59908.922363410937</v>
      </c>
      <c r="E345" s="5">
        <f t="shared" si="42"/>
        <v>0</v>
      </c>
      <c r="F345" s="4">
        <f t="shared" si="43"/>
        <v>0</v>
      </c>
      <c r="G345" s="4">
        <f t="shared" si="44"/>
        <v>0</v>
      </c>
      <c r="H345" s="4">
        <f t="shared" si="47"/>
        <v>0</v>
      </c>
      <c r="I345" s="4">
        <f t="shared" si="45"/>
        <v>0</v>
      </c>
      <c r="J345" s="4">
        <f>SUM($H$18:$H345)</f>
        <v>237814.13672184906</v>
      </c>
    </row>
    <row r="346" spans="1:10">
      <c r="A346" s="7">
        <f>IF(Values_Entered,A345+1,"")</f>
        <v>329</v>
      </c>
      <c r="B346" s="6">
        <f t="shared" si="40"/>
        <v>54575</v>
      </c>
      <c r="C346" s="4">
        <f t="shared" si="46"/>
        <v>0</v>
      </c>
      <c r="D346" s="4">
        <f t="shared" si="41"/>
        <v>59908.922363410937</v>
      </c>
      <c r="E346" s="5">
        <f t="shared" si="42"/>
        <v>0</v>
      </c>
      <c r="F346" s="4">
        <f t="shared" si="43"/>
        <v>0</v>
      </c>
      <c r="G346" s="4">
        <f t="shared" si="44"/>
        <v>0</v>
      </c>
      <c r="H346" s="4">
        <f t="shared" si="47"/>
        <v>0</v>
      </c>
      <c r="I346" s="4">
        <f t="shared" si="45"/>
        <v>0</v>
      </c>
      <c r="J346" s="4">
        <f>SUM($H$18:$H346)</f>
        <v>237814.13672184906</v>
      </c>
    </row>
    <row r="347" spans="1:10">
      <c r="A347" s="7">
        <f>IF(Values_Entered,A346+1,"")</f>
        <v>330</v>
      </c>
      <c r="B347" s="6">
        <f t="shared" si="40"/>
        <v>54605</v>
      </c>
      <c r="C347" s="4">
        <f t="shared" si="46"/>
        <v>0</v>
      </c>
      <c r="D347" s="4">
        <f t="shared" si="41"/>
        <v>59908.922363410937</v>
      </c>
      <c r="E347" s="5">
        <f t="shared" si="42"/>
        <v>0</v>
      </c>
      <c r="F347" s="4">
        <f t="shared" si="43"/>
        <v>0</v>
      </c>
      <c r="G347" s="4">
        <f t="shared" si="44"/>
        <v>0</v>
      </c>
      <c r="H347" s="4">
        <f t="shared" si="47"/>
        <v>0</v>
      </c>
      <c r="I347" s="4">
        <f t="shared" si="45"/>
        <v>0</v>
      </c>
      <c r="J347" s="4">
        <f>SUM($H$18:$H347)</f>
        <v>237814.13672184906</v>
      </c>
    </row>
    <row r="348" spans="1:10">
      <c r="A348" s="7">
        <f>IF(Values_Entered,A347+1,"")</f>
        <v>331</v>
      </c>
      <c r="B348" s="6">
        <f t="shared" si="40"/>
        <v>54636</v>
      </c>
      <c r="C348" s="4">
        <f t="shared" si="46"/>
        <v>0</v>
      </c>
      <c r="D348" s="4">
        <f t="shared" si="41"/>
        <v>59908.922363410937</v>
      </c>
      <c r="E348" s="5">
        <f t="shared" si="42"/>
        <v>0</v>
      </c>
      <c r="F348" s="4">
        <f t="shared" si="43"/>
        <v>0</v>
      </c>
      <c r="G348" s="4">
        <f t="shared" si="44"/>
        <v>0</v>
      </c>
      <c r="H348" s="4">
        <f t="shared" si="47"/>
        <v>0</v>
      </c>
      <c r="I348" s="4">
        <f t="shared" si="45"/>
        <v>0</v>
      </c>
      <c r="J348" s="4">
        <f>SUM($H$18:$H348)</f>
        <v>237814.13672184906</v>
      </c>
    </row>
    <row r="349" spans="1:10">
      <c r="A349" s="7">
        <f>IF(Values_Entered,A348+1,"")</f>
        <v>332</v>
      </c>
      <c r="B349" s="6">
        <f t="shared" si="40"/>
        <v>54667</v>
      </c>
      <c r="C349" s="4">
        <f t="shared" si="46"/>
        <v>0</v>
      </c>
      <c r="D349" s="4">
        <f t="shared" si="41"/>
        <v>59908.922363410937</v>
      </c>
      <c r="E349" s="5">
        <f t="shared" si="42"/>
        <v>0</v>
      </c>
      <c r="F349" s="4">
        <f t="shared" si="43"/>
        <v>0</v>
      </c>
      <c r="G349" s="4">
        <f t="shared" si="44"/>
        <v>0</v>
      </c>
      <c r="H349" s="4">
        <f t="shared" si="47"/>
        <v>0</v>
      </c>
      <c r="I349" s="4">
        <f t="shared" si="45"/>
        <v>0</v>
      </c>
      <c r="J349" s="4">
        <f>SUM($H$18:$H349)</f>
        <v>237814.13672184906</v>
      </c>
    </row>
    <row r="350" spans="1:10">
      <c r="A350" s="7">
        <f>IF(Values_Entered,A349+1,"")</f>
        <v>333</v>
      </c>
      <c r="B350" s="6">
        <f t="shared" si="40"/>
        <v>54697</v>
      </c>
      <c r="C350" s="4">
        <f t="shared" si="46"/>
        <v>0</v>
      </c>
      <c r="D350" s="4">
        <f t="shared" si="41"/>
        <v>59908.922363410937</v>
      </c>
      <c r="E350" s="5">
        <f t="shared" si="42"/>
        <v>0</v>
      </c>
      <c r="F350" s="4">
        <f t="shared" si="43"/>
        <v>0</v>
      </c>
      <c r="G350" s="4">
        <f t="shared" si="44"/>
        <v>0</v>
      </c>
      <c r="H350" s="4">
        <f t="shared" si="47"/>
        <v>0</v>
      </c>
      <c r="I350" s="4">
        <f t="shared" si="45"/>
        <v>0</v>
      </c>
      <c r="J350" s="4">
        <f>SUM($H$18:$H350)</f>
        <v>237814.13672184906</v>
      </c>
    </row>
    <row r="351" spans="1:10">
      <c r="A351" s="7">
        <f>IF(Values_Entered,A350+1,"")</f>
        <v>334</v>
      </c>
      <c r="B351" s="6">
        <f t="shared" si="40"/>
        <v>54728</v>
      </c>
      <c r="C351" s="4">
        <f t="shared" si="46"/>
        <v>0</v>
      </c>
      <c r="D351" s="4">
        <f t="shared" si="41"/>
        <v>59908.922363410937</v>
      </c>
      <c r="E351" s="5">
        <f t="shared" si="42"/>
        <v>0</v>
      </c>
      <c r="F351" s="4">
        <f t="shared" si="43"/>
        <v>0</v>
      </c>
      <c r="G351" s="4">
        <f t="shared" si="44"/>
        <v>0</v>
      </c>
      <c r="H351" s="4">
        <f t="shared" si="47"/>
        <v>0</v>
      </c>
      <c r="I351" s="4">
        <f t="shared" si="45"/>
        <v>0</v>
      </c>
      <c r="J351" s="4">
        <f>SUM($H$18:$H351)</f>
        <v>237814.13672184906</v>
      </c>
    </row>
    <row r="352" spans="1:10">
      <c r="A352" s="7">
        <f>IF(Values_Entered,A351+1,"")</f>
        <v>335</v>
      </c>
      <c r="B352" s="6">
        <f t="shared" si="40"/>
        <v>54758</v>
      </c>
      <c r="C352" s="4">
        <f t="shared" si="46"/>
        <v>0</v>
      </c>
      <c r="D352" s="4">
        <f t="shared" si="41"/>
        <v>59908.922363410937</v>
      </c>
      <c r="E352" s="5">
        <f t="shared" si="42"/>
        <v>0</v>
      </c>
      <c r="F352" s="4">
        <f t="shared" si="43"/>
        <v>0</v>
      </c>
      <c r="G352" s="4">
        <f t="shared" si="44"/>
        <v>0</v>
      </c>
      <c r="H352" s="4">
        <f t="shared" si="47"/>
        <v>0</v>
      </c>
      <c r="I352" s="4">
        <f t="shared" si="45"/>
        <v>0</v>
      </c>
      <c r="J352" s="4">
        <f>SUM($H$18:$H352)</f>
        <v>237814.13672184906</v>
      </c>
    </row>
    <row r="353" spans="1:10">
      <c r="A353" s="7">
        <f>IF(Values_Entered,A352+1,"")</f>
        <v>336</v>
      </c>
      <c r="B353" s="6">
        <f t="shared" si="40"/>
        <v>54789</v>
      </c>
      <c r="C353" s="4">
        <f t="shared" si="46"/>
        <v>0</v>
      </c>
      <c r="D353" s="4">
        <f t="shared" si="41"/>
        <v>59908.922363410937</v>
      </c>
      <c r="E353" s="5">
        <f t="shared" si="42"/>
        <v>0</v>
      </c>
      <c r="F353" s="4">
        <f t="shared" si="43"/>
        <v>0</v>
      </c>
      <c r="G353" s="4">
        <f t="shared" si="44"/>
        <v>0</v>
      </c>
      <c r="H353" s="4">
        <f t="shared" si="47"/>
        <v>0</v>
      </c>
      <c r="I353" s="4">
        <f t="shared" si="45"/>
        <v>0</v>
      </c>
      <c r="J353" s="4">
        <f>SUM($H$18:$H353)</f>
        <v>237814.13672184906</v>
      </c>
    </row>
    <row r="354" spans="1:10">
      <c r="A354" s="7">
        <f>IF(Values_Entered,A353+1,"")</f>
        <v>337</v>
      </c>
      <c r="B354" s="6">
        <f t="shared" si="40"/>
        <v>54820</v>
      </c>
      <c r="C354" s="4">
        <f t="shared" si="46"/>
        <v>0</v>
      </c>
      <c r="D354" s="4">
        <f t="shared" si="41"/>
        <v>59908.922363410937</v>
      </c>
      <c r="E354" s="5">
        <f t="shared" si="42"/>
        <v>0</v>
      </c>
      <c r="F354" s="4">
        <f t="shared" si="43"/>
        <v>0</v>
      </c>
      <c r="G354" s="4">
        <f t="shared" si="44"/>
        <v>0</v>
      </c>
      <c r="H354" s="4">
        <f t="shared" si="47"/>
        <v>0</v>
      </c>
      <c r="I354" s="4">
        <f t="shared" si="45"/>
        <v>0</v>
      </c>
      <c r="J354" s="4">
        <f>SUM($H$18:$H354)</f>
        <v>237814.13672184906</v>
      </c>
    </row>
    <row r="355" spans="1:10">
      <c r="A355" s="7">
        <f>IF(Values_Entered,A354+1,"")</f>
        <v>338</v>
      </c>
      <c r="B355" s="6">
        <f t="shared" si="40"/>
        <v>54848</v>
      </c>
      <c r="C355" s="4">
        <f t="shared" si="46"/>
        <v>0</v>
      </c>
      <c r="D355" s="4">
        <f t="shared" si="41"/>
        <v>59908.922363410937</v>
      </c>
      <c r="E355" s="5">
        <f t="shared" si="42"/>
        <v>0</v>
      </c>
      <c r="F355" s="4">
        <f t="shared" si="43"/>
        <v>0</v>
      </c>
      <c r="G355" s="4">
        <f t="shared" si="44"/>
        <v>0</v>
      </c>
      <c r="H355" s="4">
        <f t="shared" si="47"/>
        <v>0</v>
      </c>
      <c r="I355" s="4">
        <f t="shared" si="45"/>
        <v>0</v>
      </c>
      <c r="J355" s="4">
        <f>SUM($H$18:$H355)</f>
        <v>237814.13672184906</v>
      </c>
    </row>
    <row r="356" spans="1:10">
      <c r="A356" s="7">
        <f>IF(Values_Entered,A355+1,"")</f>
        <v>339</v>
      </c>
      <c r="B356" s="6">
        <f t="shared" si="40"/>
        <v>54879</v>
      </c>
      <c r="C356" s="4">
        <f t="shared" si="46"/>
        <v>0</v>
      </c>
      <c r="D356" s="4">
        <f t="shared" si="41"/>
        <v>59908.922363410937</v>
      </c>
      <c r="E356" s="5">
        <f t="shared" si="42"/>
        <v>0</v>
      </c>
      <c r="F356" s="4">
        <f t="shared" si="43"/>
        <v>0</v>
      </c>
      <c r="G356" s="4">
        <f t="shared" si="44"/>
        <v>0</v>
      </c>
      <c r="H356" s="4">
        <f t="shared" si="47"/>
        <v>0</v>
      </c>
      <c r="I356" s="4">
        <f t="shared" si="45"/>
        <v>0</v>
      </c>
      <c r="J356" s="4">
        <f>SUM($H$18:$H356)</f>
        <v>237814.13672184906</v>
      </c>
    </row>
    <row r="357" spans="1:10">
      <c r="A357" s="7">
        <f>IF(Values_Entered,A356+1,"")</f>
        <v>340</v>
      </c>
      <c r="B357" s="6">
        <f t="shared" si="40"/>
        <v>54909</v>
      </c>
      <c r="C357" s="4">
        <f t="shared" si="46"/>
        <v>0</v>
      </c>
      <c r="D357" s="4">
        <f t="shared" si="41"/>
        <v>59908.922363410937</v>
      </c>
      <c r="E357" s="5">
        <f t="shared" si="42"/>
        <v>0</v>
      </c>
      <c r="F357" s="4">
        <f t="shared" si="43"/>
        <v>0</v>
      </c>
      <c r="G357" s="4">
        <f t="shared" si="44"/>
        <v>0</v>
      </c>
      <c r="H357" s="4">
        <f t="shared" si="47"/>
        <v>0</v>
      </c>
      <c r="I357" s="4">
        <f t="shared" si="45"/>
        <v>0</v>
      </c>
      <c r="J357" s="4">
        <f>SUM($H$18:$H357)</f>
        <v>237814.13672184906</v>
      </c>
    </row>
    <row r="358" spans="1:10">
      <c r="A358" s="7">
        <f>IF(Values_Entered,A357+1,"")</f>
        <v>341</v>
      </c>
      <c r="B358" s="6">
        <f t="shared" si="40"/>
        <v>54940</v>
      </c>
      <c r="C358" s="4">
        <f t="shared" si="46"/>
        <v>0</v>
      </c>
      <c r="D358" s="4">
        <f t="shared" si="41"/>
        <v>59908.922363410937</v>
      </c>
      <c r="E358" s="5">
        <f t="shared" si="42"/>
        <v>0</v>
      </c>
      <c r="F358" s="4">
        <f t="shared" si="43"/>
        <v>0</v>
      </c>
      <c r="G358" s="4">
        <f t="shared" si="44"/>
        <v>0</v>
      </c>
      <c r="H358" s="4">
        <f t="shared" si="47"/>
        <v>0</v>
      </c>
      <c r="I358" s="4">
        <f t="shared" si="45"/>
        <v>0</v>
      </c>
      <c r="J358" s="4">
        <f>SUM($H$18:$H358)</f>
        <v>237814.13672184906</v>
      </c>
    </row>
    <row r="359" spans="1:10">
      <c r="A359" s="7">
        <f>IF(Values_Entered,A358+1,"")</f>
        <v>342</v>
      </c>
      <c r="B359" s="6">
        <f t="shared" si="40"/>
        <v>54970</v>
      </c>
      <c r="C359" s="4">
        <f t="shared" si="46"/>
        <v>0</v>
      </c>
      <c r="D359" s="4">
        <f t="shared" si="41"/>
        <v>59908.922363410937</v>
      </c>
      <c r="E359" s="5">
        <f t="shared" si="42"/>
        <v>0</v>
      </c>
      <c r="F359" s="4">
        <f t="shared" si="43"/>
        <v>0</v>
      </c>
      <c r="G359" s="4">
        <f t="shared" si="44"/>
        <v>0</v>
      </c>
      <c r="H359" s="4">
        <f t="shared" si="47"/>
        <v>0</v>
      </c>
      <c r="I359" s="4">
        <f t="shared" si="45"/>
        <v>0</v>
      </c>
      <c r="J359" s="4">
        <f>SUM($H$18:$H359)</f>
        <v>237814.13672184906</v>
      </c>
    </row>
    <row r="360" spans="1:10">
      <c r="A360" s="7">
        <f>IF(Values_Entered,A359+1,"")</f>
        <v>343</v>
      </c>
      <c r="B360" s="6">
        <f t="shared" si="40"/>
        <v>55001</v>
      </c>
      <c r="C360" s="4">
        <f t="shared" si="46"/>
        <v>0</v>
      </c>
      <c r="D360" s="4">
        <f t="shared" si="41"/>
        <v>59908.922363410937</v>
      </c>
      <c r="E360" s="5">
        <f t="shared" si="42"/>
        <v>0</v>
      </c>
      <c r="F360" s="4">
        <f t="shared" si="43"/>
        <v>0</v>
      </c>
      <c r="G360" s="4">
        <f t="shared" si="44"/>
        <v>0</v>
      </c>
      <c r="H360" s="4">
        <f t="shared" si="47"/>
        <v>0</v>
      </c>
      <c r="I360" s="4">
        <f t="shared" si="45"/>
        <v>0</v>
      </c>
      <c r="J360" s="4">
        <f>SUM($H$18:$H360)</f>
        <v>237814.13672184906</v>
      </c>
    </row>
    <row r="361" spans="1:10">
      <c r="A361" s="7">
        <f>IF(Values_Entered,A360+1,"")</f>
        <v>344</v>
      </c>
      <c r="B361" s="6">
        <f t="shared" si="40"/>
        <v>55032</v>
      </c>
      <c r="C361" s="4">
        <f t="shared" si="46"/>
        <v>0</v>
      </c>
      <c r="D361" s="4">
        <f t="shared" si="41"/>
        <v>59908.922363410937</v>
      </c>
      <c r="E361" s="5">
        <f t="shared" si="42"/>
        <v>0</v>
      </c>
      <c r="F361" s="4">
        <f t="shared" si="43"/>
        <v>0</v>
      </c>
      <c r="G361" s="4">
        <f t="shared" si="44"/>
        <v>0</v>
      </c>
      <c r="H361" s="4">
        <f t="shared" si="47"/>
        <v>0</v>
      </c>
      <c r="I361" s="4">
        <f t="shared" si="45"/>
        <v>0</v>
      </c>
      <c r="J361" s="4">
        <f>SUM($H$18:$H361)</f>
        <v>237814.13672184906</v>
      </c>
    </row>
    <row r="362" spans="1:10">
      <c r="A362" s="7">
        <f>IF(Values_Entered,A361+1,"")</f>
        <v>345</v>
      </c>
      <c r="B362" s="6">
        <f t="shared" si="40"/>
        <v>55062</v>
      </c>
      <c r="C362" s="4">
        <f t="shared" si="46"/>
        <v>0</v>
      </c>
      <c r="D362" s="4">
        <f t="shared" si="41"/>
        <v>59908.922363410937</v>
      </c>
      <c r="E362" s="5">
        <f t="shared" si="42"/>
        <v>0</v>
      </c>
      <c r="F362" s="4">
        <f t="shared" si="43"/>
        <v>0</v>
      </c>
      <c r="G362" s="4">
        <f t="shared" si="44"/>
        <v>0</v>
      </c>
      <c r="H362" s="4">
        <f t="shared" si="47"/>
        <v>0</v>
      </c>
      <c r="I362" s="4">
        <f t="shared" si="45"/>
        <v>0</v>
      </c>
      <c r="J362" s="4">
        <f>SUM($H$18:$H362)</f>
        <v>237814.13672184906</v>
      </c>
    </row>
    <row r="363" spans="1:10">
      <c r="A363" s="7">
        <f>IF(Values_Entered,A362+1,"")</f>
        <v>346</v>
      </c>
      <c r="B363" s="6">
        <f t="shared" si="40"/>
        <v>55093</v>
      </c>
      <c r="C363" s="4">
        <f t="shared" si="46"/>
        <v>0</v>
      </c>
      <c r="D363" s="4">
        <f t="shared" si="41"/>
        <v>59908.922363410937</v>
      </c>
      <c r="E363" s="5">
        <f t="shared" si="42"/>
        <v>0</v>
      </c>
      <c r="F363" s="4">
        <f t="shared" si="43"/>
        <v>0</v>
      </c>
      <c r="G363" s="4">
        <f t="shared" si="44"/>
        <v>0</v>
      </c>
      <c r="H363" s="4">
        <f t="shared" si="47"/>
        <v>0</v>
      </c>
      <c r="I363" s="4">
        <f t="shared" si="45"/>
        <v>0</v>
      </c>
      <c r="J363" s="4">
        <f>SUM($H$18:$H363)</f>
        <v>237814.13672184906</v>
      </c>
    </row>
    <row r="364" spans="1:10">
      <c r="A364" s="7">
        <f>IF(Values_Entered,A363+1,"")</f>
        <v>347</v>
      </c>
      <c r="B364" s="6">
        <f t="shared" si="40"/>
        <v>55123</v>
      </c>
      <c r="C364" s="4">
        <f t="shared" si="46"/>
        <v>0</v>
      </c>
      <c r="D364" s="4">
        <f t="shared" si="41"/>
        <v>59908.922363410937</v>
      </c>
      <c r="E364" s="5">
        <f t="shared" si="42"/>
        <v>0</v>
      </c>
      <c r="F364" s="4">
        <f t="shared" si="43"/>
        <v>0</v>
      </c>
      <c r="G364" s="4">
        <f t="shared" si="44"/>
        <v>0</v>
      </c>
      <c r="H364" s="4">
        <f t="shared" si="47"/>
        <v>0</v>
      </c>
      <c r="I364" s="4">
        <f t="shared" si="45"/>
        <v>0</v>
      </c>
      <c r="J364" s="4">
        <f>SUM($H$18:$H364)</f>
        <v>237814.13672184906</v>
      </c>
    </row>
    <row r="365" spans="1:10">
      <c r="A365" s="7">
        <f>IF(Values_Entered,A364+1,"")</f>
        <v>348</v>
      </c>
      <c r="B365" s="6">
        <f t="shared" si="40"/>
        <v>55154</v>
      </c>
      <c r="C365" s="4">
        <f t="shared" si="46"/>
        <v>0</v>
      </c>
      <c r="D365" s="4">
        <f t="shared" si="41"/>
        <v>59908.922363410937</v>
      </c>
      <c r="E365" s="5">
        <f t="shared" si="42"/>
        <v>0</v>
      </c>
      <c r="F365" s="4">
        <f t="shared" si="43"/>
        <v>0</v>
      </c>
      <c r="G365" s="4">
        <f t="shared" si="44"/>
        <v>0</v>
      </c>
      <c r="H365" s="4">
        <f t="shared" si="47"/>
        <v>0</v>
      </c>
      <c r="I365" s="4">
        <f t="shared" si="45"/>
        <v>0</v>
      </c>
      <c r="J365" s="4">
        <f>SUM($H$18:$H365)</f>
        <v>237814.13672184906</v>
      </c>
    </row>
    <row r="366" spans="1:10">
      <c r="A366" s="7">
        <f>IF(Values_Entered,A365+1,"")</f>
        <v>349</v>
      </c>
      <c r="B366" s="6">
        <f t="shared" si="40"/>
        <v>55185</v>
      </c>
      <c r="C366" s="4">
        <f t="shared" si="46"/>
        <v>0</v>
      </c>
      <c r="D366" s="4">
        <f t="shared" si="41"/>
        <v>59908.922363410937</v>
      </c>
      <c r="E366" s="5">
        <f t="shared" si="42"/>
        <v>0</v>
      </c>
      <c r="F366" s="4">
        <f t="shared" si="43"/>
        <v>0</v>
      </c>
      <c r="G366" s="4">
        <f t="shared" si="44"/>
        <v>0</v>
      </c>
      <c r="H366" s="4">
        <f t="shared" si="47"/>
        <v>0</v>
      </c>
      <c r="I366" s="4">
        <f t="shared" si="45"/>
        <v>0</v>
      </c>
      <c r="J366" s="4">
        <f>SUM($H$18:$H366)</f>
        <v>237814.13672184906</v>
      </c>
    </row>
    <row r="367" spans="1:10">
      <c r="A367" s="7">
        <f>IF(Values_Entered,A366+1,"")</f>
        <v>350</v>
      </c>
      <c r="B367" s="6">
        <f t="shared" si="40"/>
        <v>55213</v>
      </c>
      <c r="C367" s="4">
        <f t="shared" si="46"/>
        <v>0</v>
      </c>
      <c r="D367" s="4">
        <f t="shared" si="41"/>
        <v>59908.922363410937</v>
      </c>
      <c r="E367" s="5">
        <f t="shared" si="42"/>
        <v>0</v>
      </c>
      <c r="F367" s="4">
        <f t="shared" si="43"/>
        <v>0</v>
      </c>
      <c r="G367" s="4">
        <f t="shared" si="44"/>
        <v>0</v>
      </c>
      <c r="H367" s="4">
        <f t="shared" si="47"/>
        <v>0</v>
      </c>
      <c r="I367" s="4">
        <f t="shared" si="45"/>
        <v>0</v>
      </c>
      <c r="J367" s="4">
        <f>SUM($H$18:$H367)</f>
        <v>237814.13672184906</v>
      </c>
    </row>
    <row r="368" spans="1:10">
      <c r="A368" s="7">
        <f>IF(Values_Entered,A367+1,"")</f>
        <v>351</v>
      </c>
      <c r="B368" s="6">
        <f t="shared" si="40"/>
        <v>55244</v>
      </c>
      <c r="C368" s="4">
        <f t="shared" si="46"/>
        <v>0</v>
      </c>
      <c r="D368" s="4">
        <f t="shared" si="41"/>
        <v>59908.922363410937</v>
      </c>
      <c r="E368" s="5">
        <f t="shared" si="42"/>
        <v>0</v>
      </c>
      <c r="F368" s="4">
        <f t="shared" si="43"/>
        <v>0</v>
      </c>
      <c r="G368" s="4">
        <f t="shared" si="44"/>
        <v>0</v>
      </c>
      <c r="H368" s="4">
        <f t="shared" si="47"/>
        <v>0</v>
      </c>
      <c r="I368" s="4">
        <f t="shared" si="45"/>
        <v>0</v>
      </c>
      <c r="J368" s="4">
        <f>SUM($H$18:$H368)</f>
        <v>237814.13672184906</v>
      </c>
    </row>
    <row r="369" spans="1:10">
      <c r="A369" s="7">
        <f>IF(Values_Entered,A368+1,"")</f>
        <v>352</v>
      </c>
      <c r="B369" s="6">
        <f t="shared" si="40"/>
        <v>55274</v>
      </c>
      <c r="C369" s="4">
        <f t="shared" si="46"/>
        <v>0</v>
      </c>
      <c r="D369" s="4">
        <f t="shared" si="41"/>
        <v>59908.922363410937</v>
      </c>
      <c r="E369" s="5">
        <f t="shared" si="42"/>
        <v>0</v>
      </c>
      <c r="F369" s="4">
        <f t="shared" si="43"/>
        <v>0</v>
      </c>
      <c r="G369" s="4">
        <f t="shared" si="44"/>
        <v>0</v>
      </c>
      <c r="H369" s="4">
        <f t="shared" si="47"/>
        <v>0</v>
      </c>
      <c r="I369" s="4">
        <f t="shared" si="45"/>
        <v>0</v>
      </c>
      <c r="J369" s="4">
        <f>SUM($H$18:$H369)</f>
        <v>237814.13672184906</v>
      </c>
    </row>
    <row r="370" spans="1:10">
      <c r="A370" s="7">
        <f>IF(Values_Entered,A369+1,"")</f>
        <v>353</v>
      </c>
      <c r="B370" s="6">
        <f t="shared" si="40"/>
        <v>55305</v>
      </c>
      <c r="C370" s="4">
        <f t="shared" si="46"/>
        <v>0</v>
      </c>
      <c r="D370" s="4">
        <f t="shared" si="41"/>
        <v>59908.922363410937</v>
      </c>
      <c r="E370" s="5">
        <f t="shared" si="42"/>
        <v>0</v>
      </c>
      <c r="F370" s="4">
        <f t="shared" si="43"/>
        <v>0</v>
      </c>
      <c r="G370" s="4">
        <f t="shared" si="44"/>
        <v>0</v>
      </c>
      <c r="H370" s="4">
        <f t="shared" si="47"/>
        <v>0</v>
      </c>
      <c r="I370" s="4">
        <f t="shared" si="45"/>
        <v>0</v>
      </c>
      <c r="J370" s="4">
        <f>SUM($H$18:$H370)</f>
        <v>237814.13672184906</v>
      </c>
    </row>
    <row r="371" spans="1:10">
      <c r="A371" s="7">
        <f>IF(Values_Entered,A370+1,"")</f>
        <v>354</v>
      </c>
      <c r="B371" s="6">
        <f t="shared" si="40"/>
        <v>55335</v>
      </c>
      <c r="C371" s="4">
        <f t="shared" si="46"/>
        <v>0</v>
      </c>
      <c r="D371" s="4">
        <f t="shared" si="41"/>
        <v>59908.922363410937</v>
      </c>
      <c r="E371" s="5">
        <f t="shared" si="42"/>
        <v>0</v>
      </c>
      <c r="F371" s="4">
        <f t="shared" si="43"/>
        <v>0</v>
      </c>
      <c r="G371" s="4">
        <f t="shared" si="44"/>
        <v>0</v>
      </c>
      <c r="H371" s="4">
        <f t="shared" si="47"/>
        <v>0</v>
      </c>
      <c r="I371" s="4">
        <f t="shared" si="45"/>
        <v>0</v>
      </c>
      <c r="J371" s="4">
        <f>SUM($H$18:$H371)</f>
        <v>237814.13672184906</v>
      </c>
    </row>
    <row r="372" spans="1:10">
      <c r="A372" s="7">
        <f>IF(Values_Entered,A371+1,"")</f>
        <v>355</v>
      </c>
      <c r="B372" s="6">
        <f t="shared" si="40"/>
        <v>55366</v>
      </c>
      <c r="C372" s="4">
        <f t="shared" si="46"/>
        <v>0</v>
      </c>
      <c r="D372" s="4">
        <f t="shared" si="41"/>
        <v>59908.922363410937</v>
      </c>
      <c r="E372" s="5">
        <f t="shared" si="42"/>
        <v>0</v>
      </c>
      <c r="F372" s="4">
        <f t="shared" si="43"/>
        <v>0</v>
      </c>
      <c r="G372" s="4">
        <f t="shared" si="44"/>
        <v>0</v>
      </c>
      <c r="H372" s="4">
        <f t="shared" si="47"/>
        <v>0</v>
      </c>
      <c r="I372" s="4">
        <f t="shared" si="45"/>
        <v>0</v>
      </c>
      <c r="J372" s="4">
        <f>SUM($H$18:$H372)</f>
        <v>237814.13672184906</v>
      </c>
    </row>
    <row r="373" spans="1:10">
      <c r="A373" s="7">
        <f>IF(Values_Entered,A372+1,"")</f>
        <v>356</v>
      </c>
      <c r="B373" s="6">
        <f t="shared" si="40"/>
        <v>55397</v>
      </c>
      <c r="C373" s="4">
        <f t="shared" si="46"/>
        <v>0</v>
      </c>
      <c r="D373" s="4">
        <f t="shared" si="41"/>
        <v>59908.922363410937</v>
      </c>
      <c r="E373" s="5">
        <f t="shared" si="42"/>
        <v>0</v>
      </c>
      <c r="F373" s="4">
        <f t="shared" si="43"/>
        <v>0</v>
      </c>
      <c r="G373" s="4">
        <f t="shared" si="44"/>
        <v>0</v>
      </c>
      <c r="H373" s="4">
        <f t="shared" si="47"/>
        <v>0</v>
      </c>
      <c r="I373" s="4">
        <f t="shared" si="45"/>
        <v>0</v>
      </c>
      <c r="J373" s="4">
        <f>SUM($H$18:$H373)</f>
        <v>237814.13672184906</v>
      </c>
    </row>
    <row r="374" spans="1:10">
      <c r="A374" s="7">
        <f>IF(Values_Entered,A373+1,"")</f>
        <v>357</v>
      </c>
      <c r="B374" s="6">
        <f t="shared" si="40"/>
        <v>55427</v>
      </c>
      <c r="C374" s="4">
        <f t="shared" si="46"/>
        <v>0</v>
      </c>
      <c r="D374" s="4">
        <f t="shared" si="41"/>
        <v>59908.922363410937</v>
      </c>
      <c r="E374" s="5">
        <f t="shared" si="42"/>
        <v>0</v>
      </c>
      <c r="F374" s="4">
        <f t="shared" si="43"/>
        <v>0</v>
      </c>
      <c r="G374" s="4">
        <f t="shared" si="44"/>
        <v>0</v>
      </c>
      <c r="H374" s="4">
        <f t="shared" si="47"/>
        <v>0</v>
      </c>
      <c r="I374" s="4">
        <f t="shared" si="45"/>
        <v>0</v>
      </c>
      <c r="J374" s="4">
        <f>SUM($H$18:$H374)</f>
        <v>237814.13672184906</v>
      </c>
    </row>
    <row r="375" spans="1:10">
      <c r="A375" s="7">
        <f>IF(Values_Entered,A374+1,"")</f>
        <v>358</v>
      </c>
      <c r="B375" s="6">
        <f t="shared" si="40"/>
        <v>55458</v>
      </c>
      <c r="C375" s="4">
        <f t="shared" si="46"/>
        <v>0</v>
      </c>
      <c r="D375" s="4">
        <f t="shared" si="41"/>
        <v>59908.922363410937</v>
      </c>
      <c r="E375" s="5">
        <f t="shared" si="42"/>
        <v>0</v>
      </c>
      <c r="F375" s="4">
        <f t="shared" si="43"/>
        <v>0</v>
      </c>
      <c r="G375" s="4">
        <f t="shared" si="44"/>
        <v>0</v>
      </c>
      <c r="H375" s="4">
        <f t="shared" si="47"/>
        <v>0</v>
      </c>
      <c r="I375" s="4">
        <f t="shared" si="45"/>
        <v>0</v>
      </c>
      <c r="J375" s="4">
        <f>SUM($H$18:$H375)</f>
        <v>237814.13672184906</v>
      </c>
    </row>
    <row r="376" spans="1:10">
      <c r="A376" s="7">
        <f>IF(Values_Entered,A375+1,"")</f>
        <v>359</v>
      </c>
      <c r="B376" s="6">
        <f t="shared" si="40"/>
        <v>55488</v>
      </c>
      <c r="C376" s="4">
        <f t="shared" si="46"/>
        <v>0</v>
      </c>
      <c r="D376" s="4">
        <f t="shared" si="41"/>
        <v>59908.922363410937</v>
      </c>
      <c r="E376" s="5">
        <f t="shared" si="42"/>
        <v>0</v>
      </c>
      <c r="F376" s="4">
        <f t="shared" si="43"/>
        <v>0</v>
      </c>
      <c r="G376" s="4">
        <f t="shared" si="44"/>
        <v>0</v>
      </c>
      <c r="H376" s="4">
        <f t="shared" si="47"/>
        <v>0</v>
      </c>
      <c r="I376" s="4">
        <f t="shared" si="45"/>
        <v>0</v>
      </c>
      <c r="J376" s="4">
        <f>SUM($H$18:$H376)</f>
        <v>237814.13672184906</v>
      </c>
    </row>
    <row r="377" spans="1:10">
      <c r="A377" s="7">
        <f>IF(Values_Entered,A376+1,"")</f>
        <v>360</v>
      </c>
      <c r="B377" s="6">
        <f t="shared" si="40"/>
        <v>55519</v>
      </c>
      <c r="C377" s="4">
        <f t="shared" si="46"/>
        <v>0</v>
      </c>
      <c r="D377" s="4">
        <f t="shared" si="41"/>
        <v>59908.922363410937</v>
      </c>
      <c r="E377" s="5">
        <f t="shared" si="42"/>
        <v>0</v>
      </c>
      <c r="F377" s="4">
        <f t="shared" si="43"/>
        <v>0</v>
      </c>
      <c r="G377" s="4">
        <f t="shared" si="44"/>
        <v>0</v>
      </c>
      <c r="H377" s="4">
        <f t="shared" si="47"/>
        <v>0</v>
      </c>
      <c r="I377" s="4">
        <f t="shared" si="45"/>
        <v>0</v>
      </c>
      <c r="J377" s="4">
        <f>SUM($H$18:$H377)</f>
        <v>237814.13672184906</v>
      </c>
    </row>
    <row r="378" spans="1:10">
      <c r="A378" s="7">
        <f>IF(Values_Entered,A377+1,"")</f>
        <v>361</v>
      </c>
      <c r="B378" s="6">
        <f t="shared" si="40"/>
        <v>55550</v>
      </c>
      <c r="C378" s="4">
        <f t="shared" si="46"/>
        <v>0</v>
      </c>
      <c r="D378" s="4">
        <f t="shared" si="41"/>
        <v>59908.922363410937</v>
      </c>
      <c r="E378" s="5">
        <f t="shared" si="42"/>
        <v>0</v>
      </c>
      <c r="F378" s="4">
        <f t="shared" si="43"/>
        <v>0</v>
      </c>
      <c r="G378" s="4">
        <f t="shared" si="44"/>
        <v>0</v>
      </c>
      <c r="H378" s="4">
        <f t="shared" si="47"/>
        <v>0</v>
      </c>
      <c r="I378" s="4">
        <f t="shared" si="45"/>
        <v>0</v>
      </c>
      <c r="J378" s="4">
        <f>SUM($H$18:$H378)</f>
        <v>237814.13672184906</v>
      </c>
    </row>
    <row r="379" spans="1:10">
      <c r="A379" s="7">
        <f>IF(Values_Entered,A378+1,"")</f>
        <v>362</v>
      </c>
      <c r="B379" s="6">
        <f t="shared" si="40"/>
        <v>55579</v>
      </c>
      <c r="C379" s="4">
        <f t="shared" si="46"/>
        <v>0</v>
      </c>
      <c r="D379" s="4">
        <f t="shared" si="41"/>
        <v>59908.922363410937</v>
      </c>
      <c r="E379" s="5">
        <f t="shared" si="42"/>
        <v>0</v>
      </c>
      <c r="F379" s="4">
        <f t="shared" si="43"/>
        <v>0</v>
      </c>
      <c r="G379" s="4">
        <f t="shared" si="44"/>
        <v>0</v>
      </c>
      <c r="H379" s="4">
        <f t="shared" si="47"/>
        <v>0</v>
      </c>
      <c r="I379" s="4">
        <f t="shared" si="45"/>
        <v>0</v>
      </c>
      <c r="J379" s="4">
        <f>SUM($H$18:$H379)</f>
        <v>237814.13672184906</v>
      </c>
    </row>
    <row r="380" spans="1:10">
      <c r="A380" s="7">
        <f>IF(Values_Entered,A379+1,"")</f>
        <v>363</v>
      </c>
      <c r="B380" s="6">
        <f t="shared" si="40"/>
        <v>55610</v>
      </c>
      <c r="C380" s="4">
        <f t="shared" si="46"/>
        <v>0</v>
      </c>
      <c r="D380" s="4">
        <f t="shared" si="41"/>
        <v>59908.922363410937</v>
      </c>
      <c r="E380" s="5">
        <f t="shared" si="42"/>
        <v>0</v>
      </c>
      <c r="F380" s="4">
        <f t="shared" si="43"/>
        <v>0</v>
      </c>
      <c r="G380" s="4">
        <f t="shared" si="44"/>
        <v>0</v>
      </c>
      <c r="H380" s="4">
        <f t="shared" si="47"/>
        <v>0</v>
      </c>
      <c r="I380" s="4">
        <f t="shared" si="45"/>
        <v>0</v>
      </c>
      <c r="J380" s="4">
        <f>SUM($H$18:$H380)</f>
        <v>237814.13672184906</v>
      </c>
    </row>
    <row r="381" spans="1:10">
      <c r="A381" s="7">
        <f>IF(Values_Entered,A380+1,"")</f>
        <v>364</v>
      </c>
      <c r="B381" s="6">
        <f t="shared" si="40"/>
        <v>55640</v>
      </c>
      <c r="C381" s="4">
        <f t="shared" si="46"/>
        <v>0</v>
      </c>
      <c r="D381" s="4">
        <f t="shared" si="41"/>
        <v>59908.922363410937</v>
      </c>
      <c r="E381" s="5">
        <f t="shared" si="42"/>
        <v>0</v>
      </c>
      <c r="F381" s="4">
        <f t="shared" si="43"/>
        <v>0</v>
      </c>
      <c r="G381" s="4">
        <f t="shared" si="44"/>
        <v>0</v>
      </c>
      <c r="H381" s="4">
        <f t="shared" si="47"/>
        <v>0</v>
      </c>
      <c r="I381" s="4">
        <f t="shared" si="45"/>
        <v>0</v>
      </c>
      <c r="J381" s="4">
        <f>SUM($H$18:$H381)</f>
        <v>237814.13672184906</v>
      </c>
    </row>
    <row r="382" spans="1:10">
      <c r="A382" s="7">
        <f>IF(Values_Entered,A381+1,"")</f>
        <v>365</v>
      </c>
      <c r="B382" s="6">
        <f t="shared" si="40"/>
        <v>55671</v>
      </c>
      <c r="C382" s="4">
        <f t="shared" si="46"/>
        <v>0</v>
      </c>
      <c r="D382" s="4">
        <f t="shared" si="41"/>
        <v>59908.922363410937</v>
      </c>
      <c r="E382" s="5">
        <f t="shared" si="42"/>
        <v>0</v>
      </c>
      <c r="F382" s="4">
        <f t="shared" si="43"/>
        <v>0</v>
      </c>
      <c r="G382" s="4">
        <f t="shared" si="44"/>
        <v>0</v>
      </c>
      <c r="H382" s="4">
        <f t="shared" si="47"/>
        <v>0</v>
      </c>
      <c r="I382" s="4">
        <f t="shared" si="45"/>
        <v>0</v>
      </c>
      <c r="J382" s="4">
        <f>SUM($H$18:$H382)</f>
        <v>237814.13672184906</v>
      </c>
    </row>
    <row r="383" spans="1:10">
      <c r="A383" s="7">
        <f>IF(Values_Entered,A382+1,"")</f>
        <v>366</v>
      </c>
      <c r="B383" s="6">
        <f t="shared" si="40"/>
        <v>55701</v>
      </c>
      <c r="C383" s="4">
        <f t="shared" si="46"/>
        <v>0</v>
      </c>
      <c r="D383" s="4">
        <f t="shared" si="41"/>
        <v>59908.922363410937</v>
      </c>
      <c r="E383" s="5">
        <f t="shared" si="42"/>
        <v>0</v>
      </c>
      <c r="F383" s="4">
        <f t="shared" si="43"/>
        <v>0</v>
      </c>
      <c r="G383" s="4">
        <f t="shared" si="44"/>
        <v>0</v>
      </c>
      <c r="H383" s="4">
        <f t="shared" si="47"/>
        <v>0</v>
      </c>
      <c r="I383" s="4">
        <f t="shared" si="45"/>
        <v>0</v>
      </c>
      <c r="J383" s="4">
        <f>SUM($H$18:$H383)</f>
        <v>237814.13672184906</v>
      </c>
    </row>
    <row r="384" spans="1:10">
      <c r="A384" s="7">
        <f>IF(Values_Entered,A383+1,"")</f>
        <v>367</v>
      </c>
      <c r="B384" s="6">
        <f t="shared" si="40"/>
        <v>55732</v>
      </c>
      <c r="C384" s="4">
        <f t="shared" si="46"/>
        <v>0</v>
      </c>
      <c r="D384" s="4">
        <f t="shared" si="41"/>
        <v>59908.922363410937</v>
      </c>
      <c r="E384" s="5">
        <f t="shared" si="42"/>
        <v>0</v>
      </c>
      <c r="F384" s="4">
        <f t="shared" si="43"/>
        <v>0</v>
      </c>
      <c r="G384" s="4">
        <f t="shared" si="44"/>
        <v>0</v>
      </c>
      <c r="H384" s="4">
        <f t="shared" si="47"/>
        <v>0</v>
      </c>
      <c r="I384" s="4">
        <f t="shared" si="45"/>
        <v>0</v>
      </c>
      <c r="J384" s="4">
        <f>SUM($H$18:$H384)</f>
        <v>237814.13672184906</v>
      </c>
    </row>
    <row r="385" spans="1:10">
      <c r="A385" s="7">
        <f>IF(Values_Entered,A384+1,"")</f>
        <v>368</v>
      </c>
      <c r="B385" s="6">
        <f t="shared" si="40"/>
        <v>55763</v>
      </c>
      <c r="C385" s="4">
        <f t="shared" si="46"/>
        <v>0</v>
      </c>
      <c r="D385" s="4">
        <f t="shared" si="41"/>
        <v>59908.922363410937</v>
      </c>
      <c r="E385" s="5">
        <f t="shared" si="42"/>
        <v>0</v>
      </c>
      <c r="F385" s="4">
        <f t="shared" si="43"/>
        <v>0</v>
      </c>
      <c r="G385" s="4">
        <f t="shared" si="44"/>
        <v>0</v>
      </c>
      <c r="H385" s="4">
        <f t="shared" si="47"/>
        <v>0</v>
      </c>
      <c r="I385" s="4">
        <f t="shared" si="45"/>
        <v>0</v>
      </c>
      <c r="J385" s="4">
        <f>SUM($H$18:$H385)</f>
        <v>237814.13672184906</v>
      </c>
    </row>
    <row r="386" spans="1:10">
      <c r="A386" s="7">
        <f>IF(Values_Entered,A385+1,"")</f>
        <v>369</v>
      </c>
      <c r="B386" s="6">
        <f t="shared" si="40"/>
        <v>55793</v>
      </c>
      <c r="C386" s="4">
        <f t="shared" si="46"/>
        <v>0</v>
      </c>
      <c r="D386" s="4">
        <f t="shared" si="41"/>
        <v>59908.922363410937</v>
      </c>
      <c r="E386" s="5">
        <f t="shared" si="42"/>
        <v>0</v>
      </c>
      <c r="F386" s="4">
        <f t="shared" si="43"/>
        <v>0</v>
      </c>
      <c r="G386" s="4">
        <f t="shared" si="44"/>
        <v>0</v>
      </c>
      <c r="H386" s="4">
        <f t="shared" si="47"/>
        <v>0</v>
      </c>
      <c r="I386" s="4">
        <f t="shared" si="45"/>
        <v>0</v>
      </c>
      <c r="J386" s="4">
        <f>SUM($H$18:$H386)</f>
        <v>237814.13672184906</v>
      </c>
    </row>
    <row r="387" spans="1:10">
      <c r="A387" s="7">
        <f>IF(Values_Entered,A386+1,"")</f>
        <v>370</v>
      </c>
      <c r="B387" s="6">
        <f t="shared" si="40"/>
        <v>55824</v>
      </c>
      <c r="C387" s="4">
        <f t="shared" si="46"/>
        <v>0</v>
      </c>
      <c r="D387" s="4">
        <f t="shared" si="41"/>
        <v>59908.922363410937</v>
      </c>
      <c r="E387" s="5">
        <f t="shared" si="42"/>
        <v>0</v>
      </c>
      <c r="F387" s="4">
        <f t="shared" si="43"/>
        <v>0</v>
      </c>
      <c r="G387" s="4">
        <f t="shared" si="44"/>
        <v>0</v>
      </c>
      <c r="H387" s="4">
        <f t="shared" si="47"/>
        <v>0</v>
      </c>
      <c r="I387" s="4">
        <f t="shared" si="45"/>
        <v>0</v>
      </c>
      <c r="J387" s="4">
        <f>SUM($H$18:$H387)</f>
        <v>237814.13672184906</v>
      </c>
    </row>
    <row r="388" spans="1:10">
      <c r="A388" s="7">
        <f>IF(Values_Entered,A387+1,"")</f>
        <v>371</v>
      </c>
      <c r="B388" s="6">
        <f t="shared" si="40"/>
        <v>55854</v>
      </c>
      <c r="C388" s="4">
        <f t="shared" si="46"/>
        <v>0</v>
      </c>
      <c r="D388" s="4">
        <f t="shared" si="41"/>
        <v>59908.922363410937</v>
      </c>
      <c r="E388" s="5">
        <f t="shared" si="42"/>
        <v>0</v>
      </c>
      <c r="F388" s="4">
        <f t="shared" si="43"/>
        <v>0</v>
      </c>
      <c r="G388" s="4">
        <f t="shared" si="44"/>
        <v>0</v>
      </c>
      <c r="H388" s="4">
        <f t="shared" si="47"/>
        <v>0</v>
      </c>
      <c r="I388" s="4">
        <f t="shared" si="45"/>
        <v>0</v>
      </c>
      <c r="J388" s="4">
        <f>SUM($H$18:$H388)</f>
        <v>237814.13672184906</v>
      </c>
    </row>
    <row r="389" spans="1:10">
      <c r="A389" s="7">
        <f>IF(Values_Entered,A388+1,"")</f>
        <v>372</v>
      </c>
      <c r="B389" s="6">
        <f t="shared" si="40"/>
        <v>55885</v>
      </c>
      <c r="C389" s="4">
        <f t="shared" si="46"/>
        <v>0</v>
      </c>
      <c r="D389" s="4">
        <f t="shared" si="41"/>
        <v>59908.922363410937</v>
      </c>
      <c r="E389" s="5">
        <f t="shared" si="42"/>
        <v>0</v>
      </c>
      <c r="F389" s="4">
        <f t="shared" si="43"/>
        <v>0</v>
      </c>
      <c r="G389" s="4">
        <f t="shared" si="44"/>
        <v>0</v>
      </c>
      <c r="H389" s="4">
        <f t="shared" si="47"/>
        <v>0</v>
      </c>
      <c r="I389" s="4">
        <f t="shared" si="45"/>
        <v>0</v>
      </c>
      <c r="J389" s="4">
        <f>SUM($H$18:$H389)</f>
        <v>237814.13672184906</v>
      </c>
    </row>
    <row r="390" spans="1:10">
      <c r="A390" s="7">
        <f>IF(Values_Entered,A389+1,"")</f>
        <v>373</v>
      </c>
      <c r="B390" s="6">
        <f t="shared" si="40"/>
        <v>55916</v>
      </c>
      <c r="C390" s="4">
        <f t="shared" si="46"/>
        <v>0</v>
      </c>
      <c r="D390" s="4">
        <f t="shared" si="41"/>
        <v>59908.922363410937</v>
      </c>
      <c r="E390" s="5">
        <f t="shared" si="42"/>
        <v>0</v>
      </c>
      <c r="F390" s="4">
        <f t="shared" si="43"/>
        <v>0</v>
      </c>
      <c r="G390" s="4">
        <f t="shared" si="44"/>
        <v>0</v>
      </c>
      <c r="H390" s="4">
        <f t="shared" si="47"/>
        <v>0</v>
      </c>
      <c r="I390" s="4">
        <f t="shared" si="45"/>
        <v>0</v>
      </c>
      <c r="J390" s="4">
        <f>SUM($H$18:$H390)</f>
        <v>237814.13672184906</v>
      </c>
    </row>
    <row r="391" spans="1:10">
      <c r="A391" s="7">
        <f>IF(Values_Entered,A390+1,"")</f>
        <v>374</v>
      </c>
      <c r="B391" s="6">
        <f t="shared" si="40"/>
        <v>55944</v>
      </c>
      <c r="C391" s="4">
        <f t="shared" si="46"/>
        <v>0</v>
      </c>
      <c r="D391" s="4">
        <f t="shared" si="41"/>
        <v>59908.922363410937</v>
      </c>
      <c r="E391" s="5">
        <f t="shared" si="42"/>
        <v>0</v>
      </c>
      <c r="F391" s="4">
        <f t="shared" si="43"/>
        <v>0</v>
      </c>
      <c r="G391" s="4">
        <f t="shared" si="44"/>
        <v>0</v>
      </c>
      <c r="H391" s="4">
        <f t="shared" si="47"/>
        <v>0</v>
      </c>
      <c r="I391" s="4">
        <f t="shared" si="45"/>
        <v>0</v>
      </c>
      <c r="J391" s="4">
        <f>SUM($H$18:$H391)</f>
        <v>237814.13672184906</v>
      </c>
    </row>
    <row r="392" spans="1:10">
      <c r="A392" s="7">
        <f>IF(Values_Entered,A391+1,"")</f>
        <v>375</v>
      </c>
      <c r="B392" s="6">
        <f t="shared" si="40"/>
        <v>55975</v>
      </c>
      <c r="C392" s="4">
        <f t="shared" si="46"/>
        <v>0</v>
      </c>
      <c r="D392" s="4">
        <f t="shared" si="41"/>
        <v>59908.922363410937</v>
      </c>
      <c r="E392" s="5">
        <f t="shared" si="42"/>
        <v>0</v>
      </c>
      <c r="F392" s="4">
        <f t="shared" si="43"/>
        <v>0</v>
      </c>
      <c r="G392" s="4">
        <f t="shared" si="44"/>
        <v>0</v>
      </c>
      <c r="H392" s="4">
        <f t="shared" si="47"/>
        <v>0</v>
      </c>
      <c r="I392" s="4">
        <f t="shared" si="45"/>
        <v>0</v>
      </c>
      <c r="J392" s="4">
        <f>SUM($H$18:$H392)</f>
        <v>237814.13672184906</v>
      </c>
    </row>
    <row r="393" spans="1:10">
      <c r="A393" s="7">
        <f>IF(Values_Entered,A392+1,"")</f>
        <v>376</v>
      </c>
      <c r="B393" s="6">
        <f t="shared" si="40"/>
        <v>56005</v>
      </c>
      <c r="C393" s="4">
        <f t="shared" si="46"/>
        <v>0</v>
      </c>
      <c r="D393" s="4">
        <f t="shared" si="41"/>
        <v>59908.922363410937</v>
      </c>
      <c r="E393" s="5">
        <f t="shared" si="42"/>
        <v>0</v>
      </c>
      <c r="F393" s="4">
        <f t="shared" si="43"/>
        <v>0</v>
      </c>
      <c r="G393" s="4">
        <f t="shared" si="44"/>
        <v>0</v>
      </c>
      <c r="H393" s="4">
        <f t="shared" si="47"/>
        <v>0</v>
      </c>
      <c r="I393" s="4">
        <f t="shared" si="45"/>
        <v>0</v>
      </c>
      <c r="J393" s="4">
        <f>SUM($H$18:$H393)</f>
        <v>237814.13672184906</v>
      </c>
    </row>
    <row r="394" spans="1:10">
      <c r="A394" s="7">
        <f>IF(Values_Entered,A393+1,"")</f>
        <v>377</v>
      </c>
      <c r="B394" s="6">
        <f t="shared" si="40"/>
        <v>56036</v>
      </c>
      <c r="C394" s="4">
        <f t="shared" si="46"/>
        <v>0</v>
      </c>
      <c r="D394" s="4">
        <f t="shared" si="41"/>
        <v>59908.922363410937</v>
      </c>
      <c r="E394" s="5">
        <f t="shared" si="42"/>
        <v>0</v>
      </c>
      <c r="F394" s="4">
        <f t="shared" si="43"/>
        <v>0</v>
      </c>
      <c r="G394" s="4">
        <f t="shared" si="44"/>
        <v>0</v>
      </c>
      <c r="H394" s="4">
        <f t="shared" si="47"/>
        <v>0</v>
      </c>
      <c r="I394" s="4">
        <f t="shared" si="45"/>
        <v>0</v>
      </c>
      <c r="J394" s="4">
        <f>SUM($H$18:$H394)</f>
        <v>237814.13672184906</v>
      </c>
    </row>
    <row r="395" spans="1:10">
      <c r="A395" s="7">
        <f>IF(Values_Entered,A394+1,"")</f>
        <v>378</v>
      </c>
      <c r="B395" s="6">
        <f t="shared" si="40"/>
        <v>56066</v>
      </c>
      <c r="C395" s="4">
        <f t="shared" si="46"/>
        <v>0</v>
      </c>
      <c r="D395" s="4">
        <f t="shared" si="41"/>
        <v>59908.922363410937</v>
      </c>
      <c r="E395" s="5">
        <f t="shared" si="42"/>
        <v>0</v>
      </c>
      <c r="F395" s="4">
        <f t="shared" si="43"/>
        <v>0</v>
      </c>
      <c r="G395" s="4">
        <f t="shared" si="44"/>
        <v>0</v>
      </c>
      <c r="H395" s="4">
        <f t="shared" si="47"/>
        <v>0</v>
      </c>
      <c r="I395" s="4">
        <f t="shared" si="45"/>
        <v>0</v>
      </c>
      <c r="J395" s="4">
        <f>SUM($H$18:$H395)</f>
        <v>237814.13672184906</v>
      </c>
    </row>
    <row r="396" spans="1:10">
      <c r="A396" s="7">
        <f>IF(Values_Entered,A395+1,"")</f>
        <v>379</v>
      </c>
      <c r="B396" s="6">
        <f t="shared" si="40"/>
        <v>56097</v>
      </c>
      <c r="C396" s="4">
        <f t="shared" si="46"/>
        <v>0</v>
      </c>
      <c r="D396" s="4">
        <f t="shared" si="41"/>
        <v>59908.922363410937</v>
      </c>
      <c r="E396" s="5">
        <f t="shared" si="42"/>
        <v>0</v>
      </c>
      <c r="F396" s="4">
        <f t="shared" si="43"/>
        <v>0</v>
      </c>
      <c r="G396" s="4">
        <f t="shared" si="44"/>
        <v>0</v>
      </c>
      <c r="H396" s="4">
        <f t="shared" si="47"/>
        <v>0</v>
      </c>
      <c r="I396" s="4">
        <f t="shared" si="45"/>
        <v>0</v>
      </c>
      <c r="J396" s="4">
        <f>SUM($H$18:$H396)</f>
        <v>237814.13672184906</v>
      </c>
    </row>
    <row r="397" spans="1:10">
      <c r="A397" s="7">
        <f>IF(Values_Entered,A396+1,"")</f>
        <v>380</v>
      </c>
      <c r="B397" s="6">
        <f t="shared" si="40"/>
        <v>56128</v>
      </c>
      <c r="C397" s="4">
        <f t="shared" si="46"/>
        <v>0</v>
      </c>
      <c r="D397" s="4">
        <f t="shared" si="41"/>
        <v>59908.922363410937</v>
      </c>
      <c r="E397" s="5">
        <f t="shared" si="42"/>
        <v>0</v>
      </c>
      <c r="F397" s="4">
        <f t="shared" si="43"/>
        <v>0</v>
      </c>
      <c r="G397" s="4">
        <f t="shared" si="44"/>
        <v>0</v>
      </c>
      <c r="H397" s="4">
        <f t="shared" si="47"/>
        <v>0</v>
      </c>
      <c r="I397" s="4">
        <f t="shared" si="45"/>
        <v>0</v>
      </c>
      <c r="J397" s="4">
        <f>SUM($H$18:$H397)</f>
        <v>237814.13672184906</v>
      </c>
    </row>
    <row r="398" spans="1:10">
      <c r="A398" s="7">
        <f>IF(Values_Entered,A397+1,"")</f>
        <v>381</v>
      </c>
      <c r="B398" s="6">
        <f t="shared" si="40"/>
        <v>56158</v>
      </c>
      <c r="C398" s="4">
        <f t="shared" si="46"/>
        <v>0</v>
      </c>
      <c r="D398" s="4">
        <f t="shared" si="41"/>
        <v>59908.922363410937</v>
      </c>
      <c r="E398" s="5">
        <f t="shared" si="42"/>
        <v>0</v>
      </c>
      <c r="F398" s="4">
        <f t="shared" si="43"/>
        <v>0</v>
      </c>
      <c r="G398" s="4">
        <f t="shared" si="44"/>
        <v>0</v>
      </c>
      <c r="H398" s="4">
        <f t="shared" si="47"/>
        <v>0</v>
      </c>
      <c r="I398" s="4">
        <f t="shared" si="45"/>
        <v>0</v>
      </c>
      <c r="J398" s="4">
        <f>SUM($H$18:$H398)</f>
        <v>237814.13672184906</v>
      </c>
    </row>
    <row r="399" spans="1:10">
      <c r="A399" s="7">
        <f>IF(Values_Entered,A398+1,"")</f>
        <v>382</v>
      </c>
      <c r="B399" s="6">
        <f t="shared" si="40"/>
        <v>56189</v>
      </c>
      <c r="C399" s="4">
        <f t="shared" si="46"/>
        <v>0</v>
      </c>
      <c r="D399" s="4">
        <f t="shared" si="41"/>
        <v>59908.922363410937</v>
      </c>
      <c r="E399" s="5">
        <f t="shared" si="42"/>
        <v>0</v>
      </c>
      <c r="F399" s="4">
        <f t="shared" si="43"/>
        <v>0</v>
      </c>
      <c r="G399" s="4">
        <f t="shared" si="44"/>
        <v>0</v>
      </c>
      <c r="H399" s="4">
        <f t="shared" si="47"/>
        <v>0</v>
      </c>
      <c r="I399" s="4">
        <f t="shared" si="45"/>
        <v>0</v>
      </c>
      <c r="J399" s="4">
        <f>SUM($H$18:$H399)</f>
        <v>237814.13672184906</v>
      </c>
    </row>
    <row r="400" spans="1:10">
      <c r="A400" s="7">
        <f>IF(Values_Entered,A399+1,"")</f>
        <v>383</v>
      </c>
      <c r="B400" s="6">
        <f t="shared" si="40"/>
        <v>56219</v>
      </c>
      <c r="C400" s="4">
        <f t="shared" si="46"/>
        <v>0</v>
      </c>
      <c r="D400" s="4">
        <f t="shared" si="41"/>
        <v>59908.922363410937</v>
      </c>
      <c r="E400" s="5">
        <f t="shared" si="42"/>
        <v>0</v>
      </c>
      <c r="F400" s="4">
        <f t="shared" si="43"/>
        <v>0</v>
      </c>
      <c r="G400" s="4">
        <f t="shared" si="44"/>
        <v>0</v>
      </c>
      <c r="H400" s="4">
        <f t="shared" si="47"/>
        <v>0</v>
      </c>
      <c r="I400" s="4">
        <f t="shared" si="45"/>
        <v>0</v>
      </c>
      <c r="J400" s="4">
        <f>SUM($H$18:$H400)</f>
        <v>237814.13672184906</v>
      </c>
    </row>
    <row r="401" spans="1:10">
      <c r="A401" s="7">
        <f>IF(Values_Entered,A400+1,"")</f>
        <v>384</v>
      </c>
      <c r="B401" s="6">
        <f t="shared" si="40"/>
        <v>56250</v>
      </c>
      <c r="C401" s="4">
        <f t="shared" si="46"/>
        <v>0</v>
      </c>
      <c r="D401" s="4">
        <f t="shared" si="41"/>
        <v>59908.922363410937</v>
      </c>
      <c r="E401" s="5">
        <f t="shared" si="42"/>
        <v>0</v>
      </c>
      <c r="F401" s="4">
        <f t="shared" si="43"/>
        <v>0</v>
      </c>
      <c r="G401" s="4">
        <f t="shared" si="44"/>
        <v>0</v>
      </c>
      <c r="H401" s="4">
        <f t="shared" si="47"/>
        <v>0</v>
      </c>
      <c r="I401" s="4">
        <f t="shared" si="45"/>
        <v>0</v>
      </c>
      <c r="J401" s="4">
        <f>SUM($H$18:$H401)</f>
        <v>237814.13672184906</v>
      </c>
    </row>
    <row r="402" spans="1:10">
      <c r="A402" s="7">
        <f>IF(Values_Entered,A401+1,"")</f>
        <v>385</v>
      </c>
      <c r="B402" s="6">
        <f t="shared" ref="B402:B465" si="48">IF(Pay_Num&lt;&gt;"",DATE(YEAR(Loan_Start),MONTH(Loan_Start)+(Pay_Num)*12/Num_Pmt_Per_Year,DAY(Loan_Start)),"")</f>
        <v>56281</v>
      </c>
      <c r="C402" s="4">
        <f t="shared" si="46"/>
        <v>0</v>
      </c>
      <c r="D402" s="4">
        <f t="shared" ref="D402:D465" si="49">IF(Pay_Num&lt;&gt;"",Scheduled_Monthly_Payment,"")</f>
        <v>59908.922363410937</v>
      </c>
      <c r="E402" s="5">
        <f t="shared" ref="E402:E465" si="50">IF(AND(Pay_Num&lt;&gt;"",Sched_Pay+Scheduled_Extra_Payments&lt;Beg_Bal),Scheduled_Extra_Payments,IF(AND(Pay_Num&lt;&gt;"",Beg_Bal-Sched_Pay&gt;0),Beg_Bal-Sched_Pay,IF(Pay_Num&lt;&gt;"",0,"")))</f>
        <v>0</v>
      </c>
      <c r="F402" s="4">
        <f t="shared" ref="F402:F465" si="51">IF(AND(Pay_Num&lt;&gt;"",Sched_Pay+Extra_Pay&lt;Beg_Bal),Sched_Pay+Extra_Pay,IF(Pay_Num&lt;&gt;"",Beg_Bal,""))</f>
        <v>0</v>
      </c>
      <c r="G402" s="4">
        <f t="shared" ref="G402:G465" si="52">IF(Pay_Num&lt;&gt;"",Total_Pay-Int,"")</f>
        <v>0</v>
      </c>
      <c r="H402" s="4">
        <f t="shared" si="47"/>
        <v>0</v>
      </c>
      <c r="I402" s="4">
        <f t="shared" ref="I402:I465" si="53">IF(AND(Pay_Num&lt;&gt;"",Sched_Pay+Extra_Pay&lt;Beg_Bal),Beg_Bal-Princ,IF(Pay_Num&lt;&gt;"",0,""))</f>
        <v>0</v>
      </c>
      <c r="J402" s="4">
        <f>SUM($H$18:$H402)</f>
        <v>237814.13672184906</v>
      </c>
    </row>
    <row r="403" spans="1:10">
      <c r="A403" s="7">
        <f>IF(Values_Entered,A402+1,"")</f>
        <v>386</v>
      </c>
      <c r="B403" s="6">
        <f t="shared" si="48"/>
        <v>56309</v>
      </c>
      <c r="C403" s="4">
        <f t="shared" ref="C403:C466" si="54">IF(Pay_Num&lt;&gt;"",I402,"")</f>
        <v>0</v>
      </c>
      <c r="D403" s="4">
        <f t="shared" si="49"/>
        <v>59908.922363410937</v>
      </c>
      <c r="E403" s="5">
        <f t="shared" si="50"/>
        <v>0</v>
      </c>
      <c r="F403" s="4">
        <f t="shared" si="51"/>
        <v>0</v>
      </c>
      <c r="G403" s="4">
        <f t="shared" si="52"/>
        <v>0</v>
      </c>
      <c r="H403" s="4">
        <f t="shared" ref="H403:H466" si="55">IF(Pay_Num&lt;&gt;"",Beg_Bal*Interest_Rate/Num_Pmt_Per_Year,"")</f>
        <v>0</v>
      </c>
      <c r="I403" s="4">
        <f t="shared" si="53"/>
        <v>0</v>
      </c>
      <c r="J403" s="4">
        <f>SUM($H$18:$H403)</f>
        <v>237814.13672184906</v>
      </c>
    </row>
    <row r="404" spans="1:10">
      <c r="A404" s="7">
        <f>IF(Values_Entered,A403+1,"")</f>
        <v>387</v>
      </c>
      <c r="B404" s="6">
        <f t="shared" si="48"/>
        <v>56340</v>
      </c>
      <c r="C404" s="4">
        <f t="shared" si="54"/>
        <v>0</v>
      </c>
      <c r="D404" s="4">
        <f t="shared" si="49"/>
        <v>59908.922363410937</v>
      </c>
      <c r="E404" s="5">
        <f t="shared" si="50"/>
        <v>0</v>
      </c>
      <c r="F404" s="4">
        <f t="shared" si="51"/>
        <v>0</v>
      </c>
      <c r="G404" s="4">
        <f t="shared" si="52"/>
        <v>0</v>
      </c>
      <c r="H404" s="4">
        <f t="shared" si="55"/>
        <v>0</v>
      </c>
      <c r="I404" s="4">
        <f t="shared" si="53"/>
        <v>0</v>
      </c>
      <c r="J404" s="4">
        <f>SUM($H$18:$H404)</f>
        <v>237814.13672184906</v>
      </c>
    </row>
    <row r="405" spans="1:10">
      <c r="A405" s="7">
        <f>IF(Values_Entered,A404+1,"")</f>
        <v>388</v>
      </c>
      <c r="B405" s="6">
        <f t="shared" si="48"/>
        <v>56370</v>
      </c>
      <c r="C405" s="4">
        <f t="shared" si="54"/>
        <v>0</v>
      </c>
      <c r="D405" s="4">
        <f t="shared" si="49"/>
        <v>59908.922363410937</v>
      </c>
      <c r="E405" s="5">
        <f t="shared" si="50"/>
        <v>0</v>
      </c>
      <c r="F405" s="4">
        <f t="shared" si="51"/>
        <v>0</v>
      </c>
      <c r="G405" s="4">
        <f t="shared" si="52"/>
        <v>0</v>
      </c>
      <c r="H405" s="4">
        <f t="shared" si="55"/>
        <v>0</v>
      </c>
      <c r="I405" s="4">
        <f t="shared" si="53"/>
        <v>0</v>
      </c>
      <c r="J405" s="4">
        <f>SUM($H$18:$H405)</f>
        <v>237814.13672184906</v>
      </c>
    </row>
    <row r="406" spans="1:10">
      <c r="A406" s="7">
        <f>IF(Values_Entered,A405+1,"")</f>
        <v>389</v>
      </c>
      <c r="B406" s="6">
        <f t="shared" si="48"/>
        <v>56401</v>
      </c>
      <c r="C406" s="4">
        <f t="shared" si="54"/>
        <v>0</v>
      </c>
      <c r="D406" s="4">
        <f t="shared" si="49"/>
        <v>59908.922363410937</v>
      </c>
      <c r="E406" s="5">
        <f t="shared" si="50"/>
        <v>0</v>
      </c>
      <c r="F406" s="4">
        <f t="shared" si="51"/>
        <v>0</v>
      </c>
      <c r="G406" s="4">
        <f t="shared" si="52"/>
        <v>0</v>
      </c>
      <c r="H406" s="4">
        <f t="shared" si="55"/>
        <v>0</v>
      </c>
      <c r="I406" s="4">
        <f t="shared" si="53"/>
        <v>0</v>
      </c>
      <c r="J406" s="4">
        <f>SUM($H$18:$H406)</f>
        <v>237814.13672184906</v>
      </c>
    </row>
    <row r="407" spans="1:10">
      <c r="A407" s="7">
        <f>IF(Values_Entered,A406+1,"")</f>
        <v>390</v>
      </c>
      <c r="B407" s="6">
        <f t="shared" si="48"/>
        <v>56431</v>
      </c>
      <c r="C407" s="4">
        <f t="shared" si="54"/>
        <v>0</v>
      </c>
      <c r="D407" s="4">
        <f t="shared" si="49"/>
        <v>59908.922363410937</v>
      </c>
      <c r="E407" s="5">
        <f t="shared" si="50"/>
        <v>0</v>
      </c>
      <c r="F407" s="4">
        <f t="shared" si="51"/>
        <v>0</v>
      </c>
      <c r="G407" s="4">
        <f t="shared" si="52"/>
        <v>0</v>
      </c>
      <c r="H407" s="4">
        <f t="shared" si="55"/>
        <v>0</v>
      </c>
      <c r="I407" s="4">
        <f t="shared" si="53"/>
        <v>0</v>
      </c>
      <c r="J407" s="4">
        <f>SUM($H$18:$H407)</f>
        <v>237814.13672184906</v>
      </c>
    </row>
    <row r="408" spans="1:10">
      <c r="A408" s="7">
        <f>IF(Values_Entered,A407+1,"")</f>
        <v>391</v>
      </c>
      <c r="B408" s="6">
        <f t="shared" si="48"/>
        <v>56462</v>
      </c>
      <c r="C408" s="4">
        <f t="shared" si="54"/>
        <v>0</v>
      </c>
      <c r="D408" s="4">
        <f t="shared" si="49"/>
        <v>59908.922363410937</v>
      </c>
      <c r="E408" s="5">
        <f t="shared" si="50"/>
        <v>0</v>
      </c>
      <c r="F408" s="4">
        <f t="shared" si="51"/>
        <v>0</v>
      </c>
      <c r="G408" s="4">
        <f t="shared" si="52"/>
        <v>0</v>
      </c>
      <c r="H408" s="4">
        <f t="shared" si="55"/>
        <v>0</v>
      </c>
      <c r="I408" s="4">
        <f t="shared" si="53"/>
        <v>0</v>
      </c>
      <c r="J408" s="4">
        <f>SUM($H$18:$H408)</f>
        <v>237814.13672184906</v>
      </c>
    </row>
    <row r="409" spans="1:10">
      <c r="A409" s="7">
        <f>IF(Values_Entered,A408+1,"")</f>
        <v>392</v>
      </c>
      <c r="B409" s="6">
        <f t="shared" si="48"/>
        <v>56493</v>
      </c>
      <c r="C409" s="4">
        <f t="shared" si="54"/>
        <v>0</v>
      </c>
      <c r="D409" s="4">
        <f t="shared" si="49"/>
        <v>59908.922363410937</v>
      </c>
      <c r="E409" s="5">
        <f t="shared" si="50"/>
        <v>0</v>
      </c>
      <c r="F409" s="4">
        <f t="shared" si="51"/>
        <v>0</v>
      </c>
      <c r="G409" s="4">
        <f t="shared" si="52"/>
        <v>0</v>
      </c>
      <c r="H409" s="4">
        <f t="shared" si="55"/>
        <v>0</v>
      </c>
      <c r="I409" s="4">
        <f t="shared" si="53"/>
        <v>0</v>
      </c>
      <c r="J409" s="4">
        <f>SUM($H$18:$H409)</f>
        <v>237814.13672184906</v>
      </c>
    </row>
    <row r="410" spans="1:10">
      <c r="A410" s="7">
        <f>IF(Values_Entered,A409+1,"")</f>
        <v>393</v>
      </c>
      <c r="B410" s="6">
        <f t="shared" si="48"/>
        <v>56523</v>
      </c>
      <c r="C410" s="4">
        <f t="shared" si="54"/>
        <v>0</v>
      </c>
      <c r="D410" s="4">
        <f t="shared" si="49"/>
        <v>59908.922363410937</v>
      </c>
      <c r="E410" s="5">
        <f t="shared" si="50"/>
        <v>0</v>
      </c>
      <c r="F410" s="4">
        <f t="shared" si="51"/>
        <v>0</v>
      </c>
      <c r="G410" s="4">
        <f t="shared" si="52"/>
        <v>0</v>
      </c>
      <c r="H410" s="4">
        <f t="shared" si="55"/>
        <v>0</v>
      </c>
      <c r="I410" s="4">
        <f t="shared" si="53"/>
        <v>0</v>
      </c>
      <c r="J410" s="4">
        <f>SUM($H$18:$H410)</f>
        <v>237814.13672184906</v>
      </c>
    </row>
    <row r="411" spans="1:10">
      <c r="A411" s="7">
        <f>IF(Values_Entered,A410+1,"")</f>
        <v>394</v>
      </c>
      <c r="B411" s="6">
        <f t="shared" si="48"/>
        <v>56554</v>
      </c>
      <c r="C411" s="4">
        <f t="shared" si="54"/>
        <v>0</v>
      </c>
      <c r="D411" s="4">
        <f t="shared" si="49"/>
        <v>59908.922363410937</v>
      </c>
      <c r="E411" s="5">
        <f t="shared" si="50"/>
        <v>0</v>
      </c>
      <c r="F411" s="4">
        <f t="shared" si="51"/>
        <v>0</v>
      </c>
      <c r="G411" s="4">
        <f t="shared" si="52"/>
        <v>0</v>
      </c>
      <c r="H411" s="4">
        <f t="shared" si="55"/>
        <v>0</v>
      </c>
      <c r="I411" s="4">
        <f t="shared" si="53"/>
        <v>0</v>
      </c>
      <c r="J411" s="4">
        <f>SUM($H$18:$H411)</f>
        <v>237814.13672184906</v>
      </c>
    </row>
    <row r="412" spans="1:10">
      <c r="A412" s="7">
        <f>IF(Values_Entered,A411+1,"")</f>
        <v>395</v>
      </c>
      <c r="B412" s="6">
        <f t="shared" si="48"/>
        <v>56584</v>
      </c>
      <c r="C412" s="4">
        <f t="shared" si="54"/>
        <v>0</v>
      </c>
      <c r="D412" s="4">
        <f t="shared" si="49"/>
        <v>59908.922363410937</v>
      </c>
      <c r="E412" s="5">
        <f t="shared" si="50"/>
        <v>0</v>
      </c>
      <c r="F412" s="4">
        <f t="shared" si="51"/>
        <v>0</v>
      </c>
      <c r="G412" s="4">
        <f t="shared" si="52"/>
        <v>0</v>
      </c>
      <c r="H412" s="4">
        <f t="shared" si="55"/>
        <v>0</v>
      </c>
      <c r="I412" s="4">
        <f t="shared" si="53"/>
        <v>0</v>
      </c>
      <c r="J412" s="4">
        <f>SUM($H$18:$H412)</f>
        <v>237814.13672184906</v>
      </c>
    </row>
    <row r="413" spans="1:10">
      <c r="A413" s="7">
        <f>IF(Values_Entered,A412+1,"")</f>
        <v>396</v>
      </c>
      <c r="B413" s="6">
        <f t="shared" si="48"/>
        <v>56615</v>
      </c>
      <c r="C413" s="4">
        <f t="shared" si="54"/>
        <v>0</v>
      </c>
      <c r="D413" s="4">
        <f t="shared" si="49"/>
        <v>59908.922363410937</v>
      </c>
      <c r="E413" s="5">
        <f t="shared" si="50"/>
        <v>0</v>
      </c>
      <c r="F413" s="4">
        <f t="shared" si="51"/>
        <v>0</v>
      </c>
      <c r="G413" s="4">
        <f t="shared" si="52"/>
        <v>0</v>
      </c>
      <c r="H413" s="4">
        <f t="shared" si="55"/>
        <v>0</v>
      </c>
      <c r="I413" s="4">
        <f t="shared" si="53"/>
        <v>0</v>
      </c>
      <c r="J413" s="4">
        <f>SUM($H$18:$H413)</f>
        <v>237814.13672184906</v>
      </c>
    </row>
    <row r="414" spans="1:10">
      <c r="A414" s="7">
        <f>IF(Values_Entered,A413+1,"")</f>
        <v>397</v>
      </c>
      <c r="B414" s="6">
        <f t="shared" si="48"/>
        <v>56646</v>
      </c>
      <c r="C414" s="4">
        <f t="shared" si="54"/>
        <v>0</v>
      </c>
      <c r="D414" s="4">
        <f t="shared" si="49"/>
        <v>59908.922363410937</v>
      </c>
      <c r="E414" s="5">
        <f t="shared" si="50"/>
        <v>0</v>
      </c>
      <c r="F414" s="4">
        <f t="shared" si="51"/>
        <v>0</v>
      </c>
      <c r="G414" s="4">
        <f t="shared" si="52"/>
        <v>0</v>
      </c>
      <c r="H414" s="4">
        <f t="shared" si="55"/>
        <v>0</v>
      </c>
      <c r="I414" s="4">
        <f t="shared" si="53"/>
        <v>0</v>
      </c>
      <c r="J414" s="4">
        <f>SUM($H$18:$H414)</f>
        <v>237814.13672184906</v>
      </c>
    </row>
    <row r="415" spans="1:10">
      <c r="A415" s="7">
        <f>IF(Values_Entered,A414+1,"")</f>
        <v>398</v>
      </c>
      <c r="B415" s="6">
        <f t="shared" si="48"/>
        <v>56674</v>
      </c>
      <c r="C415" s="4">
        <f t="shared" si="54"/>
        <v>0</v>
      </c>
      <c r="D415" s="4">
        <f t="shared" si="49"/>
        <v>59908.922363410937</v>
      </c>
      <c r="E415" s="5">
        <f t="shared" si="50"/>
        <v>0</v>
      </c>
      <c r="F415" s="4">
        <f t="shared" si="51"/>
        <v>0</v>
      </c>
      <c r="G415" s="4">
        <f t="shared" si="52"/>
        <v>0</v>
      </c>
      <c r="H415" s="4">
        <f t="shared" si="55"/>
        <v>0</v>
      </c>
      <c r="I415" s="4">
        <f t="shared" si="53"/>
        <v>0</v>
      </c>
      <c r="J415" s="4">
        <f>SUM($H$18:$H415)</f>
        <v>237814.13672184906</v>
      </c>
    </row>
    <row r="416" spans="1:10">
      <c r="A416" s="7">
        <f>IF(Values_Entered,A415+1,"")</f>
        <v>399</v>
      </c>
      <c r="B416" s="6">
        <f t="shared" si="48"/>
        <v>56705</v>
      </c>
      <c r="C416" s="4">
        <f t="shared" si="54"/>
        <v>0</v>
      </c>
      <c r="D416" s="4">
        <f t="shared" si="49"/>
        <v>59908.922363410937</v>
      </c>
      <c r="E416" s="5">
        <f t="shared" si="50"/>
        <v>0</v>
      </c>
      <c r="F416" s="4">
        <f t="shared" si="51"/>
        <v>0</v>
      </c>
      <c r="G416" s="4">
        <f t="shared" si="52"/>
        <v>0</v>
      </c>
      <c r="H416" s="4">
        <f t="shared" si="55"/>
        <v>0</v>
      </c>
      <c r="I416" s="4">
        <f t="shared" si="53"/>
        <v>0</v>
      </c>
      <c r="J416" s="4">
        <f>SUM($H$18:$H416)</f>
        <v>237814.13672184906</v>
      </c>
    </row>
    <row r="417" spans="1:10">
      <c r="A417" s="7">
        <f>IF(Values_Entered,A416+1,"")</f>
        <v>400</v>
      </c>
      <c r="B417" s="6">
        <f t="shared" si="48"/>
        <v>56735</v>
      </c>
      <c r="C417" s="4">
        <f t="shared" si="54"/>
        <v>0</v>
      </c>
      <c r="D417" s="4">
        <f t="shared" si="49"/>
        <v>59908.922363410937</v>
      </c>
      <c r="E417" s="5">
        <f t="shared" si="50"/>
        <v>0</v>
      </c>
      <c r="F417" s="4">
        <f t="shared" si="51"/>
        <v>0</v>
      </c>
      <c r="G417" s="4">
        <f t="shared" si="52"/>
        <v>0</v>
      </c>
      <c r="H417" s="4">
        <f t="shared" si="55"/>
        <v>0</v>
      </c>
      <c r="I417" s="4">
        <f t="shared" si="53"/>
        <v>0</v>
      </c>
      <c r="J417" s="4">
        <f>SUM($H$18:$H417)</f>
        <v>237814.13672184906</v>
      </c>
    </row>
    <row r="418" spans="1:10">
      <c r="A418" s="7">
        <f>IF(Values_Entered,A417+1,"")</f>
        <v>401</v>
      </c>
      <c r="B418" s="6">
        <f t="shared" si="48"/>
        <v>56766</v>
      </c>
      <c r="C418" s="4">
        <f t="shared" si="54"/>
        <v>0</v>
      </c>
      <c r="D418" s="4">
        <f t="shared" si="49"/>
        <v>59908.922363410937</v>
      </c>
      <c r="E418" s="5">
        <f t="shared" si="50"/>
        <v>0</v>
      </c>
      <c r="F418" s="4">
        <f t="shared" si="51"/>
        <v>0</v>
      </c>
      <c r="G418" s="4">
        <f t="shared" si="52"/>
        <v>0</v>
      </c>
      <c r="H418" s="4">
        <f t="shared" si="55"/>
        <v>0</v>
      </c>
      <c r="I418" s="4">
        <f t="shared" si="53"/>
        <v>0</v>
      </c>
      <c r="J418" s="4">
        <f>SUM($H$18:$H418)</f>
        <v>237814.13672184906</v>
      </c>
    </row>
    <row r="419" spans="1:10">
      <c r="A419" s="7">
        <f>IF(Values_Entered,A418+1,"")</f>
        <v>402</v>
      </c>
      <c r="B419" s="6">
        <f t="shared" si="48"/>
        <v>56796</v>
      </c>
      <c r="C419" s="4">
        <f t="shared" si="54"/>
        <v>0</v>
      </c>
      <c r="D419" s="4">
        <f t="shared" si="49"/>
        <v>59908.922363410937</v>
      </c>
      <c r="E419" s="5">
        <f t="shared" si="50"/>
        <v>0</v>
      </c>
      <c r="F419" s="4">
        <f t="shared" si="51"/>
        <v>0</v>
      </c>
      <c r="G419" s="4">
        <f t="shared" si="52"/>
        <v>0</v>
      </c>
      <c r="H419" s="4">
        <f t="shared" si="55"/>
        <v>0</v>
      </c>
      <c r="I419" s="4">
        <f t="shared" si="53"/>
        <v>0</v>
      </c>
      <c r="J419" s="4">
        <f>SUM($H$18:$H419)</f>
        <v>237814.13672184906</v>
      </c>
    </row>
    <row r="420" spans="1:10">
      <c r="A420" s="7">
        <f>IF(Values_Entered,A419+1,"")</f>
        <v>403</v>
      </c>
      <c r="B420" s="6">
        <f t="shared" si="48"/>
        <v>56827</v>
      </c>
      <c r="C420" s="4">
        <f t="shared" si="54"/>
        <v>0</v>
      </c>
      <c r="D420" s="4">
        <f t="shared" si="49"/>
        <v>59908.922363410937</v>
      </c>
      <c r="E420" s="5">
        <f t="shared" si="50"/>
        <v>0</v>
      </c>
      <c r="F420" s="4">
        <f t="shared" si="51"/>
        <v>0</v>
      </c>
      <c r="G420" s="4">
        <f t="shared" si="52"/>
        <v>0</v>
      </c>
      <c r="H420" s="4">
        <f t="shared" si="55"/>
        <v>0</v>
      </c>
      <c r="I420" s="4">
        <f t="shared" si="53"/>
        <v>0</v>
      </c>
      <c r="J420" s="4">
        <f>SUM($H$18:$H420)</f>
        <v>237814.13672184906</v>
      </c>
    </row>
    <row r="421" spans="1:10">
      <c r="A421" s="7">
        <f>IF(Values_Entered,A420+1,"")</f>
        <v>404</v>
      </c>
      <c r="B421" s="6">
        <f t="shared" si="48"/>
        <v>56858</v>
      </c>
      <c r="C421" s="4">
        <f t="shared" si="54"/>
        <v>0</v>
      </c>
      <c r="D421" s="4">
        <f t="shared" si="49"/>
        <v>59908.922363410937</v>
      </c>
      <c r="E421" s="5">
        <f t="shared" si="50"/>
        <v>0</v>
      </c>
      <c r="F421" s="4">
        <f t="shared" si="51"/>
        <v>0</v>
      </c>
      <c r="G421" s="4">
        <f t="shared" si="52"/>
        <v>0</v>
      </c>
      <c r="H421" s="4">
        <f t="shared" si="55"/>
        <v>0</v>
      </c>
      <c r="I421" s="4">
        <f t="shared" si="53"/>
        <v>0</v>
      </c>
      <c r="J421" s="4">
        <f>SUM($H$18:$H421)</f>
        <v>237814.13672184906</v>
      </c>
    </row>
    <row r="422" spans="1:10">
      <c r="A422" s="7">
        <f>IF(Values_Entered,A421+1,"")</f>
        <v>405</v>
      </c>
      <c r="B422" s="6">
        <f t="shared" si="48"/>
        <v>56888</v>
      </c>
      <c r="C422" s="4">
        <f t="shared" si="54"/>
        <v>0</v>
      </c>
      <c r="D422" s="4">
        <f t="shared" si="49"/>
        <v>59908.922363410937</v>
      </c>
      <c r="E422" s="5">
        <f t="shared" si="50"/>
        <v>0</v>
      </c>
      <c r="F422" s="4">
        <f t="shared" si="51"/>
        <v>0</v>
      </c>
      <c r="G422" s="4">
        <f t="shared" si="52"/>
        <v>0</v>
      </c>
      <c r="H422" s="4">
        <f t="shared" si="55"/>
        <v>0</v>
      </c>
      <c r="I422" s="4">
        <f t="shared" si="53"/>
        <v>0</v>
      </c>
      <c r="J422" s="4">
        <f>SUM($H$18:$H422)</f>
        <v>237814.13672184906</v>
      </c>
    </row>
    <row r="423" spans="1:10">
      <c r="A423" s="7">
        <f>IF(Values_Entered,A422+1,"")</f>
        <v>406</v>
      </c>
      <c r="B423" s="6">
        <f t="shared" si="48"/>
        <v>56919</v>
      </c>
      <c r="C423" s="4">
        <f t="shared" si="54"/>
        <v>0</v>
      </c>
      <c r="D423" s="4">
        <f t="shared" si="49"/>
        <v>59908.922363410937</v>
      </c>
      <c r="E423" s="5">
        <f t="shared" si="50"/>
        <v>0</v>
      </c>
      <c r="F423" s="4">
        <f t="shared" si="51"/>
        <v>0</v>
      </c>
      <c r="G423" s="4">
        <f t="shared" si="52"/>
        <v>0</v>
      </c>
      <c r="H423" s="4">
        <f t="shared" si="55"/>
        <v>0</v>
      </c>
      <c r="I423" s="4">
        <f t="shared" si="53"/>
        <v>0</v>
      </c>
      <c r="J423" s="4">
        <f>SUM($H$18:$H423)</f>
        <v>237814.13672184906</v>
      </c>
    </row>
    <row r="424" spans="1:10">
      <c r="A424" s="7">
        <f>IF(Values_Entered,A423+1,"")</f>
        <v>407</v>
      </c>
      <c r="B424" s="6">
        <f t="shared" si="48"/>
        <v>56949</v>
      </c>
      <c r="C424" s="4">
        <f t="shared" si="54"/>
        <v>0</v>
      </c>
      <c r="D424" s="4">
        <f t="shared" si="49"/>
        <v>59908.922363410937</v>
      </c>
      <c r="E424" s="5">
        <f t="shared" si="50"/>
        <v>0</v>
      </c>
      <c r="F424" s="4">
        <f t="shared" si="51"/>
        <v>0</v>
      </c>
      <c r="G424" s="4">
        <f t="shared" si="52"/>
        <v>0</v>
      </c>
      <c r="H424" s="4">
        <f t="shared" si="55"/>
        <v>0</v>
      </c>
      <c r="I424" s="4">
        <f t="shared" si="53"/>
        <v>0</v>
      </c>
      <c r="J424" s="4">
        <f>SUM($H$18:$H424)</f>
        <v>237814.13672184906</v>
      </c>
    </row>
    <row r="425" spans="1:10">
      <c r="A425" s="7">
        <f>IF(Values_Entered,A424+1,"")</f>
        <v>408</v>
      </c>
      <c r="B425" s="6">
        <f t="shared" si="48"/>
        <v>56980</v>
      </c>
      <c r="C425" s="4">
        <f t="shared" si="54"/>
        <v>0</v>
      </c>
      <c r="D425" s="4">
        <f t="shared" si="49"/>
        <v>59908.922363410937</v>
      </c>
      <c r="E425" s="5">
        <f t="shared" si="50"/>
        <v>0</v>
      </c>
      <c r="F425" s="4">
        <f t="shared" si="51"/>
        <v>0</v>
      </c>
      <c r="G425" s="4">
        <f t="shared" si="52"/>
        <v>0</v>
      </c>
      <c r="H425" s="4">
        <f t="shared" si="55"/>
        <v>0</v>
      </c>
      <c r="I425" s="4">
        <f t="shared" si="53"/>
        <v>0</v>
      </c>
      <c r="J425" s="4">
        <f>SUM($H$18:$H425)</f>
        <v>237814.13672184906</v>
      </c>
    </row>
    <row r="426" spans="1:10">
      <c r="A426" s="7">
        <f>IF(Values_Entered,A425+1,"")</f>
        <v>409</v>
      </c>
      <c r="B426" s="6">
        <f t="shared" si="48"/>
        <v>57011</v>
      </c>
      <c r="C426" s="4">
        <f t="shared" si="54"/>
        <v>0</v>
      </c>
      <c r="D426" s="4">
        <f t="shared" si="49"/>
        <v>59908.922363410937</v>
      </c>
      <c r="E426" s="5">
        <f t="shared" si="50"/>
        <v>0</v>
      </c>
      <c r="F426" s="4">
        <f t="shared" si="51"/>
        <v>0</v>
      </c>
      <c r="G426" s="4">
        <f t="shared" si="52"/>
        <v>0</v>
      </c>
      <c r="H426" s="4">
        <f t="shared" si="55"/>
        <v>0</v>
      </c>
      <c r="I426" s="4">
        <f t="shared" si="53"/>
        <v>0</v>
      </c>
      <c r="J426" s="4">
        <f>SUM($H$18:$H426)</f>
        <v>237814.13672184906</v>
      </c>
    </row>
    <row r="427" spans="1:10">
      <c r="A427" s="7">
        <f>IF(Values_Entered,A426+1,"")</f>
        <v>410</v>
      </c>
      <c r="B427" s="6">
        <f t="shared" si="48"/>
        <v>57040</v>
      </c>
      <c r="C427" s="4">
        <f t="shared" si="54"/>
        <v>0</v>
      </c>
      <c r="D427" s="4">
        <f t="shared" si="49"/>
        <v>59908.922363410937</v>
      </c>
      <c r="E427" s="5">
        <f t="shared" si="50"/>
        <v>0</v>
      </c>
      <c r="F427" s="4">
        <f t="shared" si="51"/>
        <v>0</v>
      </c>
      <c r="G427" s="4">
        <f t="shared" si="52"/>
        <v>0</v>
      </c>
      <c r="H427" s="4">
        <f t="shared" si="55"/>
        <v>0</v>
      </c>
      <c r="I427" s="4">
        <f t="shared" si="53"/>
        <v>0</v>
      </c>
      <c r="J427" s="4">
        <f>SUM($H$18:$H427)</f>
        <v>237814.13672184906</v>
      </c>
    </row>
    <row r="428" spans="1:10">
      <c r="A428" s="7">
        <f>IF(Values_Entered,A427+1,"")</f>
        <v>411</v>
      </c>
      <c r="B428" s="6">
        <f t="shared" si="48"/>
        <v>57071</v>
      </c>
      <c r="C428" s="4">
        <f t="shared" si="54"/>
        <v>0</v>
      </c>
      <c r="D428" s="4">
        <f t="shared" si="49"/>
        <v>59908.922363410937</v>
      </c>
      <c r="E428" s="5">
        <f t="shared" si="50"/>
        <v>0</v>
      </c>
      <c r="F428" s="4">
        <f t="shared" si="51"/>
        <v>0</v>
      </c>
      <c r="G428" s="4">
        <f t="shared" si="52"/>
        <v>0</v>
      </c>
      <c r="H428" s="4">
        <f t="shared" si="55"/>
        <v>0</v>
      </c>
      <c r="I428" s="4">
        <f t="shared" si="53"/>
        <v>0</v>
      </c>
      <c r="J428" s="4">
        <f>SUM($H$18:$H428)</f>
        <v>237814.13672184906</v>
      </c>
    </row>
    <row r="429" spans="1:10">
      <c r="A429" s="7">
        <f>IF(Values_Entered,A428+1,"")</f>
        <v>412</v>
      </c>
      <c r="B429" s="6">
        <f t="shared" si="48"/>
        <v>57101</v>
      </c>
      <c r="C429" s="4">
        <f t="shared" si="54"/>
        <v>0</v>
      </c>
      <c r="D429" s="4">
        <f t="shared" si="49"/>
        <v>59908.922363410937</v>
      </c>
      <c r="E429" s="5">
        <f t="shared" si="50"/>
        <v>0</v>
      </c>
      <c r="F429" s="4">
        <f t="shared" si="51"/>
        <v>0</v>
      </c>
      <c r="G429" s="4">
        <f t="shared" si="52"/>
        <v>0</v>
      </c>
      <c r="H429" s="4">
        <f t="shared" si="55"/>
        <v>0</v>
      </c>
      <c r="I429" s="4">
        <f t="shared" si="53"/>
        <v>0</v>
      </c>
      <c r="J429" s="4">
        <f>SUM($H$18:$H429)</f>
        <v>237814.13672184906</v>
      </c>
    </row>
    <row r="430" spans="1:10">
      <c r="A430" s="7">
        <f>IF(Values_Entered,A429+1,"")</f>
        <v>413</v>
      </c>
      <c r="B430" s="6">
        <f t="shared" si="48"/>
        <v>57132</v>
      </c>
      <c r="C430" s="4">
        <f t="shared" si="54"/>
        <v>0</v>
      </c>
      <c r="D430" s="4">
        <f t="shared" si="49"/>
        <v>59908.922363410937</v>
      </c>
      <c r="E430" s="5">
        <f t="shared" si="50"/>
        <v>0</v>
      </c>
      <c r="F430" s="4">
        <f t="shared" si="51"/>
        <v>0</v>
      </c>
      <c r="G430" s="4">
        <f t="shared" si="52"/>
        <v>0</v>
      </c>
      <c r="H430" s="4">
        <f t="shared" si="55"/>
        <v>0</v>
      </c>
      <c r="I430" s="4">
        <f t="shared" si="53"/>
        <v>0</v>
      </c>
      <c r="J430" s="4">
        <f>SUM($H$18:$H430)</f>
        <v>237814.13672184906</v>
      </c>
    </row>
    <row r="431" spans="1:10">
      <c r="A431" s="7">
        <f>IF(Values_Entered,A430+1,"")</f>
        <v>414</v>
      </c>
      <c r="B431" s="6">
        <f t="shared" si="48"/>
        <v>57162</v>
      </c>
      <c r="C431" s="4">
        <f t="shared" si="54"/>
        <v>0</v>
      </c>
      <c r="D431" s="4">
        <f t="shared" si="49"/>
        <v>59908.922363410937</v>
      </c>
      <c r="E431" s="5">
        <f t="shared" si="50"/>
        <v>0</v>
      </c>
      <c r="F431" s="4">
        <f t="shared" si="51"/>
        <v>0</v>
      </c>
      <c r="G431" s="4">
        <f t="shared" si="52"/>
        <v>0</v>
      </c>
      <c r="H431" s="4">
        <f t="shared" si="55"/>
        <v>0</v>
      </c>
      <c r="I431" s="4">
        <f t="shared" si="53"/>
        <v>0</v>
      </c>
      <c r="J431" s="4">
        <f>SUM($H$18:$H431)</f>
        <v>237814.13672184906</v>
      </c>
    </row>
    <row r="432" spans="1:10">
      <c r="A432" s="7">
        <f>IF(Values_Entered,A431+1,"")</f>
        <v>415</v>
      </c>
      <c r="B432" s="6">
        <f t="shared" si="48"/>
        <v>57193</v>
      </c>
      <c r="C432" s="4">
        <f t="shared" si="54"/>
        <v>0</v>
      </c>
      <c r="D432" s="4">
        <f t="shared" si="49"/>
        <v>59908.922363410937</v>
      </c>
      <c r="E432" s="5">
        <f t="shared" si="50"/>
        <v>0</v>
      </c>
      <c r="F432" s="4">
        <f t="shared" si="51"/>
        <v>0</v>
      </c>
      <c r="G432" s="4">
        <f t="shared" si="52"/>
        <v>0</v>
      </c>
      <c r="H432" s="4">
        <f t="shared" si="55"/>
        <v>0</v>
      </c>
      <c r="I432" s="4">
        <f t="shared" si="53"/>
        <v>0</v>
      </c>
      <c r="J432" s="4">
        <f>SUM($H$18:$H432)</f>
        <v>237814.13672184906</v>
      </c>
    </row>
    <row r="433" spans="1:10">
      <c r="A433" s="7">
        <f>IF(Values_Entered,A432+1,"")</f>
        <v>416</v>
      </c>
      <c r="B433" s="6">
        <f t="shared" si="48"/>
        <v>57224</v>
      </c>
      <c r="C433" s="4">
        <f t="shared" si="54"/>
        <v>0</v>
      </c>
      <c r="D433" s="4">
        <f t="shared" si="49"/>
        <v>59908.922363410937</v>
      </c>
      <c r="E433" s="5">
        <f t="shared" si="50"/>
        <v>0</v>
      </c>
      <c r="F433" s="4">
        <f t="shared" si="51"/>
        <v>0</v>
      </c>
      <c r="G433" s="4">
        <f t="shared" si="52"/>
        <v>0</v>
      </c>
      <c r="H433" s="4">
        <f t="shared" si="55"/>
        <v>0</v>
      </c>
      <c r="I433" s="4">
        <f t="shared" si="53"/>
        <v>0</v>
      </c>
      <c r="J433" s="4">
        <f>SUM($H$18:$H433)</f>
        <v>237814.13672184906</v>
      </c>
    </row>
    <row r="434" spans="1:10">
      <c r="A434" s="7">
        <f>IF(Values_Entered,A433+1,"")</f>
        <v>417</v>
      </c>
      <c r="B434" s="6">
        <f t="shared" si="48"/>
        <v>57254</v>
      </c>
      <c r="C434" s="4">
        <f t="shared" si="54"/>
        <v>0</v>
      </c>
      <c r="D434" s="4">
        <f t="shared" si="49"/>
        <v>59908.922363410937</v>
      </c>
      <c r="E434" s="5">
        <f t="shared" si="50"/>
        <v>0</v>
      </c>
      <c r="F434" s="4">
        <f t="shared" si="51"/>
        <v>0</v>
      </c>
      <c r="G434" s="4">
        <f t="shared" si="52"/>
        <v>0</v>
      </c>
      <c r="H434" s="4">
        <f t="shared" si="55"/>
        <v>0</v>
      </c>
      <c r="I434" s="4">
        <f t="shared" si="53"/>
        <v>0</v>
      </c>
      <c r="J434" s="4">
        <f>SUM($H$18:$H434)</f>
        <v>237814.13672184906</v>
      </c>
    </row>
    <row r="435" spans="1:10">
      <c r="A435" s="7">
        <f>IF(Values_Entered,A434+1,"")</f>
        <v>418</v>
      </c>
      <c r="B435" s="6">
        <f t="shared" si="48"/>
        <v>57285</v>
      </c>
      <c r="C435" s="4">
        <f t="shared" si="54"/>
        <v>0</v>
      </c>
      <c r="D435" s="4">
        <f t="shared" si="49"/>
        <v>59908.922363410937</v>
      </c>
      <c r="E435" s="5">
        <f t="shared" si="50"/>
        <v>0</v>
      </c>
      <c r="F435" s="4">
        <f t="shared" si="51"/>
        <v>0</v>
      </c>
      <c r="G435" s="4">
        <f t="shared" si="52"/>
        <v>0</v>
      </c>
      <c r="H435" s="4">
        <f t="shared" si="55"/>
        <v>0</v>
      </c>
      <c r="I435" s="4">
        <f t="shared" si="53"/>
        <v>0</v>
      </c>
      <c r="J435" s="4">
        <f>SUM($H$18:$H435)</f>
        <v>237814.13672184906</v>
      </c>
    </row>
    <row r="436" spans="1:10">
      <c r="A436" s="7">
        <f>IF(Values_Entered,A435+1,"")</f>
        <v>419</v>
      </c>
      <c r="B436" s="6">
        <f t="shared" si="48"/>
        <v>57315</v>
      </c>
      <c r="C436" s="4">
        <f t="shared" si="54"/>
        <v>0</v>
      </c>
      <c r="D436" s="4">
        <f t="shared" si="49"/>
        <v>59908.922363410937</v>
      </c>
      <c r="E436" s="5">
        <f t="shared" si="50"/>
        <v>0</v>
      </c>
      <c r="F436" s="4">
        <f t="shared" si="51"/>
        <v>0</v>
      </c>
      <c r="G436" s="4">
        <f t="shared" si="52"/>
        <v>0</v>
      </c>
      <c r="H436" s="4">
        <f t="shared" si="55"/>
        <v>0</v>
      </c>
      <c r="I436" s="4">
        <f t="shared" si="53"/>
        <v>0</v>
      </c>
      <c r="J436" s="4">
        <f>SUM($H$18:$H436)</f>
        <v>237814.13672184906</v>
      </c>
    </row>
    <row r="437" spans="1:10">
      <c r="A437" s="7">
        <f>IF(Values_Entered,A436+1,"")</f>
        <v>420</v>
      </c>
      <c r="B437" s="6">
        <f t="shared" si="48"/>
        <v>57346</v>
      </c>
      <c r="C437" s="4">
        <f t="shared" si="54"/>
        <v>0</v>
      </c>
      <c r="D437" s="4">
        <f t="shared" si="49"/>
        <v>59908.922363410937</v>
      </c>
      <c r="E437" s="5">
        <f t="shared" si="50"/>
        <v>0</v>
      </c>
      <c r="F437" s="4">
        <f t="shared" si="51"/>
        <v>0</v>
      </c>
      <c r="G437" s="4">
        <f t="shared" si="52"/>
        <v>0</v>
      </c>
      <c r="H437" s="4">
        <f t="shared" si="55"/>
        <v>0</v>
      </c>
      <c r="I437" s="4">
        <f t="shared" si="53"/>
        <v>0</v>
      </c>
      <c r="J437" s="4">
        <f>SUM($H$18:$H437)</f>
        <v>237814.13672184906</v>
      </c>
    </row>
    <row r="438" spans="1:10">
      <c r="A438" s="7">
        <f>IF(Values_Entered,A437+1,"")</f>
        <v>421</v>
      </c>
      <c r="B438" s="6">
        <f t="shared" si="48"/>
        <v>57377</v>
      </c>
      <c r="C438" s="4">
        <f t="shared" si="54"/>
        <v>0</v>
      </c>
      <c r="D438" s="4">
        <f t="shared" si="49"/>
        <v>59908.922363410937</v>
      </c>
      <c r="E438" s="5">
        <f t="shared" si="50"/>
        <v>0</v>
      </c>
      <c r="F438" s="4">
        <f t="shared" si="51"/>
        <v>0</v>
      </c>
      <c r="G438" s="4">
        <f t="shared" si="52"/>
        <v>0</v>
      </c>
      <c r="H438" s="4">
        <f t="shared" si="55"/>
        <v>0</v>
      </c>
      <c r="I438" s="4">
        <f t="shared" si="53"/>
        <v>0</v>
      </c>
      <c r="J438" s="4">
        <f>SUM($H$18:$H438)</f>
        <v>237814.13672184906</v>
      </c>
    </row>
    <row r="439" spans="1:10">
      <c r="A439" s="7">
        <f>IF(Values_Entered,A438+1,"")</f>
        <v>422</v>
      </c>
      <c r="B439" s="6">
        <f t="shared" si="48"/>
        <v>57405</v>
      </c>
      <c r="C439" s="4">
        <f t="shared" si="54"/>
        <v>0</v>
      </c>
      <c r="D439" s="4">
        <f t="shared" si="49"/>
        <v>59908.922363410937</v>
      </c>
      <c r="E439" s="5">
        <f t="shared" si="50"/>
        <v>0</v>
      </c>
      <c r="F439" s="4">
        <f t="shared" si="51"/>
        <v>0</v>
      </c>
      <c r="G439" s="4">
        <f t="shared" si="52"/>
        <v>0</v>
      </c>
      <c r="H439" s="4">
        <f t="shared" si="55"/>
        <v>0</v>
      </c>
      <c r="I439" s="4">
        <f t="shared" si="53"/>
        <v>0</v>
      </c>
      <c r="J439" s="4">
        <f>SUM($H$18:$H439)</f>
        <v>237814.13672184906</v>
      </c>
    </row>
    <row r="440" spans="1:10">
      <c r="A440" s="7">
        <f>IF(Values_Entered,A439+1,"")</f>
        <v>423</v>
      </c>
      <c r="B440" s="6">
        <f t="shared" si="48"/>
        <v>57436</v>
      </c>
      <c r="C440" s="4">
        <f t="shared" si="54"/>
        <v>0</v>
      </c>
      <c r="D440" s="4">
        <f t="shared" si="49"/>
        <v>59908.922363410937</v>
      </c>
      <c r="E440" s="5">
        <f t="shared" si="50"/>
        <v>0</v>
      </c>
      <c r="F440" s="4">
        <f t="shared" si="51"/>
        <v>0</v>
      </c>
      <c r="G440" s="4">
        <f t="shared" si="52"/>
        <v>0</v>
      </c>
      <c r="H440" s="4">
        <f t="shared" si="55"/>
        <v>0</v>
      </c>
      <c r="I440" s="4">
        <f t="shared" si="53"/>
        <v>0</v>
      </c>
      <c r="J440" s="4">
        <f>SUM($H$18:$H440)</f>
        <v>237814.13672184906</v>
      </c>
    </row>
    <row r="441" spans="1:10">
      <c r="A441" s="7">
        <f>IF(Values_Entered,A440+1,"")</f>
        <v>424</v>
      </c>
      <c r="B441" s="6">
        <f t="shared" si="48"/>
        <v>57466</v>
      </c>
      <c r="C441" s="4">
        <f t="shared" si="54"/>
        <v>0</v>
      </c>
      <c r="D441" s="4">
        <f t="shared" si="49"/>
        <v>59908.922363410937</v>
      </c>
      <c r="E441" s="5">
        <f t="shared" si="50"/>
        <v>0</v>
      </c>
      <c r="F441" s="4">
        <f t="shared" si="51"/>
        <v>0</v>
      </c>
      <c r="G441" s="4">
        <f t="shared" si="52"/>
        <v>0</v>
      </c>
      <c r="H441" s="4">
        <f t="shared" si="55"/>
        <v>0</v>
      </c>
      <c r="I441" s="4">
        <f t="shared" si="53"/>
        <v>0</v>
      </c>
      <c r="J441" s="4">
        <f>SUM($H$18:$H441)</f>
        <v>237814.13672184906</v>
      </c>
    </row>
    <row r="442" spans="1:10">
      <c r="A442" s="7">
        <f>IF(Values_Entered,A441+1,"")</f>
        <v>425</v>
      </c>
      <c r="B442" s="6">
        <f t="shared" si="48"/>
        <v>57497</v>
      </c>
      <c r="C442" s="4">
        <f t="shared" si="54"/>
        <v>0</v>
      </c>
      <c r="D442" s="4">
        <f t="shared" si="49"/>
        <v>59908.922363410937</v>
      </c>
      <c r="E442" s="5">
        <f t="shared" si="50"/>
        <v>0</v>
      </c>
      <c r="F442" s="4">
        <f t="shared" si="51"/>
        <v>0</v>
      </c>
      <c r="G442" s="4">
        <f t="shared" si="52"/>
        <v>0</v>
      </c>
      <c r="H442" s="4">
        <f t="shared" si="55"/>
        <v>0</v>
      </c>
      <c r="I442" s="4">
        <f t="shared" si="53"/>
        <v>0</v>
      </c>
      <c r="J442" s="4">
        <f>SUM($H$18:$H442)</f>
        <v>237814.13672184906</v>
      </c>
    </row>
    <row r="443" spans="1:10">
      <c r="A443" s="7">
        <f>IF(Values_Entered,A442+1,"")</f>
        <v>426</v>
      </c>
      <c r="B443" s="6">
        <f t="shared" si="48"/>
        <v>57527</v>
      </c>
      <c r="C443" s="4">
        <f t="shared" si="54"/>
        <v>0</v>
      </c>
      <c r="D443" s="4">
        <f t="shared" si="49"/>
        <v>59908.922363410937</v>
      </c>
      <c r="E443" s="5">
        <f t="shared" si="50"/>
        <v>0</v>
      </c>
      <c r="F443" s="4">
        <f t="shared" si="51"/>
        <v>0</v>
      </c>
      <c r="G443" s="4">
        <f t="shared" si="52"/>
        <v>0</v>
      </c>
      <c r="H443" s="4">
        <f t="shared" si="55"/>
        <v>0</v>
      </c>
      <c r="I443" s="4">
        <f t="shared" si="53"/>
        <v>0</v>
      </c>
      <c r="J443" s="4">
        <f>SUM($H$18:$H443)</f>
        <v>237814.13672184906</v>
      </c>
    </row>
    <row r="444" spans="1:10">
      <c r="A444" s="7">
        <f>IF(Values_Entered,A443+1,"")</f>
        <v>427</v>
      </c>
      <c r="B444" s="6">
        <f t="shared" si="48"/>
        <v>57558</v>
      </c>
      <c r="C444" s="4">
        <f t="shared" si="54"/>
        <v>0</v>
      </c>
      <c r="D444" s="4">
        <f t="shared" si="49"/>
        <v>59908.922363410937</v>
      </c>
      <c r="E444" s="5">
        <f t="shared" si="50"/>
        <v>0</v>
      </c>
      <c r="F444" s="4">
        <f t="shared" si="51"/>
        <v>0</v>
      </c>
      <c r="G444" s="4">
        <f t="shared" si="52"/>
        <v>0</v>
      </c>
      <c r="H444" s="4">
        <f t="shared" si="55"/>
        <v>0</v>
      </c>
      <c r="I444" s="4">
        <f t="shared" si="53"/>
        <v>0</v>
      </c>
      <c r="J444" s="4">
        <f>SUM($H$18:$H444)</f>
        <v>237814.13672184906</v>
      </c>
    </row>
    <row r="445" spans="1:10">
      <c r="A445" s="7">
        <f>IF(Values_Entered,A444+1,"")</f>
        <v>428</v>
      </c>
      <c r="B445" s="6">
        <f t="shared" si="48"/>
        <v>57589</v>
      </c>
      <c r="C445" s="4">
        <f t="shared" si="54"/>
        <v>0</v>
      </c>
      <c r="D445" s="4">
        <f t="shared" si="49"/>
        <v>59908.922363410937</v>
      </c>
      <c r="E445" s="5">
        <f t="shared" si="50"/>
        <v>0</v>
      </c>
      <c r="F445" s="4">
        <f t="shared" si="51"/>
        <v>0</v>
      </c>
      <c r="G445" s="4">
        <f t="shared" si="52"/>
        <v>0</v>
      </c>
      <c r="H445" s="4">
        <f t="shared" si="55"/>
        <v>0</v>
      </c>
      <c r="I445" s="4">
        <f t="shared" si="53"/>
        <v>0</v>
      </c>
      <c r="J445" s="4">
        <f>SUM($H$18:$H445)</f>
        <v>237814.13672184906</v>
      </c>
    </row>
    <row r="446" spans="1:10">
      <c r="A446" s="7">
        <f>IF(Values_Entered,A445+1,"")</f>
        <v>429</v>
      </c>
      <c r="B446" s="6">
        <f t="shared" si="48"/>
        <v>57619</v>
      </c>
      <c r="C446" s="4">
        <f t="shared" si="54"/>
        <v>0</v>
      </c>
      <c r="D446" s="4">
        <f t="shared" si="49"/>
        <v>59908.922363410937</v>
      </c>
      <c r="E446" s="5">
        <f t="shared" si="50"/>
        <v>0</v>
      </c>
      <c r="F446" s="4">
        <f t="shared" si="51"/>
        <v>0</v>
      </c>
      <c r="G446" s="4">
        <f t="shared" si="52"/>
        <v>0</v>
      </c>
      <c r="H446" s="4">
        <f t="shared" si="55"/>
        <v>0</v>
      </c>
      <c r="I446" s="4">
        <f t="shared" si="53"/>
        <v>0</v>
      </c>
      <c r="J446" s="4">
        <f>SUM($H$18:$H446)</f>
        <v>237814.13672184906</v>
      </c>
    </row>
    <row r="447" spans="1:10">
      <c r="A447" s="7">
        <f>IF(Values_Entered,A446+1,"")</f>
        <v>430</v>
      </c>
      <c r="B447" s="6">
        <f t="shared" si="48"/>
        <v>57650</v>
      </c>
      <c r="C447" s="4">
        <f t="shared" si="54"/>
        <v>0</v>
      </c>
      <c r="D447" s="4">
        <f t="shared" si="49"/>
        <v>59908.922363410937</v>
      </c>
      <c r="E447" s="5">
        <f t="shared" si="50"/>
        <v>0</v>
      </c>
      <c r="F447" s="4">
        <f t="shared" si="51"/>
        <v>0</v>
      </c>
      <c r="G447" s="4">
        <f t="shared" si="52"/>
        <v>0</v>
      </c>
      <c r="H447" s="4">
        <f t="shared" si="55"/>
        <v>0</v>
      </c>
      <c r="I447" s="4">
        <f t="shared" si="53"/>
        <v>0</v>
      </c>
      <c r="J447" s="4">
        <f>SUM($H$18:$H447)</f>
        <v>237814.13672184906</v>
      </c>
    </row>
    <row r="448" spans="1:10">
      <c r="A448" s="7">
        <f>IF(Values_Entered,A447+1,"")</f>
        <v>431</v>
      </c>
      <c r="B448" s="6">
        <f t="shared" si="48"/>
        <v>57680</v>
      </c>
      <c r="C448" s="4">
        <f t="shared" si="54"/>
        <v>0</v>
      </c>
      <c r="D448" s="4">
        <f t="shared" si="49"/>
        <v>59908.922363410937</v>
      </c>
      <c r="E448" s="5">
        <f t="shared" si="50"/>
        <v>0</v>
      </c>
      <c r="F448" s="4">
        <f t="shared" si="51"/>
        <v>0</v>
      </c>
      <c r="G448" s="4">
        <f t="shared" si="52"/>
        <v>0</v>
      </c>
      <c r="H448" s="4">
        <f t="shared" si="55"/>
        <v>0</v>
      </c>
      <c r="I448" s="4">
        <f t="shared" si="53"/>
        <v>0</v>
      </c>
      <c r="J448" s="4">
        <f>SUM($H$18:$H448)</f>
        <v>237814.13672184906</v>
      </c>
    </row>
    <row r="449" spans="1:10">
      <c r="A449" s="7">
        <f>IF(Values_Entered,A448+1,"")</f>
        <v>432</v>
      </c>
      <c r="B449" s="6">
        <f t="shared" si="48"/>
        <v>57711</v>
      </c>
      <c r="C449" s="4">
        <f t="shared" si="54"/>
        <v>0</v>
      </c>
      <c r="D449" s="4">
        <f t="shared" si="49"/>
        <v>59908.922363410937</v>
      </c>
      <c r="E449" s="5">
        <f t="shared" si="50"/>
        <v>0</v>
      </c>
      <c r="F449" s="4">
        <f t="shared" si="51"/>
        <v>0</v>
      </c>
      <c r="G449" s="4">
        <f t="shared" si="52"/>
        <v>0</v>
      </c>
      <c r="H449" s="4">
        <f t="shared" si="55"/>
        <v>0</v>
      </c>
      <c r="I449" s="4">
        <f t="shared" si="53"/>
        <v>0</v>
      </c>
      <c r="J449" s="4">
        <f>SUM($H$18:$H449)</f>
        <v>237814.13672184906</v>
      </c>
    </row>
    <row r="450" spans="1:10">
      <c r="A450" s="7">
        <f>IF(Values_Entered,A449+1,"")</f>
        <v>433</v>
      </c>
      <c r="B450" s="6">
        <f t="shared" si="48"/>
        <v>57742</v>
      </c>
      <c r="C450" s="4">
        <f t="shared" si="54"/>
        <v>0</v>
      </c>
      <c r="D450" s="4">
        <f t="shared" si="49"/>
        <v>59908.922363410937</v>
      </c>
      <c r="E450" s="5">
        <f t="shared" si="50"/>
        <v>0</v>
      </c>
      <c r="F450" s="4">
        <f t="shared" si="51"/>
        <v>0</v>
      </c>
      <c r="G450" s="4">
        <f t="shared" si="52"/>
        <v>0</v>
      </c>
      <c r="H450" s="4">
        <f t="shared" si="55"/>
        <v>0</v>
      </c>
      <c r="I450" s="4">
        <f t="shared" si="53"/>
        <v>0</v>
      </c>
      <c r="J450" s="4">
        <f>SUM($H$18:$H450)</f>
        <v>237814.13672184906</v>
      </c>
    </row>
    <row r="451" spans="1:10">
      <c r="A451" s="7">
        <f>IF(Values_Entered,A450+1,"")</f>
        <v>434</v>
      </c>
      <c r="B451" s="6">
        <f t="shared" si="48"/>
        <v>57770</v>
      </c>
      <c r="C451" s="4">
        <f t="shared" si="54"/>
        <v>0</v>
      </c>
      <c r="D451" s="4">
        <f t="shared" si="49"/>
        <v>59908.922363410937</v>
      </c>
      <c r="E451" s="5">
        <f t="shared" si="50"/>
        <v>0</v>
      </c>
      <c r="F451" s="4">
        <f t="shared" si="51"/>
        <v>0</v>
      </c>
      <c r="G451" s="4">
        <f t="shared" si="52"/>
        <v>0</v>
      </c>
      <c r="H451" s="4">
        <f t="shared" si="55"/>
        <v>0</v>
      </c>
      <c r="I451" s="4">
        <f t="shared" si="53"/>
        <v>0</v>
      </c>
      <c r="J451" s="4">
        <f>SUM($H$18:$H451)</f>
        <v>237814.13672184906</v>
      </c>
    </row>
    <row r="452" spans="1:10">
      <c r="A452" s="7">
        <f>IF(Values_Entered,A451+1,"")</f>
        <v>435</v>
      </c>
      <c r="B452" s="6">
        <f t="shared" si="48"/>
        <v>57801</v>
      </c>
      <c r="C452" s="4">
        <f t="shared" si="54"/>
        <v>0</v>
      </c>
      <c r="D452" s="4">
        <f t="shared" si="49"/>
        <v>59908.922363410937</v>
      </c>
      <c r="E452" s="5">
        <f t="shared" si="50"/>
        <v>0</v>
      </c>
      <c r="F452" s="4">
        <f t="shared" si="51"/>
        <v>0</v>
      </c>
      <c r="G452" s="4">
        <f t="shared" si="52"/>
        <v>0</v>
      </c>
      <c r="H452" s="4">
        <f t="shared" si="55"/>
        <v>0</v>
      </c>
      <c r="I452" s="4">
        <f t="shared" si="53"/>
        <v>0</v>
      </c>
      <c r="J452" s="4">
        <f>SUM($H$18:$H452)</f>
        <v>237814.13672184906</v>
      </c>
    </row>
    <row r="453" spans="1:10">
      <c r="A453" s="7">
        <f>IF(Values_Entered,A452+1,"")</f>
        <v>436</v>
      </c>
      <c r="B453" s="6">
        <f t="shared" si="48"/>
        <v>57831</v>
      </c>
      <c r="C453" s="4">
        <f t="shared" si="54"/>
        <v>0</v>
      </c>
      <c r="D453" s="4">
        <f t="shared" si="49"/>
        <v>59908.922363410937</v>
      </c>
      <c r="E453" s="5">
        <f t="shared" si="50"/>
        <v>0</v>
      </c>
      <c r="F453" s="4">
        <f t="shared" si="51"/>
        <v>0</v>
      </c>
      <c r="G453" s="4">
        <f t="shared" si="52"/>
        <v>0</v>
      </c>
      <c r="H453" s="4">
        <f t="shared" si="55"/>
        <v>0</v>
      </c>
      <c r="I453" s="4">
        <f t="shared" si="53"/>
        <v>0</v>
      </c>
      <c r="J453" s="4">
        <f>SUM($H$18:$H453)</f>
        <v>237814.13672184906</v>
      </c>
    </row>
    <row r="454" spans="1:10">
      <c r="A454" s="7">
        <f>IF(Values_Entered,A453+1,"")</f>
        <v>437</v>
      </c>
      <c r="B454" s="6">
        <f t="shared" si="48"/>
        <v>57862</v>
      </c>
      <c r="C454" s="4">
        <f t="shared" si="54"/>
        <v>0</v>
      </c>
      <c r="D454" s="4">
        <f t="shared" si="49"/>
        <v>59908.922363410937</v>
      </c>
      <c r="E454" s="5">
        <f t="shared" si="50"/>
        <v>0</v>
      </c>
      <c r="F454" s="4">
        <f t="shared" si="51"/>
        <v>0</v>
      </c>
      <c r="G454" s="4">
        <f t="shared" si="52"/>
        <v>0</v>
      </c>
      <c r="H454" s="4">
        <f t="shared" si="55"/>
        <v>0</v>
      </c>
      <c r="I454" s="4">
        <f t="shared" si="53"/>
        <v>0</v>
      </c>
      <c r="J454" s="4">
        <f>SUM($H$18:$H454)</f>
        <v>237814.13672184906</v>
      </c>
    </row>
    <row r="455" spans="1:10">
      <c r="A455" s="7">
        <f>IF(Values_Entered,A454+1,"")</f>
        <v>438</v>
      </c>
      <c r="B455" s="6">
        <f t="shared" si="48"/>
        <v>57892</v>
      </c>
      <c r="C455" s="4">
        <f t="shared" si="54"/>
        <v>0</v>
      </c>
      <c r="D455" s="4">
        <f t="shared" si="49"/>
        <v>59908.922363410937</v>
      </c>
      <c r="E455" s="5">
        <f t="shared" si="50"/>
        <v>0</v>
      </c>
      <c r="F455" s="4">
        <f t="shared" si="51"/>
        <v>0</v>
      </c>
      <c r="G455" s="4">
        <f t="shared" si="52"/>
        <v>0</v>
      </c>
      <c r="H455" s="4">
        <f t="shared" si="55"/>
        <v>0</v>
      </c>
      <c r="I455" s="4">
        <f t="shared" si="53"/>
        <v>0</v>
      </c>
      <c r="J455" s="4">
        <f>SUM($H$18:$H455)</f>
        <v>237814.13672184906</v>
      </c>
    </row>
    <row r="456" spans="1:10">
      <c r="A456" s="7">
        <f>IF(Values_Entered,A455+1,"")</f>
        <v>439</v>
      </c>
      <c r="B456" s="6">
        <f t="shared" si="48"/>
        <v>57923</v>
      </c>
      <c r="C456" s="4">
        <f t="shared" si="54"/>
        <v>0</v>
      </c>
      <c r="D456" s="4">
        <f t="shared" si="49"/>
        <v>59908.922363410937</v>
      </c>
      <c r="E456" s="5">
        <f t="shared" si="50"/>
        <v>0</v>
      </c>
      <c r="F456" s="4">
        <f t="shared" si="51"/>
        <v>0</v>
      </c>
      <c r="G456" s="4">
        <f t="shared" si="52"/>
        <v>0</v>
      </c>
      <c r="H456" s="4">
        <f t="shared" si="55"/>
        <v>0</v>
      </c>
      <c r="I456" s="4">
        <f t="shared" si="53"/>
        <v>0</v>
      </c>
      <c r="J456" s="4">
        <f>SUM($H$18:$H456)</f>
        <v>237814.13672184906</v>
      </c>
    </row>
    <row r="457" spans="1:10">
      <c r="A457" s="7">
        <f>IF(Values_Entered,A456+1,"")</f>
        <v>440</v>
      </c>
      <c r="B457" s="6">
        <f t="shared" si="48"/>
        <v>57954</v>
      </c>
      <c r="C457" s="4">
        <f t="shared" si="54"/>
        <v>0</v>
      </c>
      <c r="D457" s="4">
        <f t="shared" si="49"/>
        <v>59908.922363410937</v>
      </c>
      <c r="E457" s="5">
        <f t="shared" si="50"/>
        <v>0</v>
      </c>
      <c r="F457" s="4">
        <f t="shared" si="51"/>
        <v>0</v>
      </c>
      <c r="G457" s="4">
        <f t="shared" si="52"/>
        <v>0</v>
      </c>
      <c r="H457" s="4">
        <f t="shared" si="55"/>
        <v>0</v>
      </c>
      <c r="I457" s="4">
        <f t="shared" si="53"/>
        <v>0</v>
      </c>
      <c r="J457" s="4">
        <f>SUM($H$18:$H457)</f>
        <v>237814.13672184906</v>
      </c>
    </row>
    <row r="458" spans="1:10">
      <c r="A458" s="7">
        <f>IF(Values_Entered,A457+1,"")</f>
        <v>441</v>
      </c>
      <c r="B458" s="6">
        <f t="shared" si="48"/>
        <v>57984</v>
      </c>
      <c r="C458" s="4">
        <f t="shared" si="54"/>
        <v>0</v>
      </c>
      <c r="D458" s="4">
        <f t="shared" si="49"/>
        <v>59908.922363410937</v>
      </c>
      <c r="E458" s="5">
        <f t="shared" si="50"/>
        <v>0</v>
      </c>
      <c r="F458" s="4">
        <f t="shared" si="51"/>
        <v>0</v>
      </c>
      <c r="G458" s="4">
        <f t="shared" si="52"/>
        <v>0</v>
      </c>
      <c r="H458" s="4">
        <f t="shared" si="55"/>
        <v>0</v>
      </c>
      <c r="I458" s="4">
        <f t="shared" si="53"/>
        <v>0</v>
      </c>
      <c r="J458" s="4">
        <f>SUM($H$18:$H458)</f>
        <v>237814.13672184906</v>
      </c>
    </row>
    <row r="459" spans="1:10">
      <c r="A459" s="7">
        <f>IF(Values_Entered,A458+1,"")</f>
        <v>442</v>
      </c>
      <c r="B459" s="6">
        <f t="shared" si="48"/>
        <v>58015</v>
      </c>
      <c r="C459" s="4">
        <f t="shared" si="54"/>
        <v>0</v>
      </c>
      <c r="D459" s="4">
        <f t="shared" si="49"/>
        <v>59908.922363410937</v>
      </c>
      <c r="E459" s="5">
        <f t="shared" si="50"/>
        <v>0</v>
      </c>
      <c r="F459" s="4">
        <f t="shared" si="51"/>
        <v>0</v>
      </c>
      <c r="G459" s="4">
        <f t="shared" si="52"/>
        <v>0</v>
      </c>
      <c r="H459" s="4">
        <f t="shared" si="55"/>
        <v>0</v>
      </c>
      <c r="I459" s="4">
        <f t="shared" si="53"/>
        <v>0</v>
      </c>
      <c r="J459" s="4">
        <f>SUM($H$18:$H459)</f>
        <v>237814.13672184906</v>
      </c>
    </row>
    <row r="460" spans="1:10">
      <c r="A460" s="7">
        <f>IF(Values_Entered,A459+1,"")</f>
        <v>443</v>
      </c>
      <c r="B460" s="6">
        <f t="shared" si="48"/>
        <v>58045</v>
      </c>
      <c r="C460" s="4">
        <f t="shared" si="54"/>
        <v>0</v>
      </c>
      <c r="D460" s="4">
        <f t="shared" si="49"/>
        <v>59908.922363410937</v>
      </c>
      <c r="E460" s="5">
        <f t="shared" si="50"/>
        <v>0</v>
      </c>
      <c r="F460" s="4">
        <f t="shared" si="51"/>
        <v>0</v>
      </c>
      <c r="G460" s="4">
        <f t="shared" si="52"/>
        <v>0</v>
      </c>
      <c r="H460" s="4">
        <f t="shared" si="55"/>
        <v>0</v>
      </c>
      <c r="I460" s="4">
        <f t="shared" si="53"/>
        <v>0</v>
      </c>
      <c r="J460" s="4">
        <f>SUM($H$18:$H460)</f>
        <v>237814.13672184906</v>
      </c>
    </row>
    <row r="461" spans="1:10">
      <c r="A461" s="7">
        <f>IF(Values_Entered,A460+1,"")</f>
        <v>444</v>
      </c>
      <c r="B461" s="6">
        <f t="shared" si="48"/>
        <v>58076</v>
      </c>
      <c r="C461" s="4">
        <f t="shared" si="54"/>
        <v>0</v>
      </c>
      <c r="D461" s="4">
        <f t="shared" si="49"/>
        <v>59908.922363410937</v>
      </c>
      <c r="E461" s="5">
        <f t="shared" si="50"/>
        <v>0</v>
      </c>
      <c r="F461" s="4">
        <f t="shared" si="51"/>
        <v>0</v>
      </c>
      <c r="G461" s="4">
        <f t="shared" si="52"/>
        <v>0</v>
      </c>
      <c r="H461" s="4">
        <f t="shared" si="55"/>
        <v>0</v>
      </c>
      <c r="I461" s="4">
        <f t="shared" si="53"/>
        <v>0</v>
      </c>
      <c r="J461" s="4">
        <f>SUM($H$18:$H461)</f>
        <v>237814.13672184906</v>
      </c>
    </row>
    <row r="462" spans="1:10">
      <c r="A462" s="7">
        <f>IF(Values_Entered,A461+1,"")</f>
        <v>445</v>
      </c>
      <c r="B462" s="6">
        <f t="shared" si="48"/>
        <v>58107</v>
      </c>
      <c r="C462" s="4">
        <f t="shared" si="54"/>
        <v>0</v>
      </c>
      <c r="D462" s="4">
        <f t="shared" si="49"/>
        <v>59908.922363410937</v>
      </c>
      <c r="E462" s="5">
        <f t="shared" si="50"/>
        <v>0</v>
      </c>
      <c r="F462" s="4">
        <f t="shared" si="51"/>
        <v>0</v>
      </c>
      <c r="G462" s="4">
        <f t="shared" si="52"/>
        <v>0</v>
      </c>
      <c r="H462" s="4">
        <f t="shared" si="55"/>
        <v>0</v>
      </c>
      <c r="I462" s="4">
        <f t="shared" si="53"/>
        <v>0</v>
      </c>
      <c r="J462" s="4">
        <f>SUM($H$18:$H462)</f>
        <v>237814.13672184906</v>
      </c>
    </row>
    <row r="463" spans="1:10">
      <c r="A463" s="7">
        <f>IF(Values_Entered,A462+1,"")</f>
        <v>446</v>
      </c>
      <c r="B463" s="6">
        <f t="shared" si="48"/>
        <v>58135</v>
      </c>
      <c r="C463" s="4">
        <f t="shared" si="54"/>
        <v>0</v>
      </c>
      <c r="D463" s="4">
        <f t="shared" si="49"/>
        <v>59908.922363410937</v>
      </c>
      <c r="E463" s="5">
        <f t="shared" si="50"/>
        <v>0</v>
      </c>
      <c r="F463" s="4">
        <f t="shared" si="51"/>
        <v>0</v>
      </c>
      <c r="G463" s="4">
        <f t="shared" si="52"/>
        <v>0</v>
      </c>
      <c r="H463" s="4">
        <f t="shared" si="55"/>
        <v>0</v>
      </c>
      <c r="I463" s="4">
        <f t="shared" si="53"/>
        <v>0</v>
      </c>
      <c r="J463" s="4">
        <f>SUM($H$18:$H463)</f>
        <v>237814.13672184906</v>
      </c>
    </row>
    <row r="464" spans="1:10">
      <c r="A464" s="7">
        <f>IF(Values_Entered,A463+1,"")</f>
        <v>447</v>
      </c>
      <c r="B464" s="6">
        <f t="shared" si="48"/>
        <v>58166</v>
      </c>
      <c r="C464" s="4">
        <f t="shared" si="54"/>
        <v>0</v>
      </c>
      <c r="D464" s="4">
        <f t="shared" si="49"/>
        <v>59908.922363410937</v>
      </c>
      <c r="E464" s="5">
        <f t="shared" si="50"/>
        <v>0</v>
      </c>
      <c r="F464" s="4">
        <f t="shared" si="51"/>
        <v>0</v>
      </c>
      <c r="G464" s="4">
        <f t="shared" si="52"/>
        <v>0</v>
      </c>
      <c r="H464" s="4">
        <f t="shared" si="55"/>
        <v>0</v>
      </c>
      <c r="I464" s="4">
        <f t="shared" si="53"/>
        <v>0</v>
      </c>
      <c r="J464" s="4">
        <f>SUM($H$18:$H464)</f>
        <v>237814.13672184906</v>
      </c>
    </row>
    <row r="465" spans="1:10">
      <c r="A465" s="7">
        <f>IF(Values_Entered,A464+1,"")</f>
        <v>448</v>
      </c>
      <c r="B465" s="6">
        <f t="shared" si="48"/>
        <v>58196</v>
      </c>
      <c r="C465" s="4">
        <f t="shared" si="54"/>
        <v>0</v>
      </c>
      <c r="D465" s="4">
        <f t="shared" si="49"/>
        <v>59908.922363410937</v>
      </c>
      <c r="E465" s="5">
        <f t="shared" si="50"/>
        <v>0</v>
      </c>
      <c r="F465" s="4">
        <f t="shared" si="51"/>
        <v>0</v>
      </c>
      <c r="G465" s="4">
        <f t="shared" si="52"/>
        <v>0</v>
      </c>
      <c r="H465" s="4">
        <f t="shared" si="55"/>
        <v>0</v>
      </c>
      <c r="I465" s="4">
        <f t="shared" si="53"/>
        <v>0</v>
      </c>
      <c r="J465" s="4">
        <f>SUM($H$18:$H465)</f>
        <v>237814.13672184906</v>
      </c>
    </row>
    <row r="466" spans="1:10">
      <c r="A466" s="7">
        <f>IF(Values_Entered,A465+1,"")</f>
        <v>449</v>
      </c>
      <c r="B466" s="6">
        <f t="shared" ref="B466:B497" si="56">IF(Pay_Num&lt;&gt;"",DATE(YEAR(Loan_Start),MONTH(Loan_Start)+(Pay_Num)*12/Num_Pmt_Per_Year,DAY(Loan_Start)),"")</f>
        <v>58227</v>
      </c>
      <c r="C466" s="4">
        <f t="shared" si="54"/>
        <v>0</v>
      </c>
      <c r="D466" s="4">
        <f t="shared" ref="D466:D497" si="57">IF(Pay_Num&lt;&gt;"",Scheduled_Monthly_Payment,"")</f>
        <v>59908.922363410937</v>
      </c>
      <c r="E466" s="5">
        <f t="shared" ref="E466:E497" si="58">IF(AND(Pay_Num&lt;&gt;"",Sched_Pay+Scheduled_Extra_Payments&lt;Beg_Bal),Scheduled_Extra_Payments,IF(AND(Pay_Num&lt;&gt;"",Beg_Bal-Sched_Pay&gt;0),Beg_Bal-Sched_Pay,IF(Pay_Num&lt;&gt;"",0,"")))</f>
        <v>0</v>
      </c>
      <c r="F466" s="4">
        <f t="shared" ref="F466:F497" si="59">IF(AND(Pay_Num&lt;&gt;"",Sched_Pay+Extra_Pay&lt;Beg_Bal),Sched_Pay+Extra_Pay,IF(Pay_Num&lt;&gt;"",Beg_Bal,""))</f>
        <v>0</v>
      </c>
      <c r="G466" s="4">
        <f t="shared" ref="G466:G497" si="60">IF(Pay_Num&lt;&gt;"",Total_Pay-Int,"")</f>
        <v>0</v>
      </c>
      <c r="H466" s="4">
        <f t="shared" si="55"/>
        <v>0</v>
      </c>
      <c r="I466" s="4">
        <f t="shared" ref="I466:I497" si="61">IF(AND(Pay_Num&lt;&gt;"",Sched_Pay+Extra_Pay&lt;Beg_Bal),Beg_Bal-Princ,IF(Pay_Num&lt;&gt;"",0,""))</f>
        <v>0</v>
      </c>
      <c r="J466" s="4">
        <f>SUM($H$18:$H466)</f>
        <v>237814.13672184906</v>
      </c>
    </row>
    <row r="467" spans="1:10">
      <c r="A467" s="7">
        <f>IF(Values_Entered,A466+1,"")</f>
        <v>450</v>
      </c>
      <c r="B467" s="6">
        <f t="shared" si="56"/>
        <v>58257</v>
      </c>
      <c r="C467" s="4">
        <f t="shared" ref="C467:C497" si="62">IF(Pay_Num&lt;&gt;"",I466,"")</f>
        <v>0</v>
      </c>
      <c r="D467" s="4">
        <f t="shared" si="57"/>
        <v>59908.922363410937</v>
      </c>
      <c r="E467" s="5">
        <f t="shared" si="58"/>
        <v>0</v>
      </c>
      <c r="F467" s="4">
        <f t="shared" si="59"/>
        <v>0</v>
      </c>
      <c r="G467" s="4">
        <f t="shared" si="60"/>
        <v>0</v>
      </c>
      <c r="H467" s="4">
        <f t="shared" ref="H467:H497" si="63">IF(Pay_Num&lt;&gt;"",Beg_Bal*Interest_Rate/Num_Pmt_Per_Year,"")</f>
        <v>0</v>
      </c>
      <c r="I467" s="4">
        <f t="shared" si="61"/>
        <v>0</v>
      </c>
      <c r="J467" s="4">
        <f>SUM($H$18:$H467)</f>
        <v>237814.13672184906</v>
      </c>
    </row>
    <row r="468" spans="1:10">
      <c r="A468" s="7">
        <f>IF(Values_Entered,A467+1,"")</f>
        <v>451</v>
      </c>
      <c r="B468" s="6">
        <f t="shared" si="56"/>
        <v>58288</v>
      </c>
      <c r="C468" s="4">
        <f t="shared" si="62"/>
        <v>0</v>
      </c>
      <c r="D468" s="4">
        <f t="shared" si="57"/>
        <v>59908.922363410937</v>
      </c>
      <c r="E468" s="5">
        <f t="shared" si="58"/>
        <v>0</v>
      </c>
      <c r="F468" s="4">
        <f t="shared" si="59"/>
        <v>0</v>
      </c>
      <c r="G468" s="4">
        <f t="shared" si="60"/>
        <v>0</v>
      </c>
      <c r="H468" s="4">
        <f t="shared" si="63"/>
        <v>0</v>
      </c>
      <c r="I468" s="4">
        <f t="shared" si="61"/>
        <v>0</v>
      </c>
      <c r="J468" s="4">
        <f>SUM($H$18:$H468)</f>
        <v>237814.13672184906</v>
      </c>
    </row>
    <row r="469" spans="1:10">
      <c r="A469" s="7">
        <f>IF(Values_Entered,A468+1,"")</f>
        <v>452</v>
      </c>
      <c r="B469" s="6">
        <f t="shared" si="56"/>
        <v>58319</v>
      </c>
      <c r="C469" s="4">
        <f t="shared" si="62"/>
        <v>0</v>
      </c>
      <c r="D469" s="4">
        <f t="shared" si="57"/>
        <v>59908.922363410937</v>
      </c>
      <c r="E469" s="5">
        <f t="shared" si="58"/>
        <v>0</v>
      </c>
      <c r="F469" s="4">
        <f t="shared" si="59"/>
        <v>0</v>
      </c>
      <c r="G469" s="4">
        <f t="shared" si="60"/>
        <v>0</v>
      </c>
      <c r="H469" s="4">
        <f t="shared" si="63"/>
        <v>0</v>
      </c>
      <c r="I469" s="4">
        <f t="shared" si="61"/>
        <v>0</v>
      </c>
      <c r="J469" s="4">
        <f>SUM($H$18:$H469)</f>
        <v>237814.13672184906</v>
      </c>
    </row>
    <row r="470" spans="1:10">
      <c r="A470" s="7">
        <f>IF(Values_Entered,A469+1,"")</f>
        <v>453</v>
      </c>
      <c r="B470" s="6">
        <f t="shared" si="56"/>
        <v>58349</v>
      </c>
      <c r="C470" s="4">
        <f t="shared" si="62"/>
        <v>0</v>
      </c>
      <c r="D470" s="4">
        <f t="shared" si="57"/>
        <v>59908.922363410937</v>
      </c>
      <c r="E470" s="5">
        <f t="shared" si="58"/>
        <v>0</v>
      </c>
      <c r="F470" s="4">
        <f t="shared" si="59"/>
        <v>0</v>
      </c>
      <c r="G470" s="4">
        <f t="shared" si="60"/>
        <v>0</v>
      </c>
      <c r="H470" s="4">
        <f t="shared" si="63"/>
        <v>0</v>
      </c>
      <c r="I470" s="4">
        <f t="shared" si="61"/>
        <v>0</v>
      </c>
      <c r="J470" s="4">
        <f>SUM($H$18:$H470)</f>
        <v>237814.13672184906</v>
      </c>
    </row>
    <row r="471" spans="1:10">
      <c r="A471" s="7">
        <f>IF(Values_Entered,A470+1,"")</f>
        <v>454</v>
      </c>
      <c r="B471" s="6">
        <f t="shared" si="56"/>
        <v>58380</v>
      </c>
      <c r="C471" s="4">
        <f t="shared" si="62"/>
        <v>0</v>
      </c>
      <c r="D471" s="4">
        <f t="shared" si="57"/>
        <v>59908.922363410937</v>
      </c>
      <c r="E471" s="5">
        <f t="shared" si="58"/>
        <v>0</v>
      </c>
      <c r="F471" s="4">
        <f t="shared" si="59"/>
        <v>0</v>
      </c>
      <c r="G471" s="4">
        <f t="shared" si="60"/>
        <v>0</v>
      </c>
      <c r="H471" s="4">
        <f t="shared" si="63"/>
        <v>0</v>
      </c>
      <c r="I471" s="4">
        <f t="shared" si="61"/>
        <v>0</v>
      </c>
      <c r="J471" s="4">
        <f>SUM($H$18:$H471)</f>
        <v>237814.13672184906</v>
      </c>
    </row>
    <row r="472" spans="1:10">
      <c r="A472" s="7">
        <f>IF(Values_Entered,A471+1,"")</f>
        <v>455</v>
      </c>
      <c r="B472" s="6">
        <f t="shared" si="56"/>
        <v>58410</v>
      </c>
      <c r="C472" s="4">
        <f t="shared" si="62"/>
        <v>0</v>
      </c>
      <c r="D472" s="4">
        <f t="shared" si="57"/>
        <v>59908.922363410937</v>
      </c>
      <c r="E472" s="5">
        <f t="shared" si="58"/>
        <v>0</v>
      </c>
      <c r="F472" s="4">
        <f t="shared" si="59"/>
        <v>0</v>
      </c>
      <c r="G472" s="4">
        <f t="shared" si="60"/>
        <v>0</v>
      </c>
      <c r="H472" s="4">
        <f t="shared" si="63"/>
        <v>0</v>
      </c>
      <c r="I472" s="4">
        <f t="shared" si="61"/>
        <v>0</v>
      </c>
      <c r="J472" s="4">
        <f>SUM($H$18:$H472)</f>
        <v>237814.13672184906</v>
      </c>
    </row>
    <row r="473" spans="1:10">
      <c r="A473" s="7">
        <f>IF(Values_Entered,A472+1,"")</f>
        <v>456</v>
      </c>
      <c r="B473" s="6">
        <f t="shared" si="56"/>
        <v>58441</v>
      </c>
      <c r="C473" s="4">
        <f t="shared" si="62"/>
        <v>0</v>
      </c>
      <c r="D473" s="4">
        <f t="shared" si="57"/>
        <v>59908.922363410937</v>
      </c>
      <c r="E473" s="5">
        <f t="shared" si="58"/>
        <v>0</v>
      </c>
      <c r="F473" s="4">
        <f t="shared" si="59"/>
        <v>0</v>
      </c>
      <c r="G473" s="4">
        <f t="shared" si="60"/>
        <v>0</v>
      </c>
      <c r="H473" s="4">
        <f t="shared" si="63"/>
        <v>0</v>
      </c>
      <c r="I473" s="4">
        <f t="shared" si="61"/>
        <v>0</v>
      </c>
      <c r="J473" s="4">
        <f>SUM($H$18:$H473)</f>
        <v>237814.13672184906</v>
      </c>
    </row>
    <row r="474" spans="1:10">
      <c r="A474" s="7">
        <f>IF(Values_Entered,A473+1,"")</f>
        <v>457</v>
      </c>
      <c r="B474" s="6">
        <f t="shared" si="56"/>
        <v>58472</v>
      </c>
      <c r="C474" s="4">
        <f t="shared" si="62"/>
        <v>0</v>
      </c>
      <c r="D474" s="4">
        <f t="shared" si="57"/>
        <v>59908.922363410937</v>
      </c>
      <c r="E474" s="5">
        <f t="shared" si="58"/>
        <v>0</v>
      </c>
      <c r="F474" s="4">
        <f t="shared" si="59"/>
        <v>0</v>
      </c>
      <c r="G474" s="4">
        <f t="shared" si="60"/>
        <v>0</v>
      </c>
      <c r="H474" s="4">
        <f t="shared" si="63"/>
        <v>0</v>
      </c>
      <c r="I474" s="4">
        <f t="shared" si="61"/>
        <v>0</v>
      </c>
      <c r="J474" s="4">
        <f>SUM($H$18:$H474)</f>
        <v>237814.13672184906</v>
      </c>
    </row>
    <row r="475" spans="1:10">
      <c r="A475" s="7">
        <f>IF(Values_Entered,A474+1,"")</f>
        <v>458</v>
      </c>
      <c r="B475" s="6">
        <f t="shared" si="56"/>
        <v>58501</v>
      </c>
      <c r="C475" s="4">
        <f t="shared" si="62"/>
        <v>0</v>
      </c>
      <c r="D475" s="4">
        <f t="shared" si="57"/>
        <v>59908.922363410937</v>
      </c>
      <c r="E475" s="5">
        <f t="shared" si="58"/>
        <v>0</v>
      </c>
      <c r="F475" s="4">
        <f t="shared" si="59"/>
        <v>0</v>
      </c>
      <c r="G475" s="4">
        <f t="shared" si="60"/>
        <v>0</v>
      </c>
      <c r="H475" s="4">
        <f t="shared" si="63"/>
        <v>0</v>
      </c>
      <c r="I475" s="4">
        <f t="shared" si="61"/>
        <v>0</v>
      </c>
      <c r="J475" s="4">
        <f>SUM($H$18:$H475)</f>
        <v>237814.13672184906</v>
      </c>
    </row>
    <row r="476" spans="1:10">
      <c r="A476" s="7">
        <f>IF(Values_Entered,A475+1,"")</f>
        <v>459</v>
      </c>
      <c r="B476" s="6">
        <f t="shared" si="56"/>
        <v>58532</v>
      </c>
      <c r="C476" s="4">
        <f t="shared" si="62"/>
        <v>0</v>
      </c>
      <c r="D476" s="4">
        <f t="shared" si="57"/>
        <v>59908.922363410937</v>
      </c>
      <c r="E476" s="5">
        <f t="shared" si="58"/>
        <v>0</v>
      </c>
      <c r="F476" s="4">
        <f t="shared" si="59"/>
        <v>0</v>
      </c>
      <c r="G476" s="4">
        <f t="shared" si="60"/>
        <v>0</v>
      </c>
      <c r="H476" s="4">
        <f t="shared" si="63"/>
        <v>0</v>
      </c>
      <c r="I476" s="4">
        <f t="shared" si="61"/>
        <v>0</v>
      </c>
      <c r="J476" s="4">
        <f>SUM($H$18:$H476)</f>
        <v>237814.13672184906</v>
      </c>
    </row>
    <row r="477" spans="1:10">
      <c r="A477" s="7">
        <f>IF(Values_Entered,A476+1,"")</f>
        <v>460</v>
      </c>
      <c r="B477" s="6">
        <f t="shared" si="56"/>
        <v>58562</v>
      </c>
      <c r="C477" s="4">
        <f t="shared" si="62"/>
        <v>0</v>
      </c>
      <c r="D477" s="4">
        <f t="shared" si="57"/>
        <v>59908.922363410937</v>
      </c>
      <c r="E477" s="5">
        <f t="shared" si="58"/>
        <v>0</v>
      </c>
      <c r="F477" s="4">
        <f t="shared" si="59"/>
        <v>0</v>
      </c>
      <c r="G477" s="4">
        <f t="shared" si="60"/>
        <v>0</v>
      </c>
      <c r="H477" s="4">
        <f t="shared" si="63"/>
        <v>0</v>
      </c>
      <c r="I477" s="4">
        <f t="shared" si="61"/>
        <v>0</v>
      </c>
      <c r="J477" s="4">
        <f>SUM($H$18:$H477)</f>
        <v>237814.13672184906</v>
      </c>
    </row>
    <row r="478" spans="1:10">
      <c r="A478" s="7">
        <f>IF(Values_Entered,A477+1,"")</f>
        <v>461</v>
      </c>
      <c r="B478" s="6">
        <f t="shared" si="56"/>
        <v>58593</v>
      </c>
      <c r="C478" s="4">
        <f t="shared" si="62"/>
        <v>0</v>
      </c>
      <c r="D478" s="4">
        <f t="shared" si="57"/>
        <v>59908.922363410937</v>
      </c>
      <c r="E478" s="5">
        <f t="shared" si="58"/>
        <v>0</v>
      </c>
      <c r="F478" s="4">
        <f t="shared" si="59"/>
        <v>0</v>
      </c>
      <c r="G478" s="4">
        <f t="shared" si="60"/>
        <v>0</v>
      </c>
      <c r="H478" s="4">
        <f t="shared" si="63"/>
        <v>0</v>
      </c>
      <c r="I478" s="4">
        <f t="shared" si="61"/>
        <v>0</v>
      </c>
      <c r="J478" s="4">
        <f>SUM($H$18:$H478)</f>
        <v>237814.13672184906</v>
      </c>
    </row>
    <row r="479" spans="1:10">
      <c r="A479" s="7">
        <f>IF(Values_Entered,A478+1,"")</f>
        <v>462</v>
      </c>
      <c r="B479" s="6">
        <f t="shared" si="56"/>
        <v>58623</v>
      </c>
      <c r="C479" s="4">
        <f t="shared" si="62"/>
        <v>0</v>
      </c>
      <c r="D479" s="4">
        <f t="shared" si="57"/>
        <v>59908.922363410937</v>
      </c>
      <c r="E479" s="5">
        <f t="shared" si="58"/>
        <v>0</v>
      </c>
      <c r="F479" s="4">
        <f t="shared" si="59"/>
        <v>0</v>
      </c>
      <c r="G479" s="4">
        <f t="shared" si="60"/>
        <v>0</v>
      </c>
      <c r="H479" s="4">
        <f t="shared" si="63"/>
        <v>0</v>
      </c>
      <c r="I479" s="4">
        <f t="shared" si="61"/>
        <v>0</v>
      </c>
      <c r="J479" s="4">
        <f>SUM($H$18:$H479)</f>
        <v>237814.13672184906</v>
      </c>
    </row>
    <row r="480" spans="1:10">
      <c r="A480" s="7">
        <f>IF(Values_Entered,A479+1,"")</f>
        <v>463</v>
      </c>
      <c r="B480" s="6">
        <f t="shared" si="56"/>
        <v>58654</v>
      </c>
      <c r="C480" s="4">
        <f t="shared" si="62"/>
        <v>0</v>
      </c>
      <c r="D480" s="4">
        <f t="shared" si="57"/>
        <v>59908.922363410937</v>
      </c>
      <c r="E480" s="5">
        <f t="shared" si="58"/>
        <v>0</v>
      </c>
      <c r="F480" s="4">
        <f t="shared" si="59"/>
        <v>0</v>
      </c>
      <c r="G480" s="4">
        <f t="shared" si="60"/>
        <v>0</v>
      </c>
      <c r="H480" s="4">
        <f t="shared" si="63"/>
        <v>0</v>
      </c>
      <c r="I480" s="4">
        <f t="shared" si="61"/>
        <v>0</v>
      </c>
      <c r="J480" s="4">
        <f>SUM($H$18:$H480)</f>
        <v>237814.13672184906</v>
      </c>
    </row>
    <row r="481" spans="1:10">
      <c r="A481" s="7">
        <f>IF(Values_Entered,A480+1,"")</f>
        <v>464</v>
      </c>
      <c r="B481" s="6">
        <f t="shared" si="56"/>
        <v>58685</v>
      </c>
      <c r="C481" s="4">
        <f t="shared" si="62"/>
        <v>0</v>
      </c>
      <c r="D481" s="4">
        <f t="shared" si="57"/>
        <v>59908.922363410937</v>
      </c>
      <c r="E481" s="5">
        <f t="shared" si="58"/>
        <v>0</v>
      </c>
      <c r="F481" s="4">
        <f t="shared" si="59"/>
        <v>0</v>
      </c>
      <c r="G481" s="4">
        <f t="shared" si="60"/>
        <v>0</v>
      </c>
      <c r="H481" s="4">
        <f t="shared" si="63"/>
        <v>0</v>
      </c>
      <c r="I481" s="4">
        <f t="shared" si="61"/>
        <v>0</v>
      </c>
      <c r="J481" s="4">
        <f>SUM($H$18:$H481)</f>
        <v>237814.13672184906</v>
      </c>
    </row>
    <row r="482" spans="1:10">
      <c r="A482" s="7">
        <f>IF(Values_Entered,A481+1,"")</f>
        <v>465</v>
      </c>
      <c r="B482" s="6">
        <f t="shared" si="56"/>
        <v>58715</v>
      </c>
      <c r="C482" s="4">
        <f t="shared" si="62"/>
        <v>0</v>
      </c>
      <c r="D482" s="4">
        <f t="shared" si="57"/>
        <v>59908.922363410937</v>
      </c>
      <c r="E482" s="5">
        <f t="shared" si="58"/>
        <v>0</v>
      </c>
      <c r="F482" s="4">
        <f t="shared" si="59"/>
        <v>0</v>
      </c>
      <c r="G482" s="4">
        <f t="shared" si="60"/>
        <v>0</v>
      </c>
      <c r="H482" s="4">
        <f t="shared" si="63"/>
        <v>0</v>
      </c>
      <c r="I482" s="4">
        <f t="shared" si="61"/>
        <v>0</v>
      </c>
      <c r="J482" s="4">
        <f>SUM($H$18:$H482)</f>
        <v>237814.13672184906</v>
      </c>
    </row>
    <row r="483" spans="1:10">
      <c r="A483" s="7">
        <f>IF(Values_Entered,A482+1,"")</f>
        <v>466</v>
      </c>
      <c r="B483" s="6">
        <f t="shared" si="56"/>
        <v>58746</v>
      </c>
      <c r="C483" s="4">
        <f t="shared" si="62"/>
        <v>0</v>
      </c>
      <c r="D483" s="4">
        <f t="shared" si="57"/>
        <v>59908.922363410937</v>
      </c>
      <c r="E483" s="5">
        <f t="shared" si="58"/>
        <v>0</v>
      </c>
      <c r="F483" s="4">
        <f t="shared" si="59"/>
        <v>0</v>
      </c>
      <c r="G483" s="4">
        <f t="shared" si="60"/>
        <v>0</v>
      </c>
      <c r="H483" s="4">
        <f t="shared" si="63"/>
        <v>0</v>
      </c>
      <c r="I483" s="4">
        <f t="shared" si="61"/>
        <v>0</v>
      </c>
      <c r="J483" s="4">
        <f>SUM($H$18:$H483)</f>
        <v>237814.13672184906</v>
      </c>
    </row>
    <row r="484" spans="1:10">
      <c r="A484" s="7">
        <f>IF(Values_Entered,A483+1,"")</f>
        <v>467</v>
      </c>
      <c r="B484" s="6">
        <f t="shared" si="56"/>
        <v>58776</v>
      </c>
      <c r="C484" s="4">
        <f t="shared" si="62"/>
        <v>0</v>
      </c>
      <c r="D484" s="4">
        <f t="shared" si="57"/>
        <v>59908.922363410937</v>
      </c>
      <c r="E484" s="5">
        <f t="shared" si="58"/>
        <v>0</v>
      </c>
      <c r="F484" s="4">
        <f t="shared" si="59"/>
        <v>0</v>
      </c>
      <c r="G484" s="4">
        <f t="shared" si="60"/>
        <v>0</v>
      </c>
      <c r="H484" s="4">
        <f t="shared" si="63"/>
        <v>0</v>
      </c>
      <c r="I484" s="4">
        <f t="shared" si="61"/>
        <v>0</v>
      </c>
      <c r="J484" s="4">
        <f>SUM($H$18:$H484)</f>
        <v>237814.13672184906</v>
      </c>
    </row>
    <row r="485" spans="1:10">
      <c r="A485" s="7">
        <f>IF(Values_Entered,A484+1,"")</f>
        <v>468</v>
      </c>
      <c r="B485" s="6">
        <f t="shared" si="56"/>
        <v>58807</v>
      </c>
      <c r="C485" s="4">
        <f t="shared" si="62"/>
        <v>0</v>
      </c>
      <c r="D485" s="4">
        <f t="shared" si="57"/>
        <v>59908.922363410937</v>
      </c>
      <c r="E485" s="5">
        <f t="shared" si="58"/>
        <v>0</v>
      </c>
      <c r="F485" s="4">
        <f t="shared" si="59"/>
        <v>0</v>
      </c>
      <c r="G485" s="4">
        <f t="shared" si="60"/>
        <v>0</v>
      </c>
      <c r="H485" s="4">
        <f t="shared" si="63"/>
        <v>0</v>
      </c>
      <c r="I485" s="4">
        <f t="shared" si="61"/>
        <v>0</v>
      </c>
      <c r="J485" s="4">
        <f>SUM($H$18:$H485)</f>
        <v>237814.13672184906</v>
      </c>
    </row>
    <row r="486" spans="1:10">
      <c r="A486" s="7">
        <f>IF(Values_Entered,A485+1,"")</f>
        <v>469</v>
      </c>
      <c r="B486" s="6">
        <f t="shared" si="56"/>
        <v>58838</v>
      </c>
      <c r="C486" s="4">
        <f t="shared" si="62"/>
        <v>0</v>
      </c>
      <c r="D486" s="4">
        <f t="shared" si="57"/>
        <v>59908.922363410937</v>
      </c>
      <c r="E486" s="5">
        <f t="shared" si="58"/>
        <v>0</v>
      </c>
      <c r="F486" s="4">
        <f t="shared" si="59"/>
        <v>0</v>
      </c>
      <c r="G486" s="4">
        <f t="shared" si="60"/>
        <v>0</v>
      </c>
      <c r="H486" s="4">
        <f t="shared" si="63"/>
        <v>0</v>
      </c>
      <c r="I486" s="4">
        <f t="shared" si="61"/>
        <v>0</v>
      </c>
      <c r="J486" s="4">
        <f>SUM($H$18:$H486)</f>
        <v>237814.13672184906</v>
      </c>
    </row>
    <row r="487" spans="1:10">
      <c r="A487" s="7">
        <f>IF(Values_Entered,A486+1,"")</f>
        <v>470</v>
      </c>
      <c r="B487" s="6">
        <f t="shared" si="56"/>
        <v>58866</v>
      </c>
      <c r="C487" s="4">
        <f t="shared" si="62"/>
        <v>0</v>
      </c>
      <c r="D487" s="4">
        <f t="shared" si="57"/>
        <v>59908.922363410937</v>
      </c>
      <c r="E487" s="5">
        <f t="shared" si="58"/>
        <v>0</v>
      </c>
      <c r="F487" s="4">
        <f t="shared" si="59"/>
        <v>0</v>
      </c>
      <c r="G487" s="4">
        <f t="shared" si="60"/>
        <v>0</v>
      </c>
      <c r="H487" s="4">
        <f t="shared" si="63"/>
        <v>0</v>
      </c>
      <c r="I487" s="4">
        <f t="shared" si="61"/>
        <v>0</v>
      </c>
      <c r="J487" s="4">
        <f>SUM($H$18:$H487)</f>
        <v>237814.13672184906</v>
      </c>
    </row>
    <row r="488" spans="1:10">
      <c r="A488" s="7">
        <f>IF(Values_Entered,A487+1,"")</f>
        <v>471</v>
      </c>
      <c r="B488" s="6">
        <f t="shared" si="56"/>
        <v>58897</v>
      </c>
      <c r="C488" s="4">
        <f t="shared" si="62"/>
        <v>0</v>
      </c>
      <c r="D488" s="4">
        <f t="shared" si="57"/>
        <v>59908.922363410937</v>
      </c>
      <c r="E488" s="5">
        <f t="shared" si="58"/>
        <v>0</v>
      </c>
      <c r="F488" s="4">
        <f t="shared" si="59"/>
        <v>0</v>
      </c>
      <c r="G488" s="4">
        <f t="shared" si="60"/>
        <v>0</v>
      </c>
      <c r="H488" s="4">
        <f t="shared" si="63"/>
        <v>0</v>
      </c>
      <c r="I488" s="4">
        <f t="shared" si="61"/>
        <v>0</v>
      </c>
      <c r="J488" s="4">
        <f>SUM($H$18:$H488)</f>
        <v>237814.13672184906</v>
      </c>
    </row>
    <row r="489" spans="1:10">
      <c r="A489" s="7">
        <f>IF(Values_Entered,A488+1,"")</f>
        <v>472</v>
      </c>
      <c r="B489" s="6">
        <f t="shared" si="56"/>
        <v>58927</v>
      </c>
      <c r="C489" s="4">
        <f t="shared" si="62"/>
        <v>0</v>
      </c>
      <c r="D489" s="4">
        <f t="shared" si="57"/>
        <v>59908.922363410937</v>
      </c>
      <c r="E489" s="5">
        <f t="shared" si="58"/>
        <v>0</v>
      </c>
      <c r="F489" s="4">
        <f t="shared" si="59"/>
        <v>0</v>
      </c>
      <c r="G489" s="4">
        <f t="shared" si="60"/>
        <v>0</v>
      </c>
      <c r="H489" s="4">
        <f t="shared" si="63"/>
        <v>0</v>
      </c>
      <c r="I489" s="4">
        <f t="shared" si="61"/>
        <v>0</v>
      </c>
      <c r="J489" s="4">
        <f>SUM($H$18:$H489)</f>
        <v>237814.13672184906</v>
      </c>
    </row>
    <row r="490" spans="1:10">
      <c r="A490" s="7">
        <f>IF(Values_Entered,A489+1,"")</f>
        <v>473</v>
      </c>
      <c r="B490" s="6">
        <f t="shared" si="56"/>
        <v>58958</v>
      </c>
      <c r="C490" s="4">
        <f t="shared" si="62"/>
        <v>0</v>
      </c>
      <c r="D490" s="4">
        <f t="shared" si="57"/>
        <v>59908.922363410937</v>
      </c>
      <c r="E490" s="5">
        <f t="shared" si="58"/>
        <v>0</v>
      </c>
      <c r="F490" s="4">
        <f t="shared" si="59"/>
        <v>0</v>
      </c>
      <c r="G490" s="4">
        <f t="shared" si="60"/>
        <v>0</v>
      </c>
      <c r="H490" s="4">
        <f t="shared" si="63"/>
        <v>0</v>
      </c>
      <c r="I490" s="4">
        <f t="shared" si="61"/>
        <v>0</v>
      </c>
      <c r="J490" s="4">
        <f>SUM($H$18:$H490)</f>
        <v>237814.13672184906</v>
      </c>
    </row>
    <row r="491" spans="1:10">
      <c r="A491" s="7">
        <f>IF(Values_Entered,A490+1,"")</f>
        <v>474</v>
      </c>
      <c r="B491" s="6">
        <f t="shared" si="56"/>
        <v>58988</v>
      </c>
      <c r="C491" s="4">
        <f t="shared" si="62"/>
        <v>0</v>
      </c>
      <c r="D491" s="4">
        <f t="shared" si="57"/>
        <v>59908.922363410937</v>
      </c>
      <c r="E491" s="5">
        <f t="shared" si="58"/>
        <v>0</v>
      </c>
      <c r="F491" s="4">
        <f t="shared" si="59"/>
        <v>0</v>
      </c>
      <c r="G491" s="4">
        <f t="shared" si="60"/>
        <v>0</v>
      </c>
      <c r="H491" s="4">
        <f t="shared" si="63"/>
        <v>0</v>
      </c>
      <c r="I491" s="4">
        <f t="shared" si="61"/>
        <v>0</v>
      </c>
      <c r="J491" s="4">
        <f>SUM($H$18:$H491)</f>
        <v>237814.13672184906</v>
      </c>
    </row>
    <row r="492" spans="1:10">
      <c r="A492" s="7">
        <f>IF(Values_Entered,A491+1,"")</f>
        <v>475</v>
      </c>
      <c r="B492" s="6">
        <f t="shared" si="56"/>
        <v>59019</v>
      </c>
      <c r="C492" s="4">
        <f t="shared" si="62"/>
        <v>0</v>
      </c>
      <c r="D492" s="4">
        <f t="shared" si="57"/>
        <v>59908.922363410937</v>
      </c>
      <c r="E492" s="5">
        <f t="shared" si="58"/>
        <v>0</v>
      </c>
      <c r="F492" s="4">
        <f t="shared" si="59"/>
        <v>0</v>
      </c>
      <c r="G492" s="4">
        <f t="shared" si="60"/>
        <v>0</v>
      </c>
      <c r="H492" s="4">
        <f t="shared" si="63"/>
        <v>0</v>
      </c>
      <c r="I492" s="4">
        <f t="shared" si="61"/>
        <v>0</v>
      </c>
      <c r="J492" s="4">
        <f>SUM($H$18:$H492)</f>
        <v>237814.13672184906</v>
      </c>
    </row>
    <row r="493" spans="1:10">
      <c r="A493" s="7">
        <f>IF(Values_Entered,A492+1,"")</f>
        <v>476</v>
      </c>
      <c r="B493" s="6">
        <f t="shared" si="56"/>
        <v>59050</v>
      </c>
      <c r="C493" s="4">
        <f t="shared" si="62"/>
        <v>0</v>
      </c>
      <c r="D493" s="4">
        <f t="shared" si="57"/>
        <v>59908.922363410937</v>
      </c>
      <c r="E493" s="5">
        <f t="shared" si="58"/>
        <v>0</v>
      </c>
      <c r="F493" s="4">
        <f t="shared" si="59"/>
        <v>0</v>
      </c>
      <c r="G493" s="4">
        <f t="shared" si="60"/>
        <v>0</v>
      </c>
      <c r="H493" s="4">
        <f t="shared" si="63"/>
        <v>0</v>
      </c>
      <c r="I493" s="4">
        <f t="shared" si="61"/>
        <v>0</v>
      </c>
      <c r="J493" s="4">
        <f>SUM($H$18:$H493)</f>
        <v>237814.13672184906</v>
      </c>
    </row>
    <row r="494" spans="1:10">
      <c r="A494" s="7">
        <f>IF(Values_Entered,A493+1,"")</f>
        <v>477</v>
      </c>
      <c r="B494" s="6">
        <f t="shared" si="56"/>
        <v>59080</v>
      </c>
      <c r="C494" s="4">
        <f t="shared" si="62"/>
        <v>0</v>
      </c>
      <c r="D494" s="4">
        <f t="shared" si="57"/>
        <v>59908.922363410937</v>
      </c>
      <c r="E494" s="5">
        <f t="shared" si="58"/>
        <v>0</v>
      </c>
      <c r="F494" s="4">
        <f t="shared" si="59"/>
        <v>0</v>
      </c>
      <c r="G494" s="4">
        <f t="shared" si="60"/>
        <v>0</v>
      </c>
      <c r="H494" s="4">
        <f t="shared" si="63"/>
        <v>0</v>
      </c>
      <c r="I494" s="4">
        <f t="shared" si="61"/>
        <v>0</v>
      </c>
      <c r="J494" s="4">
        <f>SUM($H$18:$H494)</f>
        <v>237814.13672184906</v>
      </c>
    </row>
    <row r="495" spans="1:10">
      <c r="A495" s="7">
        <f>IF(Values_Entered,A494+1,"")</f>
        <v>478</v>
      </c>
      <c r="B495" s="6">
        <f t="shared" si="56"/>
        <v>59111</v>
      </c>
      <c r="C495" s="4">
        <f t="shared" si="62"/>
        <v>0</v>
      </c>
      <c r="D495" s="4">
        <f t="shared" si="57"/>
        <v>59908.922363410937</v>
      </c>
      <c r="E495" s="5">
        <f t="shared" si="58"/>
        <v>0</v>
      </c>
      <c r="F495" s="4">
        <f t="shared" si="59"/>
        <v>0</v>
      </c>
      <c r="G495" s="4">
        <f t="shared" si="60"/>
        <v>0</v>
      </c>
      <c r="H495" s="4">
        <f t="shared" si="63"/>
        <v>0</v>
      </c>
      <c r="I495" s="4">
        <f t="shared" si="61"/>
        <v>0</v>
      </c>
      <c r="J495" s="4">
        <f>SUM($H$18:$H495)</f>
        <v>237814.13672184906</v>
      </c>
    </row>
    <row r="496" spans="1:10">
      <c r="A496" s="7">
        <f>IF(Values_Entered,A495+1,"")</f>
        <v>479</v>
      </c>
      <c r="B496" s="6">
        <f t="shared" si="56"/>
        <v>59141</v>
      </c>
      <c r="C496" s="4">
        <f t="shared" si="62"/>
        <v>0</v>
      </c>
      <c r="D496" s="4">
        <f t="shared" si="57"/>
        <v>59908.922363410937</v>
      </c>
      <c r="E496" s="5">
        <f t="shared" si="58"/>
        <v>0</v>
      </c>
      <c r="F496" s="4">
        <f t="shared" si="59"/>
        <v>0</v>
      </c>
      <c r="G496" s="4">
        <f t="shared" si="60"/>
        <v>0</v>
      </c>
      <c r="H496" s="4">
        <f t="shared" si="63"/>
        <v>0</v>
      </c>
      <c r="I496" s="4">
        <f t="shared" si="61"/>
        <v>0</v>
      </c>
      <c r="J496" s="4">
        <f>SUM($H$18:$H496)</f>
        <v>237814.13672184906</v>
      </c>
    </row>
    <row r="497" spans="1:10">
      <c r="A497" s="7">
        <f>IF(Values_Entered,A496+1,"")</f>
        <v>480</v>
      </c>
      <c r="B497" s="6">
        <f t="shared" si="56"/>
        <v>59172</v>
      </c>
      <c r="C497" s="4">
        <f t="shared" si="62"/>
        <v>0</v>
      </c>
      <c r="D497" s="4">
        <f t="shared" si="57"/>
        <v>59908.922363410937</v>
      </c>
      <c r="E497" s="5">
        <f t="shared" si="58"/>
        <v>0</v>
      </c>
      <c r="F497" s="4">
        <f t="shared" si="59"/>
        <v>0</v>
      </c>
      <c r="G497" s="4">
        <f t="shared" si="60"/>
        <v>0</v>
      </c>
      <c r="H497" s="4">
        <f t="shared" si="63"/>
        <v>0</v>
      </c>
      <c r="I497" s="4">
        <f t="shared" si="61"/>
        <v>0</v>
      </c>
      <c r="J497" s="4">
        <f>SUM($H$18:$H497)</f>
        <v>237814.13672184906</v>
      </c>
    </row>
  </sheetData>
  <sheetProtection sheet="1" objects="1" scenarios="1" selectLockedCells="1"/>
  <mergeCells count="3">
    <mergeCell ref="C12:D12"/>
    <mergeCell ref="B4:D4"/>
    <mergeCell ref="H4:J4"/>
  </mergeCells>
  <conditionalFormatting sqref="A18:E497">
    <cfRule type="expression" dxfId="5" priority="1" stopIfTrue="1">
      <formula>IF(ROW(A18)&gt;Last_Row,TRUE, FALSE)</formula>
    </cfRule>
    <cfRule type="expression" dxfId="4" priority="2" stopIfTrue="1">
      <formula>IF(ROW(A18)=Last_Row,TRUE, FALSE)</formula>
    </cfRule>
    <cfRule type="expression" dxfId="3" priority="3" stopIfTrue="1">
      <formula>IF(ROW(A18)&lt;Last_Row,TRUE, FALSE)</formula>
    </cfRule>
  </conditionalFormatting>
  <conditionalFormatting sqref="F18:J497">
    <cfRule type="expression" dxfId="2" priority="4" stopIfTrue="1">
      <formula>IF(ROW(F18)&gt;Last_Row,TRUE, FALSE)</formula>
    </cfRule>
    <cfRule type="expression" dxfId="1" priority="5" stopIfTrue="1">
      <formula>IF(ROW(F18)=Last_Row,TRUE, FALSE)</formula>
    </cfRule>
    <cfRule type="expression" dxfId="0" priority="6" stopIfTrue="1">
      <formula>IF(ROW(F18)&lt;=Last_Row,TRUE, FALSE)</formula>
    </cfRule>
  </conditionalFormatting>
  <dataValidations count="3">
    <dataValidation allowBlank="1" showInputMessage="1" showErrorMessage="1" promptTitle="Extra Payments" prompt="Enter an amount here if you want to make additional principal payments every pay period.&#10;&#10;For occasional extra payments, enter the extra principal amounts directly in the 'Extra Payment' column below." sqref="D10"/>
    <dataValidation type="date" operator="greaterThanOrEqual" allowBlank="1" showInputMessage="1" showErrorMessage="1" errorTitle="Date" error="Please enter a valid date greater than or equal to January 1, 1900." sqref="D9">
      <formula1>1</formula1>
    </dataValidation>
    <dataValidation type="whole" allowBlank="1" showInputMessage="1" showErrorMessage="1" errorTitle="Years" error="Please enter a whole number of years from 1 to 40." sqref="D7">
      <formula1>1</formula1>
      <formula2>40</formula2>
    </dataValidation>
  </dataValidations>
  <pageMargins left="0.5" right="0.5" top="0.5" bottom="0.5" header="0.5" footer="0.5"/>
  <pageSetup scale="8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30</vt:i4>
      </vt:variant>
    </vt:vector>
  </HeadingPairs>
  <TitlesOfParts>
    <vt:vector size="39" baseType="lpstr">
      <vt:lpstr>Intro</vt:lpstr>
      <vt:lpstr>(1)Basic Info and loan request</vt:lpstr>
      <vt:lpstr>(2)Bus. and Character Assess.</vt:lpstr>
      <vt:lpstr>(3)Cashflow Analysis</vt:lpstr>
      <vt:lpstr>(4) E&amp;S Assessment</vt:lpstr>
      <vt:lpstr>(5)Collateral Worksheet</vt:lpstr>
      <vt:lpstr>(6)Summary and Decision Sheet</vt:lpstr>
      <vt:lpstr>(7)Repayment Schedule</vt:lpstr>
      <vt:lpstr>Loan Amortization Schedule</vt:lpstr>
      <vt:lpstr>'(4) E&amp;S Assessment'!_ftn1</vt:lpstr>
      <vt:lpstr>Beg_Bal</vt:lpstr>
      <vt:lpstr>Cum_Int</vt:lpstr>
      <vt:lpstr>Data</vt:lpstr>
      <vt:lpstr>End_Bal</vt:lpstr>
      <vt:lpstr>Extra_Pay</vt:lpstr>
      <vt:lpstr>Full_Print</vt:lpstr>
      <vt:lpstr>Int</vt:lpstr>
      <vt:lpstr>Interest_Rate</vt:lpstr>
      <vt:lpstr>Loan_Amount</vt:lpstr>
      <vt:lpstr>Loan_Start</vt:lpstr>
      <vt:lpstr>Loan_Years</vt:lpstr>
      <vt:lpstr>Num_Pmt_Per_Year</vt:lpstr>
      <vt:lpstr>Pay_Date</vt:lpstr>
      <vt:lpstr>Pay_Num</vt:lpstr>
      <vt:lpstr>Princ</vt:lpstr>
      <vt:lpstr>'(1)Basic Info and loan request'!Print_Area</vt:lpstr>
      <vt:lpstr>'(2)Bus. and Character Assess.'!Print_Area</vt:lpstr>
      <vt:lpstr>'(3)Cashflow Analysis'!Print_Area</vt:lpstr>
      <vt:lpstr>'(4) E&amp;S Assessment'!Print_Area</vt:lpstr>
      <vt:lpstr>'(5)Collateral Worksheet'!Print_Area</vt:lpstr>
      <vt:lpstr>'(6)Summary and Decision Sheet'!Print_Area</vt:lpstr>
      <vt:lpstr>'(7)Repayment Schedule'!Print_Area</vt:lpstr>
      <vt:lpstr>'Loan Amortization Schedule'!Print_Titles</vt:lpstr>
      <vt:lpstr>Sched_Pay</vt:lpstr>
      <vt:lpstr>Scheduled_Extra_Payments</vt:lpstr>
      <vt:lpstr>Scheduled_Interest_Rate</vt:lpstr>
      <vt:lpstr>Scheduled_Monthly_Payment</vt:lpstr>
      <vt:lpstr>Total_Interest</vt:lpstr>
      <vt:lpstr>Total_Pay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Kenno Itana</dc:creator>
  <cp:lastModifiedBy>Estifanos H</cp:lastModifiedBy>
  <cp:lastPrinted>2022-10-27T07:10:20Z</cp:lastPrinted>
  <dcterms:created xsi:type="dcterms:W3CDTF">2021-12-07T10:49:48Z</dcterms:created>
  <dcterms:modified xsi:type="dcterms:W3CDTF">2023-11-16T14:53:23Z</dcterms:modified>
</cp:coreProperties>
</file>